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64DC7906-12F7-489B-A36B-071E093ADA51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K63" i="9" s="1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K59" i="9" s="1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4" i="9" l="1"/>
  <c r="K62" i="9"/>
  <c r="K66" i="9"/>
  <c r="K92" i="8"/>
  <c r="K91" i="8"/>
  <c r="K90" i="8"/>
  <c r="K94" i="8"/>
  <c r="K87" i="8"/>
  <c r="K61" i="7"/>
  <c r="K90" i="4"/>
  <c r="K88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<sst xmlns="http://schemas.openxmlformats.org/spreadsheetml/2006/main" count="1138" uniqueCount="194">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</sst>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topLeftCell="A22" zoomScale="70" zoomScaleNormal="100" zoomScalePageLayoutView="70" workbookViewId="0">
      <selection activeCell="L8" sqref="L8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45810</v>
      </c>
      <c r="E1" s="96"/>
      <c r="F1" s="96"/>
      <c r="H1" s="63" t="s">
        <v>143</v>
      </c>
      <c r="I1" s="64">
        <f>D1+42-1</f>
        <v>45851</v>
      </c>
      <c r="L1" s="19" t="s">
        <v>38</v>
      </c>
    </row>
    <row r="2" spans="1:12" ht="15.75" x14ac:dyDescent="0.25">
      <c r="B2" s="41" t="s">
        <v>105</v>
      </c>
      <c r="C2" s="50">
        <v>23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6</v>
      </c>
      <c r="C6" s="2" t="s">
        <v>42</v>
      </c>
      <c r="D6">
        <f>ROUNDDOWN(E6/24,0)</f>
        <v>0</v>
      </c>
      <c r="E6" s="39">
        <v>6</v>
      </c>
      <c r="F6" s="2" t="s">
        <v>46</v>
      </c>
      <c r="H6" s="39">
        <v>8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8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8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6</v>
      </c>
      <c r="C10" s="2" t="s">
        <v>9</v>
      </c>
      <c r="D10">
        <f>ROUNDDOWN(E10/24,0)</f>
        <v>0</v>
      </c>
      <c r="E10" s="39">
        <v>8</v>
      </c>
      <c r="F10" s="16" t="s">
        <v>7</v>
      </c>
      <c r="H10" s="39">
        <v>8</v>
      </c>
      <c r="I10" s="2" t="s">
        <v>22</v>
      </c>
    </row>
    <row r="11" spans="1:12" x14ac:dyDescent="0.25">
      <c r="A11">
        <f>ROUNDDOWN(B11/24,0)</f>
        <v>0</v>
      </c>
      <c r="B11" s="39">
        <v>6</v>
      </c>
      <c r="C11" s="2" t="s">
        <v>7</v>
      </c>
      <c r="E11" s="39">
        <f>SUM(E5:E10)</f>
        <v>31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2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4876145633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13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31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1605</v>
      </c>
    </row>
    <row r="18" spans="2:10" x14ac:dyDescent="0.2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16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41</v>
      </c>
      <c r="C22" s="2" t="s">
        <v>35</v>
      </c>
      <c r="E22" s="74">
        <v>0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3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14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45810</v>
      </c>
      <c r="E34" s="96"/>
      <c r="F34" s="96"/>
      <c r="H34" s="63" t="s">
        <v>143</v>
      </c>
      <c r="I34" s="67">
        <f>I1</f>
        <v>45851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4</v>
      </c>
      <c r="F37" s="2" t="s">
        <v>19</v>
      </c>
      <c r="H37" s="39">
        <v>10</v>
      </c>
      <c r="I37" s="2" t="s">
        <v>19</v>
      </c>
    </row>
    <row r="38" spans="1:12" x14ac:dyDescent="0.25">
      <c r="A38">
        <f>ROUNDDOWN(B38/24,0)</f>
        <v>0</v>
      </c>
      <c r="B38" s="39">
        <v>5</v>
      </c>
      <c r="C38" s="2" t="s">
        <v>42</v>
      </c>
      <c r="E38" s="39">
        <v>30</v>
      </c>
      <c r="F38" s="2" t="s">
        <v>20</v>
      </c>
      <c r="H38" s="39">
        <v>35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0</v>
      </c>
      <c r="I40" s="2" t="s">
        <v>21</v>
      </c>
    </row>
    <row r="41" spans="1:12" x14ac:dyDescent="0.25">
      <c r="A41">
        <f>ROUNDDOWN(B41/20,0)</f>
        <v>1</v>
      </c>
      <c r="B41" s="39">
        <v>20</v>
      </c>
      <c r="C41" s="2" t="s">
        <v>6</v>
      </c>
      <c r="E41" s="39">
        <v>1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17</v>
      </c>
      <c r="F42" s="2" t="s">
        <v>22</v>
      </c>
      <c r="H42" s="39">
        <v>26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31</v>
      </c>
      <c r="F46" s="16" t="s">
        <v>28</v>
      </c>
      <c r="H46" s="39">
        <v>52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84</v>
      </c>
      <c r="F47" s="2" t="s">
        <v>35</v>
      </c>
      <c r="H47" s="39">
        <f>SUM(H37:H46)</f>
        <v>124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1122</v>
      </c>
      <c r="H49" s="2" t="s">
        <v>36</v>
      </c>
      <c r="I49" s="16">
        <v>1320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15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32</v>
      </c>
      <c r="C54" s="2" t="s">
        <v>35</v>
      </c>
      <c r="E54" s="39">
        <v>1</v>
      </c>
      <c r="F54" s="2" t="s">
        <v>30</v>
      </c>
      <c r="G54">
        <f>ROUNDDOWN(H54/24,0)</f>
        <v>1</v>
      </c>
      <c r="H54" s="39">
        <v>24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0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17</v>
      </c>
      <c r="F56" s="2" t="s">
        <v>35</v>
      </c>
      <c r="G56">
        <f>ROUNDDOWN(H56/13,0)</f>
        <v>2</v>
      </c>
      <c r="H56" s="39">
        <v>26</v>
      </c>
      <c r="I56" s="2" t="s">
        <v>103</v>
      </c>
    </row>
    <row r="57" spans="2:12" x14ac:dyDescent="0.25">
      <c r="H57" s="39">
        <v>5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1</v>
      </c>
      <c r="H58" s="39">
        <v>24</v>
      </c>
      <c r="I58" s="16" t="s">
        <v>34</v>
      </c>
      <c r="K58" s="17" t="s">
        <v>160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81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4876131959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240</v>
      </c>
      <c r="E70" s="15">
        <f t="shared" ref="E70:E79" si="0">H5+E37+H37</f>
        <v>16</v>
      </c>
      <c r="F70" s="2" t="s">
        <v>19</v>
      </c>
      <c r="H70" s="13">
        <f>E5+H53</f>
        <v>2</v>
      </c>
      <c r="I70" s="2" t="s">
        <v>45</v>
      </c>
      <c r="K70" s="47">
        <f>B10+E9+B30+B42+H57</f>
        <v>22</v>
      </c>
      <c r="L70" s="2" t="s">
        <v>9</v>
      </c>
    </row>
    <row r="71" spans="2:12" x14ac:dyDescent="0.25">
      <c r="B71" s="26">
        <f>B6+B27+B38</f>
        <v>11</v>
      </c>
      <c r="C71" s="2" t="s">
        <v>42</v>
      </c>
      <c r="D71" s="35">
        <f t="shared" ref="D71:D77" si="1">E71*15</f>
        <v>1095</v>
      </c>
      <c r="E71" s="14">
        <f t="shared" si="0"/>
        <v>73</v>
      </c>
      <c r="F71" s="2" t="s">
        <v>20</v>
      </c>
      <c r="H71" s="14">
        <f>E6+E16+E59+H54+E53</f>
        <v>81</v>
      </c>
      <c r="I71" s="2" t="s">
        <v>46</v>
      </c>
      <c r="K71" s="13">
        <f>B11+E10+B31+B43+H58</f>
        <v>38</v>
      </c>
      <c r="L71" s="2" t="s">
        <v>7</v>
      </c>
    </row>
    <row r="72" spans="2:12" x14ac:dyDescent="0.25">
      <c r="B72" s="26">
        <f>B7+B28+B39</f>
        <v>2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2</v>
      </c>
      <c r="I72" s="2" t="s">
        <v>30</v>
      </c>
      <c r="K72" s="13">
        <f>B12+B32+B44</f>
        <v>2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15</v>
      </c>
      <c r="E73" s="14">
        <f t="shared" si="0"/>
        <v>1</v>
      </c>
      <c r="F73" s="2" t="s">
        <v>21</v>
      </c>
      <c r="H73" s="14">
        <f>E8+H56</f>
        <v>34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40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5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510</v>
      </c>
      <c r="E75" s="14">
        <f t="shared" si="0"/>
        <v>51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16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768</v>
      </c>
      <c r="E79" s="14">
        <f t="shared" si="0"/>
        <v>96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30</v>
      </c>
      <c r="H85" s="26">
        <f>B72</f>
        <v>2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20</v>
      </c>
      <c r="H87" s="29">
        <f>K72</f>
        <v>2</v>
      </c>
      <c r="I87" s="2" t="s">
        <v>8</v>
      </c>
      <c r="K87" s="14">
        <f>A9+A41</f>
        <v>2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0</v>
      </c>
      <c r="H88" s="26">
        <f>B73</f>
        <v>0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30</v>
      </c>
      <c r="H89" s="21">
        <f>H72</f>
        <v>2</v>
      </c>
      <c r="I89" s="2" t="s">
        <v>30</v>
      </c>
      <c r="K89" s="14">
        <f>D6+G54</f>
        <v>1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200</v>
      </c>
      <c r="H90" s="21">
        <f>B74</f>
        <v>40</v>
      </c>
      <c r="I90" s="2" t="s">
        <v>50</v>
      </c>
      <c r="K90" s="14">
        <f>D8+G56</f>
        <v>2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272</v>
      </c>
      <c r="H91" s="21">
        <f>H73</f>
        <v>34</v>
      </c>
      <c r="I91" s="2" t="s">
        <v>103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3" sqref="I33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45811</v>
      </c>
      <c r="E1" s="95"/>
      <c r="F1" s="95"/>
      <c r="H1" s="63" t="s">
        <v>143</v>
      </c>
      <c r="I1" s="64">
        <f>Mon!D1+42-1</f>
        <v>45851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3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9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3</v>
      </c>
      <c r="I5" s="2" t="s">
        <v>42</v>
      </c>
      <c r="K5" s="39">
        <v>5</v>
      </c>
      <c r="L5" s="2" t="s">
        <v>42</v>
      </c>
    </row>
    <row r="6" spans="1:12" ht="12.4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5</v>
      </c>
      <c r="L8" s="2" t="s">
        <v>6</v>
      </c>
    </row>
    <row r="9" spans="1:12" ht="12.4" customHeight="1" x14ac:dyDescent="0.25">
      <c r="B9" s="39">
        <v>9</v>
      </c>
      <c r="C9" s="2" t="s">
        <v>9</v>
      </c>
      <c r="E9" s="39">
        <v>5</v>
      </c>
      <c r="F9" s="2" t="s">
        <v>9</v>
      </c>
      <c r="H9" s="39">
        <v>4</v>
      </c>
      <c r="I9" s="2" t="s">
        <v>9</v>
      </c>
      <c r="K9" s="39">
        <v>3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3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0</v>
      </c>
      <c r="H11" s="39">
        <v>1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3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7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16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1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/>
      <c r="L17" s="75" t="s">
        <v>44</v>
      </c>
    </row>
    <row r="18" spans="1:18" ht="12.4" customHeight="1" x14ac:dyDescent="0.25">
      <c r="B18" s="39">
        <v>1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91</v>
      </c>
      <c r="C21" s="2" t="s">
        <v>35</v>
      </c>
      <c r="E21" s="39">
        <f>SUM(E4:E20)</f>
        <v>41</v>
      </c>
      <c r="F21" s="2" t="s">
        <v>35</v>
      </c>
      <c r="H21" s="39">
        <f>SUM(H4:H20)</f>
        <v>40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7</v>
      </c>
      <c r="I24" s="2" t="s">
        <v>29</v>
      </c>
      <c r="K24" s="74">
        <v>20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9</v>
      </c>
      <c r="C25" s="2" t="s">
        <v>46</v>
      </c>
      <c r="D25">
        <f>ROUNDDOWN(E25/24,0)</f>
        <v>0</v>
      </c>
      <c r="E25" s="39">
        <v>9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0</v>
      </c>
      <c r="B27" s="39">
        <v>10</v>
      </c>
      <c r="C27" s="2" t="s">
        <v>103</v>
      </c>
      <c r="D27">
        <f>ROUNDDOWN(E27/13,0)</f>
        <v>0</v>
      </c>
      <c r="E27" s="39">
        <v>10</v>
      </c>
      <c r="F27" s="2" t="s">
        <v>103</v>
      </c>
      <c r="H27" s="39">
        <f>SUM(H24:H26)</f>
        <v>7</v>
      </c>
      <c r="I27" s="2" t="s">
        <v>35</v>
      </c>
      <c r="K27" s="74">
        <v>26</v>
      </c>
      <c r="L27" s="84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>
        <v>4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5</v>
      </c>
      <c r="C29" s="16" t="s">
        <v>62</v>
      </c>
      <c r="D29">
        <f>ROUNDDOWN(E29/24,0)</f>
        <v>0</v>
      </c>
      <c r="E29" s="39">
        <v>10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34</v>
      </c>
      <c r="C30" s="2" t="s">
        <v>35</v>
      </c>
      <c r="E30" s="39">
        <f>SUM(E24:E29)</f>
        <v>35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51</v>
      </c>
      <c r="L31" s="89" t="s">
        <v>44</v>
      </c>
    </row>
    <row r="32" spans="1:18" ht="12.4" customHeight="1" x14ac:dyDescent="0.25">
      <c r="B32" s="2" t="s">
        <v>36</v>
      </c>
      <c r="C32" s="16">
        <v>4876143553</v>
      </c>
      <c r="E32" s="2" t="s">
        <v>36</v>
      </c>
      <c r="F32" s="16">
        <v>4876197095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0</v>
      </c>
      <c r="C35" s="2" t="s">
        <v>49</v>
      </c>
      <c r="E35" s="39">
        <v>12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12</v>
      </c>
      <c r="F36" s="16" t="s">
        <v>50</v>
      </c>
      <c r="H36" s="42"/>
      <c r="I36" s="2"/>
    </row>
    <row r="37" spans="2:12" ht="12.4" customHeight="1" x14ac:dyDescent="0.25">
      <c r="B37" s="39">
        <v>0</v>
      </c>
      <c r="C37" s="2" t="s">
        <v>7</v>
      </c>
      <c r="E37" s="39">
        <f>SUM(E35:E36)</f>
        <v>24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6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45</v>
      </c>
      <c r="K43" s="47">
        <f>B9+B28+H9+K9+E9+E28</f>
        <v>33</v>
      </c>
      <c r="L43" s="2" t="s">
        <v>9</v>
      </c>
    </row>
    <row r="44" spans="2:12" x14ac:dyDescent="0.25">
      <c r="B44" s="26">
        <f>B5+H5+K5+E5</f>
        <v>22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25</v>
      </c>
      <c r="I44" s="2" t="s">
        <v>46</v>
      </c>
      <c r="K44" s="13">
        <f>B10+B29+H10+K10+E10+E29+B37</f>
        <v>34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12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20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101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67</v>
      </c>
      <c r="L47" s="2" t="s">
        <v>44</v>
      </c>
    </row>
    <row r="48" spans="2:12" x14ac:dyDescent="0.25">
      <c r="B48" s="21">
        <f>B13+H13+E13</f>
        <v>7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105</v>
      </c>
      <c r="H59" s="21">
        <f>B48</f>
        <v>7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1</v>
      </c>
      <c r="C60" s="2" t="s">
        <v>17</v>
      </c>
      <c r="G60" s="35">
        <f>H60*10</f>
        <v>120</v>
      </c>
      <c r="H60" s="29">
        <f>K45</f>
        <v>12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505</v>
      </c>
      <c r="H63" s="21">
        <f>B47</f>
        <v>101</v>
      </c>
      <c r="I63" s="2" t="s">
        <v>50</v>
      </c>
      <c r="K63" s="14">
        <f>A27+D27</f>
        <v>0</v>
      </c>
      <c r="L63" s="2" t="s">
        <v>103</v>
      </c>
    </row>
    <row r="64" spans="2:12" x14ac:dyDescent="0.25">
      <c r="B64" s="13">
        <f>B20+H20+E20</f>
        <v>1</v>
      </c>
      <c r="C64" s="2" t="s">
        <v>18</v>
      </c>
      <c r="G64" s="35">
        <f>H64*8</f>
        <v>160</v>
      </c>
      <c r="H64" s="21">
        <f>H46</f>
        <v>20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G23" sqref="G23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45812</v>
      </c>
      <c r="E1" s="95"/>
      <c r="F1" s="95"/>
      <c r="H1" s="63" t="s">
        <v>143</v>
      </c>
      <c r="I1" s="64">
        <f>Mon!D1+49-1</f>
        <v>45858</v>
      </c>
      <c r="K1" s="17" t="s">
        <v>94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5</v>
      </c>
      <c r="L3" s="2" t="s">
        <v>42</v>
      </c>
    </row>
    <row r="4" spans="2:12" ht="12.75" customHeight="1" x14ac:dyDescent="0.25">
      <c r="B4" s="39">
        <v>6</v>
      </c>
      <c r="C4" s="28" t="s">
        <v>1</v>
      </c>
      <c r="E4" s="39">
        <v>1</v>
      </c>
      <c r="F4" s="2" t="s">
        <v>41</v>
      </c>
      <c r="H4" s="39">
        <v>2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12</v>
      </c>
      <c r="F5" s="2" t="s">
        <v>42</v>
      </c>
      <c r="H5" s="39">
        <v>8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3</v>
      </c>
      <c r="F6" s="2" t="s">
        <v>5</v>
      </c>
      <c r="H6" s="39">
        <v>1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8</v>
      </c>
      <c r="F7" s="2" t="s">
        <v>9</v>
      </c>
      <c r="H7" s="39">
        <v>8</v>
      </c>
      <c r="I7" s="16" t="s">
        <v>6</v>
      </c>
      <c r="K7" s="39">
        <v>6</v>
      </c>
      <c r="L7" s="2" t="s">
        <v>51</v>
      </c>
    </row>
    <row r="8" spans="2:12" ht="12.75" customHeight="1" x14ac:dyDescent="0.25">
      <c r="B8" s="24"/>
      <c r="C8" s="2"/>
      <c r="E8" s="39">
        <v>16</v>
      </c>
      <c r="F8" s="16" t="s">
        <v>7</v>
      </c>
      <c r="H8" s="39">
        <f>SUM(H4:H7)</f>
        <v>19</v>
      </c>
      <c r="I8" s="22" t="s">
        <v>35</v>
      </c>
      <c r="K8" s="39">
        <v>5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40</v>
      </c>
      <c r="F9" s="22" t="s">
        <v>35</v>
      </c>
      <c r="K9" s="39">
        <v>10</v>
      </c>
      <c r="L9" s="2" t="s">
        <v>62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4</v>
      </c>
      <c r="I12" s="2" t="s">
        <v>41</v>
      </c>
      <c r="K12" s="39">
        <f>SUM(K2:K11)</f>
        <v>51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10</v>
      </c>
      <c r="F13" s="2" t="s">
        <v>42</v>
      </c>
      <c r="H13" s="39">
        <v>13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5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12</v>
      </c>
      <c r="F15" s="2" t="s">
        <v>6</v>
      </c>
      <c r="H15" s="39">
        <v>25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151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5</v>
      </c>
      <c r="F17" s="16" t="s">
        <v>7</v>
      </c>
      <c r="G17" s="2"/>
      <c r="H17" s="39">
        <v>0</v>
      </c>
      <c r="I17" s="16" t="s">
        <v>153</v>
      </c>
      <c r="K17" s="39">
        <v>5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33</v>
      </c>
      <c r="F18" s="22" t="s">
        <v>35</v>
      </c>
      <c r="H18" s="39">
        <f>SUM(H12:H17)</f>
        <v>47</v>
      </c>
      <c r="I18" s="22" t="s">
        <v>35</v>
      </c>
      <c r="K18" s="39">
        <v>4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5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30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2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8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2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1</v>
      </c>
      <c r="I25" s="2" t="s">
        <v>44</v>
      </c>
      <c r="K25" s="39">
        <v>3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1</v>
      </c>
      <c r="I27" s="22" t="s">
        <v>35</v>
      </c>
      <c r="K27" s="39">
        <f>SUM(K24:K26)</f>
        <v>6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12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2</v>
      </c>
      <c r="C30" s="2" t="s">
        <v>51</v>
      </c>
      <c r="F30" s="2"/>
      <c r="H30" s="39">
        <v>0</v>
      </c>
      <c r="I30" s="28" t="s">
        <v>44</v>
      </c>
      <c r="K30" s="39">
        <v>3</v>
      </c>
      <c r="L30" s="2" t="s">
        <v>51</v>
      </c>
    </row>
    <row r="31" spans="2:12" ht="12.75" customHeight="1" thickBot="1" x14ac:dyDescent="0.3">
      <c r="B31" s="39">
        <v>1</v>
      </c>
      <c r="C31" s="16" t="s">
        <v>44</v>
      </c>
      <c r="E31" s="30" t="s">
        <v>86</v>
      </c>
      <c r="F31" s="5"/>
      <c r="K31" s="39">
        <v>1</v>
      </c>
      <c r="L31" s="2" t="s">
        <v>44</v>
      </c>
    </row>
    <row r="32" spans="2:12" ht="12.75" customHeight="1" thickBot="1" x14ac:dyDescent="0.3">
      <c r="B32" s="39">
        <f>SUM(B30:B31)</f>
        <v>3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0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44</v>
      </c>
      <c r="E35" s="39">
        <f>SUM(E32:E34)</f>
        <v>0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6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6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8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20</v>
      </c>
      <c r="L42" s="2" t="s">
        <v>9</v>
      </c>
    </row>
    <row r="43" spans="2:12" x14ac:dyDescent="0.25">
      <c r="B43" s="91">
        <f>E5+E13+H5+H13+K3+K16+K16</f>
        <v>60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41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21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15</v>
      </c>
      <c r="L45" s="2" t="s">
        <v>51</v>
      </c>
    </row>
    <row r="46" spans="2:12" x14ac:dyDescent="0.25">
      <c r="B46" s="91">
        <f>E15+E26+H7+H15+K5+K18+K18</f>
        <v>68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26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9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11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315</v>
      </c>
      <c r="H60" s="26">
        <f>B45</f>
        <v>21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340</v>
      </c>
      <c r="H62" s="21">
        <f>B46</f>
        <v>68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15" sqref="F15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45813</v>
      </c>
      <c r="E1" s="95"/>
      <c r="F1" s="95"/>
      <c r="G1" s="1"/>
      <c r="H1" s="63" t="s">
        <v>143</v>
      </c>
      <c r="I1" s="64">
        <f>Mon!D1+49-1</f>
        <v>45858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2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3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6</v>
      </c>
      <c r="I5" s="2" t="s">
        <v>46</v>
      </c>
      <c r="K5" s="39">
        <v>7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9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4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10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6</v>
      </c>
      <c r="I9" s="16" t="s">
        <v>7</v>
      </c>
      <c r="K9" s="39">
        <v>7</v>
      </c>
      <c r="L9" s="2" t="s">
        <v>22</v>
      </c>
    </row>
    <row r="10" spans="1:12" x14ac:dyDescent="0.25">
      <c r="A10">
        <f>ROUNDDOWN(B10/24,0)</f>
        <v>0</v>
      </c>
      <c r="B10" s="39">
        <v>9</v>
      </c>
      <c r="C10" s="2" t="s">
        <v>7</v>
      </c>
      <c r="E10" s="39">
        <v>0</v>
      </c>
      <c r="F10" s="16" t="s">
        <v>8</v>
      </c>
      <c r="H10" s="39">
        <f>SUM(H4:H9)</f>
        <v>29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8</v>
      </c>
      <c r="C11" s="2" t="s">
        <v>8</v>
      </c>
      <c r="E11" s="39">
        <f>SUM(E4:E10)</f>
        <v>17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4876262512</v>
      </c>
      <c r="K12" s="39">
        <v>0</v>
      </c>
      <c r="L12" s="2" t="s">
        <v>26</v>
      </c>
    </row>
    <row r="13" spans="1:12" x14ac:dyDescent="0.25">
      <c r="B13" s="39">
        <v>1</v>
      </c>
      <c r="C13" s="2" t="s">
        <v>15</v>
      </c>
      <c r="K13" s="39">
        <v>7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0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2926</v>
      </c>
    </row>
    <row r="17" spans="2:10" x14ac:dyDescent="0.25">
      <c r="B17" s="39">
        <v>0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52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2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15</v>
      </c>
      <c r="C28" s="2" t="s">
        <v>51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45813</v>
      </c>
      <c r="E35" s="95"/>
      <c r="F35" s="95"/>
      <c r="H35" s="63" t="s">
        <v>143</v>
      </c>
      <c r="I35" s="64">
        <f>I1</f>
        <v>45858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3</v>
      </c>
      <c r="F38" s="2" t="s">
        <v>32</v>
      </c>
      <c r="H38" s="39">
        <v>9</v>
      </c>
      <c r="I38" s="2" t="s">
        <v>19</v>
      </c>
      <c r="K38" s="39">
        <v>16</v>
      </c>
      <c r="L38" s="2" t="s">
        <v>19</v>
      </c>
    </row>
    <row r="39" spans="1:12" x14ac:dyDescent="0.25">
      <c r="A39">
        <f>ROUNDDOWN(B39/24,0)</f>
        <v>0</v>
      </c>
      <c r="B39" s="39">
        <v>9</v>
      </c>
      <c r="C39" s="2" t="s">
        <v>42</v>
      </c>
      <c r="D39">
        <f>ROUNDDOWN(E39/24,0)</f>
        <v>0</v>
      </c>
      <c r="E39" s="39">
        <v>16</v>
      </c>
      <c r="F39" s="2" t="s">
        <v>31</v>
      </c>
      <c r="H39" s="39">
        <v>23</v>
      </c>
      <c r="I39" s="2" t="s">
        <v>20</v>
      </c>
      <c r="K39" s="39">
        <v>32</v>
      </c>
      <c r="L39" s="2" t="s">
        <v>20</v>
      </c>
    </row>
    <row r="40" spans="1:12" x14ac:dyDescent="0.25">
      <c r="B40" s="39">
        <v>3</v>
      </c>
      <c r="C40" s="2" t="s">
        <v>4</v>
      </c>
      <c r="E40" s="39">
        <v>3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1</v>
      </c>
      <c r="E41" s="39">
        <v>23</v>
      </c>
      <c r="F41" s="2" t="s">
        <v>103</v>
      </c>
      <c r="H41" s="39">
        <v>3</v>
      </c>
      <c r="I41" s="2" t="s">
        <v>21</v>
      </c>
      <c r="K41" s="39">
        <v>0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6</v>
      </c>
      <c r="F42" s="2" t="s">
        <v>47</v>
      </c>
      <c r="H42" s="39">
        <v>2</v>
      </c>
      <c r="I42" s="2" t="s">
        <v>23</v>
      </c>
      <c r="K42" s="39">
        <v>4</v>
      </c>
      <c r="L42" s="2" t="s">
        <v>23</v>
      </c>
    </row>
    <row r="43" spans="1:12" x14ac:dyDescent="0.25">
      <c r="B43" s="39">
        <v>6</v>
      </c>
      <c r="C43" s="2" t="s">
        <v>9</v>
      </c>
      <c r="D43">
        <f>ROUNDDOWN(E43/24,0)</f>
        <v>0</v>
      </c>
      <c r="E43" s="39">
        <v>10</v>
      </c>
      <c r="F43" s="16" t="s">
        <v>7</v>
      </c>
      <c r="H43" s="39">
        <v>24</v>
      </c>
      <c r="I43" s="2" t="s">
        <v>22</v>
      </c>
      <c r="K43" s="39">
        <v>41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61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5</v>
      </c>
      <c r="C46" s="2" t="s">
        <v>44</v>
      </c>
      <c r="E46" s="2" t="s">
        <v>36</v>
      </c>
      <c r="F46" s="16">
        <v>4876247353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59</v>
      </c>
      <c r="I47" s="16" t="s">
        <v>28</v>
      </c>
      <c r="K47" s="39">
        <v>87</v>
      </c>
      <c r="L47" s="16" t="s">
        <v>28</v>
      </c>
    </row>
    <row r="48" spans="1:12" x14ac:dyDescent="0.25">
      <c r="B48" s="39">
        <v>1</v>
      </c>
      <c r="C48" s="2" t="s">
        <v>14</v>
      </c>
      <c r="H48" s="39">
        <f>SUM(H38:H47)</f>
        <v>120</v>
      </c>
      <c r="I48" s="2" t="s">
        <v>35</v>
      </c>
      <c r="K48" s="39">
        <f>SUM(K38:K47)</f>
        <v>180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24</v>
      </c>
      <c r="F50" s="2" t="s">
        <v>29</v>
      </c>
      <c r="H50" s="2" t="s">
        <v>36</v>
      </c>
      <c r="I50" s="16">
        <v>3022</v>
      </c>
      <c r="K50" s="2" t="s">
        <v>36</v>
      </c>
      <c r="L50" s="16">
        <v>3133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24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71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24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26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3</v>
      </c>
      <c r="C72" s="2" t="s">
        <v>41</v>
      </c>
      <c r="D72" s="35">
        <f>E72*15</f>
        <v>420</v>
      </c>
      <c r="E72" s="36">
        <f t="shared" ref="E72:E81" si="0">K4+H38+K38</f>
        <v>28</v>
      </c>
      <c r="F72" s="2" t="s">
        <v>19</v>
      </c>
      <c r="H72" s="13">
        <f>H4+E38</f>
        <v>3</v>
      </c>
      <c r="I72" s="2" t="s">
        <v>45</v>
      </c>
      <c r="K72" s="47">
        <f>B9+E8+H8+B43+E42</f>
        <v>32</v>
      </c>
      <c r="L72" s="2" t="s">
        <v>9</v>
      </c>
    </row>
    <row r="73" spans="2:12" x14ac:dyDescent="0.25">
      <c r="B73" s="26">
        <f>B5+E5+B39</f>
        <v>13</v>
      </c>
      <c r="C73" s="2" t="s">
        <v>42</v>
      </c>
      <c r="D73" s="35">
        <f t="shared" ref="D73:D79" si="1">E73*15</f>
        <v>930</v>
      </c>
      <c r="E73" s="37">
        <f t="shared" si="0"/>
        <v>62</v>
      </c>
      <c r="F73" s="2" t="s">
        <v>20</v>
      </c>
      <c r="H73" s="47">
        <f>H5+H15+E50+E39+E57</f>
        <v>70</v>
      </c>
      <c r="I73" s="2" t="s">
        <v>46</v>
      </c>
      <c r="K73" s="47">
        <f>B10+E9+H9+B44+E43</f>
        <v>57</v>
      </c>
      <c r="L73" s="2" t="s">
        <v>7</v>
      </c>
    </row>
    <row r="74" spans="2:12" x14ac:dyDescent="0.25">
      <c r="B74" s="26">
        <f>B6+E6+B40</f>
        <v>4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6</v>
      </c>
      <c r="I74" s="2" t="s">
        <v>30</v>
      </c>
      <c r="K74" s="13">
        <f>B11+E10+B45</f>
        <v>8</v>
      </c>
      <c r="L74" s="2" t="s">
        <v>8</v>
      </c>
    </row>
    <row r="75" spans="2:12" x14ac:dyDescent="0.25">
      <c r="B75" s="26">
        <f>B7+E7+B41</f>
        <v>3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32</v>
      </c>
      <c r="I75" s="2" t="s">
        <v>102</v>
      </c>
      <c r="K75" s="47">
        <f>B28+K54</f>
        <v>20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72</v>
      </c>
      <c r="E76" s="37">
        <f t="shared" si="0"/>
        <v>6</v>
      </c>
      <c r="F76" s="2" t="s">
        <v>23</v>
      </c>
      <c r="K76" s="13">
        <f>B12+B46</f>
        <v>5</v>
      </c>
      <c r="L76" s="2" t="s">
        <v>44</v>
      </c>
    </row>
    <row r="77" spans="2:12" x14ac:dyDescent="0.25">
      <c r="B77" s="26">
        <f>B13+B47</f>
        <v>2</v>
      </c>
      <c r="C77" s="2" t="s">
        <v>15</v>
      </c>
      <c r="D77" s="35">
        <f>E77*10</f>
        <v>720</v>
      </c>
      <c r="E77" s="37">
        <f t="shared" si="0"/>
        <v>72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5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1224</v>
      </c>
      <c r="E81" s="37">
        <f t="shared" si="0"/>
        <v>153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1</v>
      </c>
      <c r="C87" s="2" t="s">
        <v>14</v>
      </c>
      <c r="G87" s="35">
        <f>H87*15</f>
        <v>60</v>
      </c>
      <c r="H87" s="26">
        <f>B74</f>
        <v>4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30</v>
      </c>
      <c r="H88" s="21">
        <f>B77</f>
        <v>2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80</v>
      </c>
      <c r="H89" s="29">
        <f>K74</f>
        <v>8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45</v>
      </c>
      <c r="H90" s="26">
        <f>B75</f>
        <v>3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90</v>
      </c>
      <c r="H91" s="21">
        <f>H74</f>
        <v>6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1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256</v>
      </c>
      <c r="H93" s="21">
        <f>H75</f>
        <v>32</v>
      </c>
      <c r="I93" s="2" t="s">
        <v>103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O17" sqref="O17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45814</v>
      </c>
      <c r="E1" s="95"/>
      <c r="F1" s="95"/>
      <c r="H1" s="63" t="s">
        <v>143</v>
      </c>
      <c r="I1" s="64">
        <f>Mon!D1+49-1</f>
        <v>45858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2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7</v>
      </c>
      <c r="C5" s="2" t="s">
        <v>42</v>
      </c>
      <c r="D5">
        <f>ROUNDDOWN(E5/24,0)</f>
        <v>0</v>
      </c>
      <c r="E5" s="39">
        <v>8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1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31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5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4</v>
      </c>
      <c r="C9" s="2" t="s">
        <v>9</v>
      </c>
      <c r="E9" s="39">
        <v>3</v>
      </c>
      <c r="F9" s="2" t="s">
        <v>9</v>
      </c>
      <c r="H9" s="39">
        <v>7</v>
      </c>
      <c r="I9" s="2" t="s">
        <v>9</v>
      </c>
      <c r="K9" s="39">
        <v>0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8</v>
      </c>
      <c r="I10" s="2" t="s">
        <v>7</v>
      </c>
      <c r="K10" s="39">
        <v>0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8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>
        <v>20</v>
      </c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40</v>
      </c>
      <c r="L19" s="75" t="s">
        <v>44</v>
      </c>
    </row>
    <row r="20" spans="1:15" ht="12.75" customHeight="1" x14ac:dyDescent="0.25">
      <c r="B20" s="39">
        <v>1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73</v>
      </c>
      <c r="C21" s="22" t="s">
        <v>35</v>
      </c>
      <c r="E21" s="39">
        <f>SUM(E4:E20)</f>
        <v>52</v>
      </c>
      <c r="F21" s="22" t="s">
        <v>35</v>
      </c>
      <c r="H21" s="39">
        <f>SUM(H4:H20)</f>
        <v>53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8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0</v>
      </c>
      <c r="F24" s="2" t="s">
        <v>45</v>
      </c>
      <c r="H24" s="39">
        <v>0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6</v>
      </c>
      <c r="C25" s="2" t="s">
        <v>46</v>
      </c>
      <c r="D25">
        <f>ROUNDDOWN(E25/24,0)</f>
        <v>0</v>
      </c>
      <c r="E25" s="39">
        <v>0</v>
      </c>
      <c r="F25" s="2" t="s">
        <v>46</v>
      </c>
      <c r="H25" s="39">
        <v>0</v>
      </c>
      <c r="I25" s="2" t="s">
        <v>30</v>
      </c>
      <c r="K25" s="74">
        <v>30</v>
      </c>
      <c r="L25" s="84" t="s">
        <v>44</v>
      </c>
    </row>
    <row r="26" spans="1:15" ht="12.75" customHeight="1" x14ac:dyDescent="0.25">
      <c r="B26" s="39">
        <v>1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153</v>
      </c>
      <c r="K26" s="98">
        <v>1</v>
      </c>
      <c r="L26" s="75" t="s">
        <v>193</v>
      </c>
    </row>
    <row r="27" spans="1:15" ht="12.75" customHeight="1" thickBot="1" x14ac:dyDescent="0.3">
      <c r="A27">
        <f>ROUNDDOWN(B27/13,0)</f>
        <v>0</v>
      </c>
      <c r="B27" s="39">
        <v>12</v>
      </c>
      <c r="C27" s="2" t="s">
        <v>103</v>
      </c>
      <c r="D27">
        <f>ROUNDDOWN(E27/13,0)</f>
        <v>0</v>
      </c>
      <c r="E27" s="39">
        <v>10</v>
      </c>
      <c r="F27" s="2" t="s">
        <v>103</v>
      </c>
      <c r="H27" s="39">
        <f>SUM(H24:H26)</f>
        <v>0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8</v>
      </c>
      <c r="C28" s="2" t="s">
        <v>47</v>
      </c>
      <c r="E28" s="39">
        <v>0</v>
      </c>
      <c r="F28" s="2" t="s">
        <v>47</v>
      </c>
      <c r="K28" s="74">
        <v>25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12</v>
      </c>
      <c r="C29" s="16" t="s">
        <v>7</v>
      </c>
      <c r="D29">
        <f>ROUNDDOWN(E29/24,0)</f>
        <v>0</v>
      </c>
      <c r="E29" s="39">
        <v>2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40</v>
      </c>
      <c r="C30" s="22" t="s">
        <v>35</v>
      </c>
      <c r="E30" s="39">
        <f>SUM(E24:E29)</f>
        <v>12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123</v>
      </c>
      <c r="L31" s="87" t="s">
        <v>44</v>
      </c>
    </row>
    <row r="32" spans="1:15" ht="12.75" customHeight="1" x14ac:dyDescent="0.25">
      <c r="B32" s="2" t="s">
        <v>36</v>
      </c>
      <c r="C32" s="16">
        <v>4876258831</v>
      </c>
      <c r="E32" s="2" t="s">
        <v>36</v>
      </c>
      <c r="F32" s="13">
        <v>4876275812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12</v>
      </c>
      <c r="C35" s="2" t="s">
        <v>49</v>
      </c>
      <c r="E35" s="21">
        <v>8</v>
      </c>
      <c r="F35" t="s">
        <v>1</v>
      </c>
      <c r="H35" s="39">
        <v>5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12</v>
      </c>
      <c r="C37" s="16" t="s">
        <v>7</v>
      </c>
      <c r="D37" s="23"/>
      <c r="E37" s="17" t="s">
        <v>188</v>
      </c>
      <c r="F37" s="5"/>
      <c r="H37" s="39">
        <f>SUM(H35:H36)</f>
        <v>7</v>
      </c>
      <c r="I37" s="22" t="s">
        <v>35</v>
      </c>
    </row>
    <row r="38" spans="2:15" ht="12.75" customHeight="1" x14ac:dyDescent="0.25">
      <c r="B38" s="39">
        <f>SUM(B35:B37)</f>
        <v>24</v>
      </c>
      <c r="C38" s="22" t="s">
        <v>35</v>
      </c>
      <c r="E38" s="21">
        <v>10</v>
      </c>
      <c r="F38" t="s">
        <v>44</v>
      </c>
    </row>
    <row r="39" spans="2:15" ht="12.75" customHeight="1" x14ac:dyDescent="0.25">
      <c r="E39" s="29">
        <v>20</v>
      </c>
      <c r="F39" s="16" t="s">
        <v>50</v>
      </c>
    </row>
    <row r="40" spans="2:15" ht="12.6" customHeight="1" x14ac:dyDescent="0.25">
      <c r="E40" s="11">
        <f>SUM(E38:E39)</f>
        <v>30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6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1</v>
      </c>
      <c r="I44" s="2" t="s">
        <v>45</v>
      </c>
      <c r="K44" s="47">
        <f>B9+E9+B29+K9+E29+H9+N9</f>
        <v>28</v>
      </c>
      <c r="L44" s="2" t="s">
        <v>9</v>
      </c>
    </row>
    <row r="45" spans="2:15" x14ac:dyDescent="0.25">
      <c r="B45" s="26">
        <f>B5+E5+K5+H5+N5</f>
        <v>21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6</v>
      </c>
      <c r="I45" s="2" t="s">
        <v>46</v>
      </c>
      <c r="K45" s="47">
        <f>B37+B10+B28+E10+K10+H10+N10+E28</f>
        <v>38</v>
      </c>
      <c r="L45" s="2" t="s">
        <v>7</v>
      </c>
    </row>
    <row r="46" spans="2:15" x14ac:dyDescent="0.25">
      <c r="B46" s="26">
        <f>B6+E6+K6+H6+N6</f>
        <v>2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13</v>
      </c>
      <c r="L46" s="2" t="s">
        <v>8</v>
      </c>
    </row>
    <row r="47" spans="2:15" x14ac:dyDescent="0.25">
      <c r="B47" s="26">
        <f>B7+E7+K7+H7+N7</f>
        <v>4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22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120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131</v>
      </c>
      <c r="L48" s="2" t="s">
        <v>44</v>
      </c>
    </row>
    <row r="49" spans="2:12" x14ac:dyDescent="0.25">
      <c r="B49" s="26">
        <f>B13+E13+H13</f>
        <v>1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10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30</v>
      </c>
      <c r="H59" s="26">
        <f>B46</f>
        <v>2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15</v>
      </c>
      <c r="H60" s="21">
        <f>B49</f>
        <v>1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130</v>
      </c>
      <c r="H61" s="29">
        <f>K46</f>
        <v>13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60</v>
      </c>
      <c r="H62" s="26">
        <f>B47</f>
        <v>4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600</v>
      </c>
      <c r="H64" s="21">
        <f>B48</f>
        <v>120</v>
      </c>
      <c r="I64" s="2" t="s">
        <v>50</v>
      </c>
      <c r="K64" s="14">
        <f>A27+D27</f>
        <v>0</v>
      </c>
      <c r="L64" s="2" t="s">
        <v>103</v>
      </c>
    </row>
    <row r="65" spans="2:12" x14ac:dyDescent="0.25">
      <c r="B65" s="13">
        <f>B20+E20+H20</f>
        <v>1</v>
      </c>
      <c r="C65" s="2" t="s">
        <v>18</v>
      </c>
      <c r="G65" s="35">
        <f>H65*8</f>
        <v>176</v>
      </c>
      <c r="H65" s="21">
        <f>H47</f>
        <v>22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C13" sqref="C13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24</v>
      </c>
      <c r="D1" s="46"/>
      <c r="E1" s="46"/>
      <c r="F1" s="63" t="s">
        <v>143</v>
      </c>
      <c r="G1" s="64">
        <f>Mon!D1+49-1</f>
        <v>45858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9</v>
      </c>
      <c r="B6" s="39">
        <v>432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0.5</v>
      </c>
      <c r="J7" s="39">
        <v>24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2</v>
      </c>
      <c r="B10" s="39">
        <v>96</v>
      </c>
      <c r="C10" s="2" t="s">
        <v>1</v>
      </c>
      <c r="D10" s="42"/>
      <c r="E10" s="35">
        <f t="shared" si="1"/>
        <v>1</v>
      </c>
      <c r="F10" s="39">
        <v>48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17</v>
      </c>
      <c r="B12" s="44">
        <f>SUM(B5:B11)</f>
        <v>816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8.5</v>
      </c>
      <c r="J12" s="44">
        <f>SUM(J5:J11)</f>
        <v>408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96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624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24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144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K31" sqref="K31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23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2196</v>
      </c>
      <c r="P3" s="53">
        <f>O3/125</f>
        <v>17.568000000000001</v>
      </c>
      <c r="R3" s="51" t="s">
        <v>117</v>
      </c>
      <c r="S3" s="55">
        <f>12*(D8+J4)</f>
        <v>2292</v>
      </c>
      <c r="T3" s="55">
        <f>15*(A4+D4+G4+J7+J5)+20*D12</f>
        <v>8460</v>
      </c>
      <c r="U3" s="55">
        <f>15*(A5+A9+D5+D9+D10+D11+G5+J6+J8+J10)+20*(A8+D13+G7)</f>
        <v>39405</v>
      </c>
      <c r="V3" s="55">
        <f>15*(A6+J11)</f>
        <v>3180</v>
      </c>
      <c r="W3" s="55">
        <f>15*D6</f>
        <v>0</v>
      </c>
      <c r="X3" s="55">
        <f>15*(A7+D7+G6+J9)</f>
        <v>1275</v>
      </c>
    </row>
    <row r="4" spans="1:24" ht="12.75" customHeight="1" x14ac:dyDescent="0.25">
      <c r="A4" s="31">
        <f>Mon!B70+Tues!B43+Wed!B42+Thurs!B72+Fri!B44+NFLD!A43</f>
        <v>23</v>
      </c>
      <c r="B4" s="2" t="s">
        <v>41</v>
      </c>
      <c r="C4" s="7"/>
      <c r="D4" s="31">
        <f>Mon!E70+Tues!E43+Wed!E42+Thurs!E72+Fri!E44+NFLD!D43</f>
        <v>44</v>
      </c>
      <c r="E4" s="2" t="s">
        <v>19</v>
      </c>
      <c r="F4" s="7"/>
      <c r="G4" s="31">
        <f>Mon!H70+Tues!H43+Wed!H42+Thurs!H72+Fri!H44+NFLD!G43</f>
        <v>9</v>
      </c>
      <c r="H4" s="2" t="s">
        <v>45</v>
      </c>
      <c r="I4" s="7"/>
      <c r="J4" s="31">
        <f>Mon!K70+Tues!K43+Wed!K42+Thurs!K72+Fri!K44+NFLD!J43</f>
        <v>183</v>
      </c>
      <c r="K4" s="2" t="s">
        <v>9</v>
      </c>
      <c r="M4" s="42"/>
      <c r="N4" s="52" t="s">
        <v>7</v>
      </c>
      <c r="O4" s="53">
        <f>J5*10</f>
        <v>3520</v>
      </c>
      <c r="P4" s="53">
        <f>O4/130</f>
        <v>27.076923076923077</v>
      </c>
      <c r="R4" s="51" t="s">
        <v>118</v>
      </c>
      <c r="S4" s="55">
        <f t="shared" ref="S4:X4" si="0">S3/15</f>
        <v>152.80000000000001</v>
      </c>
      <c r="T4" s="55">
        <f t="shared" si="0"/>
        <v>564</v>
      </c>
      <c r="U4" s="55">
        <f t="shared" si="0"/>
        <v>2627</v>
      </c>
      <c r="V4" s="55">
        <f t="shared" si="0"/>
        <v>212</v>
      </c>
      <c r="W4" s="55">
        <f t="shared" si="0"/>
        <v>0</v>
      </c>
      <c r="X4" s="55">
        <f t="shared" si="0"/>
        <v>85</v>
      </c>
    </row>
    <row r="5" spans="1:24" ht="12.75" customHeight="1" x14ac:dyDescent="0.25">
      <c r="A5" s="26">
        <f>Mon!B71+Tues!B44+Wed!B43+Thurs!B73+Fri!B45+NFLD!A44</f>
        <v>127</v>
      </c>
      <c r="B5" s="2" t="s">
        <v>42</v>
      </c>
      <c r="C5" s="24"/>
      <c r="D5" s="26">
        <f>Mon!E71+Tues!E44+Wed!E43+Thurs!E73+Fri!E45+NFLD!D44</f>
        <v>135</v>
      </c>
      <c r="E5" s="2" t="s">
        <v>20</v>
      </c>
      <c r="G5" s="26">
        <f>Mon!H71+Tues!H44+Wed!H43+Thurs!H73+Fri!H45+NFLD!G44</f>
        <v>182</v>
      </c>
      <c r="H5" s="2" t="s">
        <v>46</v>
      </c>
      <c r="J5" s="26">
        <f>Mon!K71+Tues!K44+Wed!K43+Thurs!K73+Fri!K45+NFLD!J44</f>
        <v>352</v>
      </c>
      <c r="K5" s="2" t="s">
        <v>7</v>
      </c>
      <c r="M5" s="42"/>
      <c r="N5" s="52" t="s">
        <v>8</v>
      </c>
      <c r="O5" s="53">
        <f>J6*10</f>
        <v>350</v>
      </c>
      <c r="P5" s="53">
        <f t="shared" ref="P5:P25" si="1">O5/130</f>
        <v>2.6923076923076925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10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10</v>
      </c>
      <c r="H6" s="2" t="s">
        <v>30</v>
      </c>
      <c r="J6" s="26">
        <f>Mon!K72+Tues!K45+Wed!K44+Thurs!K74+Fri!K46+NFLD!J45</f>
        <v>35</v>
      </c>
      <c r="K6" s="2" t="s">
        <v>8</v>
      </c>
      <c r="M6" s="42"/>
      <c r="N6" s="52" t="s">
        <v>51</v>
      </c>
      <c r="O6" s="53">
        <f>J7*15</f>
        <v>2040</v>
      </c>
      <c r="P6" s="53">
        <f>O6/150</f>
        <v>13.6</v>
      </c>
    </row>
    <row r="7" spans="1:24" ht="12.75" customHeight="1" x14ac:dyDescent="0.25">
      <c r="A7" s="26">
        <f>Mon!B73+Tues!B46+Wed!B45+Thurs!B75+Fri!B47+NFLD!A46</f>
        <v>30</v>
      </c>
      <c r="B7" s="2" t="s">
        <v>5</v>
      </c>
      <c r="C7" s="24"/>
      <c r="D7" s="26">
        <f>Mon!E73+Tues!E46+Wed!E45+Thurs!E75+Fri!E47+NFLD!D46</f>
        <v>4</v>
      </c>
      <c r="E7" s="2" t="s">
        <v>21</v>
      </c>
      <c r="G7" s="26">
        <f>Mon!H73+Tues!H46+Wed!H45+Thurs!H75+Fri!H47+NFLD!G46</f>
        <v>108</v>
      </c>
      <c r="H7" s="2" t="s">
        <v>102</v>
      </c>
      <c r="J7" s="26">
        <f>Mon!K73+Tues!K46+Wed!K45+Thurs!K75+Fri!K47+NFLD!J46</f>
        <v>136</v>
      </c>
      <c r="K7" s="2" t="s">
        <v>51</v>
      </c>
      <c r="M7" s="42"/>
      <c r="N7" s="52" t="s">
        <v>44</v>
      </c>
      <c r="O7" s="53">
        <f t="shared" ref="O7" si="2">J8*15</f>
        <v>12870</v>
      </c>
      <c r="P7" s="53">
        <f t="shared" ref="P7:P8" si="3">O7/150</f>
        <v>85.8</v>
      </c>
      <c r="R7" s="12" t="s">
        <v>105</v>
      </c>
      <c r="S7" s="60">
        <f>Mon!C2</f>
        <v>23</v>
      </c>
    </row>
    <row r="8" spans="1:24" ht="12.75" customHeight="1" x14ac:dyDescent="0.25">
      <c r="A8" s="26">
        <f>Mon!B74+Tues!B47+Wed!B46+Thurs!B76+Fri!B48+NFLD!A47</f>
        <v>369</v>
      </c>
      <c r="B8" s="2" t="s">
        <v>6</v>
      </c>
      <c r="C8" s="24"/>
      <c r="D8" s="26">
        <f>Mon!E74+Tues!E47+Wed!E46+Thurs!E76+Fri!E48+NFLD!D47</f>
        <v>8</v>
      </c>
      <c r="E8" s="2" t="s">
        <v>23</v>
      </c>
      <c r="J8" s="26">
        <f>Mon!K74+Tues!K47+Wed!K46+Thurs!K76+Fri!K48+NFLD!J47</f>
        <v>858</v>
      </c>
      <c r="K8" s="2" t="s">
        <v>44</v>
      </c>
      <c r="M8" s="42"/>
      <c r="N8" s="52" t="s">
        <v>2</v>
      </c>
      <c r="O8" s="53">
        <f>J9*15</f>
        <v>615</v>
      </c>
      <c r="P8" s="53">
        <f t="shared" si="3"/>
        <v>4.0999999999999996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11</v>
      </c>
      <c r="B9" s="2" t="s">
        <v>15</v>
      </c>
      <c r="C9" s="24"/>
      <c r="D9" s="26">
        <f>Mon!E75+Tues!E48+Wed!E47+Thurs!E77+Fri!E49+NFLD!D48</f>
        <v>123</v>
      </c>
      <c r="E9" s="2" t="s">
        <v>22</v>
      </c>
      <c r="J9" s="26">
        <f>Mon!K75+Tues!K48+Wed!K47+Thurs!K77+Fri!K49+NFLD!J48</f>
        <v>41</v>
      </c>
      <c r="K9" s="2" t="s">
        <v>2</v>
      </c>
      <c r="M9" s="42"/>
      <c r="N9" s="52" t="s">
        <v>121</v>
      </c>
      <c r="O9" s="53">
        <f>7*(J10+J11)+8*(D12+D13+G7)+5*A9</f>
        <v>5641</v>
      </c>
      <c r="P9" s="53">
        <f>O9/140</f>
        <v>40.292857142857144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188</v>
      </c>
      <c r="K10" s="2" t="s">
        <v>1</v>
      </c>
      <c r="M10" s="42"/>
      <c r="N10" s="52" t="s">
        <v>41</v>
      </c>
      <c r="O10" s="53">
        <f>A4*15</f>
        <v>345</v>
      </c>
      <c r="P10" s="53">
        <f>O10/250</f>
        <v>1.38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202</v>
      </c>
      <c r="K11" s="2" t="s">
        <v>0</v>
      </c>
      <c r="M11" s="42"/>
      <c r="N11" s="52" t="s">
        <v>42</v>
      </c>
      <c r="O11" s="53">
        <f t="shared" ref="O11:O12" si="4">A5*15</f>
        <v>1905</v>
      </c>
      <c r="P11" s="53">
        <f t="shared" ref="P11:P13" si="5">O11/250</f>
        <v>7.62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150</v>
      </c>
      <c r="P12" s="53">
        <f t="shared" si="5"/>
        <v>0.6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249</v>
      </c>
      <c r="E13" s="2" t="s">
        <v>28</v>
      </c>
      <c r="M13" s="42"/>
      <c r="N13" s="52" t="s">
        <v>5</v>
      </c>
      <c r="O13" s="53">
        <f>A7*15</f>
        <v>450</v>
      </c>
      <c r="P13" s="53">
        <f t="shared" si="5"/>
        <v>1.8</v>
      </c>
      <c r="S13" s="59"/>
    </row>
    <row r="14" spans="1:24" ht="12.75" customHeight="1" x14ac:dyDescent="0.25">
      <c r="A14" s="7"/>
      <c r="N14" s="52" t="s">
        <v>126</v>
      </c>
      <c r="O14" s="53">
        <f>5*A9</f>
        <v>55</v>
      </c>
      <c r="P14" s="53">
        <f>O14/50</f>
        <v>1.1000000000000001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165</v>
      </c>
      <c r="P15" s="53">
        <f>O15/250</f>
        <v>0.66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135</v>
      </c>
      <c r="P16" s="53">
        <f t="shared" ref="P16:P18" si="6">O16/250</f>
        <v>0.54</v>
      </c>
    </row>
    <row r="17" spans="1:24" ht="12.75" customHeight="1" x14ac:dyDescent="0.25">
      <c r="A17" s="32">
        <f>Mon!B85+Tues!B58+Wed!B57+Thurs!B87+Fri!B59+NFLD!A58</f>
        <v>1</v>
      </c>
      <c r="B17" s="2" t="s">
        <v>14</v>
      </c>
      <c r="D17" s="26">
        <f>A6</f>
        <v>10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2730</v>
      </c>
      <c r="P17" s="53">
        <f t="shared" si="6"/>
        <v>10.92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11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150</v>
      </c>
      <c r="P18" s="53">
        <f t="shared" si="6"/>
        <v>0.6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35</v>
      </c>
      <c r="E19" s="2" t="s">
        <v>8</v>
      </c>
      <c r="F19" s="24"/>
      <c r="G19" s="14">
        <f>Mon!K87+Tues!K60+Thurs!K89+Fri!K61</f>
        <v>12</v>
      </c>
      <c r="H19" s="2" t="s">
        <v>6</v>
      </c>
      <c r="N19" s="52" t="s">
        <v>127</v>
      </c>
      <c r="O19" s="53">
        <f>8*G7</f>
        <v>864</v>
      </c>
      <c r="P19" s="53">
        <f>O19/50</f>
        <v>17.28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30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660</v>
      </c>
      <c r="P20" s="53">
        <f>O20/150</f>
        <v>4.4000000000000004</v>
      </c>
    </row>
    <row r="21" spans="1:24" ht="12.75" customHeight="1" x14ac:dyDescent="0.25">
      <c r="A21" s="26">
        <f>Mon!B89+Tues!B62+Wed!B61+Thurs!B91+Fri!B63+NFLD!A62</f>
        <v>3</v>
      </c>
      <c r="B21" s="2" t="s">
        <v>12</v>
      </c>
      <c r="D21" s="21">
        <f>G6</f>
        <v>10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2025</v>
      </c>
      <c r="P21" s="53">
        <f t="shared" ref="P21:P23" si="9">O21/150</f>
        <v>13.5</v>
      </c>
    </row>
    <row r="22" spans="1:24" ht="12.75" customHeight="1" x14ac:dyDescent="0.25">
      <c r="A22" s="26">
        <f>Mon!B90+Tues!B63+Wed!B62+Thurs!B92+Fri!B64+NFLD!A63</f>
        <v>1</v>
      </c>
      <c r="B22" s="2" t="s">
        <v>13</v>
      </c>
      <c r="D22" s="21">
        <f>A8</f>
        <v>369</v>
      </c>
      <c r="E22" s="2" t="s">
        <v>50</v>
      </c>
      <c r="F22" s="24"/>
      <c r="G22" s="14">
        <f>Mon!K90+Tues!K63+Thurs!K92+Fri!K64</f>
        <v>3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2</v>
      </c>
      <c r="B23" s="2" t="s">
        <v>18</v>
      </c>
      <c r="D23" s="21">
        <f>G7</f>
        <v>108</v>
      </c>
      <c r="E23" s="2" t="s">
        <v>103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96</v>
      </c>
      <c r="P24" s="53">
        <f>O24/125</f>
        <v>0.76800000000000002</v>
      </c>
    </row>
    <row r="25" spans="1:24" ht="12.75" customHeight="1" x14ac:dyDescent="0.25">
      <c r="F25" s="24"/>
      <c r="N25" s="52" t="s">
        <v>22</v>
      </c>
      <c r="O25" s="53">
        <f>10*D9</f>
        <v>1230</v>
      </c>
      <c r="P25" s="53">
        <f t="shared" si="1"/>
        <v>9.4615384615384617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1992</v>
      </c>
      <c r="P29" s="53">
        <f>O29/50</f>
        <v>39.840000000000003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516</v>
      </c>
      <c r="P32" s="51">
        <f>O32/25-24*(G17+G20+G23)</f>
        <v>-27.36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1641</v>
      </c>
      <c r="P33" s="51">
        <f>O33/25-24*(G18+G21+G24)-20*G19</f>
        <v>-198.36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314</v>
      </c>
      <c r="P34" s="51">
        <f t="shared" ref="P34:P36" si="10">O34/25</f>
        <v>12.56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212</v>
      </c>
      <c r="P35" s="51">
        <f t="shared" si="10"/>
        <v>8.48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85</v>
      </c>
      <c r="P36" s="51">
        <f t="shared" si="10"/>
        <v>3.4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249</v>
      </c>
      <c r="P37" s="51">
        <f>O37/20</f>
        <v>12.45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69</v>
      </c>
      <c r="P38" s="51">
        <f>O38/20-13*G22</f>
        <v>-35.549999999999997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2025-06-05T17:48:56Z</cp:lastPrinted>
  <dcterms:created xsi:type="dcterms:W3CDTF">2014-06-06T13:58:10Z</dcterms:created>
  <dcterms:modified xsi:type="dcterms:W3CDTF">2025-06-06T17:34:41Z</dcterms:modified>
</cp:coreProperties>
</file>