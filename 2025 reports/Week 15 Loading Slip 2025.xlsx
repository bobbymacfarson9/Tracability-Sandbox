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E06D14F9-B86E-4176-9C6B-A11BDF90D46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K91" i="8" s="1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6" i="9"/>
  <c r="K92" i="8"/>
  <c r="K90" i="8"/>
  <c r="K94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<sst xmlns="http://schemas.openxmlformats.org/spreadsheetml/2006/main" count="1137" uniqueCount="193">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</sst>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45754</v>
      </c>
      <c r="E1" s="96"/>
      <c r="F1" s="96"/>
      <c r="H1" s="63" t="s">
        <v>143</v>
      </c>
      <c r="I1" s="64">
        <f>D1+42-1</f>
        <v>45795</v>
      </c>
      <c r="L1" s="19" t="s">
        <v>38</v>
      </c>
    </row>
    <row r="2" spans="1:12" ht="15.75" x14ac:dyDescent="0.25">
      <c r="B2" s="41" t="s">
        <v>105</v>
      </c>
      <c r="C2" s="50">
        <v>15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11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>
        <v>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22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4874925168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6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6377</v>
      </c>
    </row>
    <row r="18" spans="2:10" x14ac:dyDescent="0.25">
      <c r="B18" s="39">
        <v>1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33</v>
      </c>
      <c r="C22" s="2" t="s">
        <v>35</v>
      </c>
      <c r="E22" s="74">
        <v>2</v>
      </c>
      <c r="F22" t="s">
        <v>1</v>
      </c>
      <c r="G22" s="2"/>
      <c r="H22" s="39">
        <v>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6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5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6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45754</v>
      </c>
      <c r="E34" s="96"/>
      <c r="F34" s="96"/>
      <c r="H34" s="63" t="s">
        <v>143</v>
      </c>
      <c r="I34" s="67">
        <f>I1</f>
        <v>45795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4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31</v>
      </c>
      <c r="F38" s="2" t="s">
        <v>20</v>
      </c>
      <c r="H38" s="39">
        <v>29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1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18</v>
      </c>
      <c r="F42" s="2" t="s">
        <v>22</v>
      </c>
      <c r="H42" s="39">
        <v>27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11</v>
      </c>
      <c r="F46" s="16" t="s">
        <v>28</v>
      </c>
      <c r="H46" s="39">
        <v>24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63</v>
      </c>
      <c r="F47" s="2" t="s">
        <v>35</v>
      </c>
      <c r="H47" s="39">
        <f>SUM(H37:H46)</f>
        <v>86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6314</v>
      </c>
      <c r="H49" s="2" t="s">
        <v>36</v>
      </c>
      <c r="I49" s="16">
        <v>6328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8</v>
      </c>
      <c r="C54" s="2" t="s">
        <v>35</v>
      </c>
      <c r="E54" s="39">
        <v>0</v>
      </c>
      <c r="F54" s="2" t="s">
        <v>30</v>
      </c>
      <c r="G54">
        <f>ROUNDDOWN(H54/24,0)</f>
        <v>2</v>
      </c>
      <c r="H54" s="39">
        <v>48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24</v>
      </c>
      <c r="F56" s="2" t="s">
        <v>35</v>
      </c>
      <c r="G56">
        <f>ROUNDDOWN(H56/13,0)</f>
        <v>0</v>
      </c>
      <c r="H56" s="39">
        <v>0</v>
      </c>
      <c r="I56" s="2" t="s">
        <v>103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72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4874926761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105</v>
      </c>
      <c r="E70" s="15">
        <f t="shared" ref="E70:E79" si="0">H5+E37+H37</f>
        <v>7</v>
      </c>
      <c r="F70" s="2" t="s">
        <v>19</v>
      </c>
      <c r="H70" s="13">
        <f>E5+H53</f>
        <v>0</v>
      </c>
      <c r="I70" s="2" t="s">
        <v>45</v>
      </c>
      <c r="K70" s="47">
        <f>B10+E9+B30+B42+H57</f>
        <v>13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1065</v>
      </c>
      <c r="E71" s="14">
        <f t="shared" si="0"/>
        <v>71</v>
      </c>
      <c r="F71" s="2" t="s">
        <v>20</v>
      </c>
      <c r="H71" s="14">
        <f>E6+E16+E59+H54+E53</f>
        <v>132</v>
      </c>
      <c r="I71" s="2" t="s">
        <v>46</v>
      </c>
      <c r="K71" s="13">
        <f>B11+E10+B31+B43+H58</f>
        <v>56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1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510</v>
      </c>
      <c r="E75" s="14">
        <f t="shared" si="0"/>
        <v>51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7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6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328</v>
      </c>
      <c r="E79" s="14">
        <f t="shared" si="0"/>
        <v>41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2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50</v>
      </c>
      <c r="K90" s="14">
        <f>D8+G56</f>
        <v>0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16</v>
      </c>
      <c r="H91" s="21">
        <f>H73</f>
        <v>2</v>
      </c>
      <c r="I91" s="2" t="s">
        <v>103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45755</v>
      </c>
      <c r="E1" s="95"/>
      <c r="F1" s="95"/>
      <c r="H1" s="63" t="s">
        <v>143</v>
      </c>
      <c r="I1" s="64">
        <f>Mon!D1+42-1</f>
        <v>45795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95</v>
      </c>
      <c r="C21" s="2" t="s">
        <v>35</v>
      </c>
      <c r="E21" s="39">
        <f>SUM(E4:E20)</f>
        <v>42</v>
      </c>
      <c r="F21" s="2" t="s">
        <v>35</v>
      </c>
      <c r="H21" s="39">
        <f>SUM(H4:H20)</f>
        <v>61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18</v>
      </c>
      <c r="C27" s="2" t="s">
        <v>103</v>
      </c>
      <c r="D27">
        <f>ROUNDDOWN(E27/13,0)</f>
        <v>0</v>
      </c>
      <c r="E27" s="39">
        <v>6</v>
      </c>
      <c r="F27" s="2" t="s">
        <v>103</v>
      </c>
      <c r="H27" s="39">
        <f>SUM(H24:H26)</f>
        <v>10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3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7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52</v>
      </c>
      <c r="C30" s="2" t="s">
        <v>35</v>
      </c>
      <c r="E30" s="39">
        <f>SUM(E24:E29)</f>
        <v>23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43</v>
      </c>
      <c r="L31" s="89" t="s">
        <v>44</v>
      </c>
    </row>
    <row r="32" spans="1:18" ht="12.4" customHeight="1" x14ac:dyDescent="0.25">
      <c r="B32" s="2" t="s">
        <v>36</v>
      </c>
      <c r="C32" s="16">
        <v>4874976437</v>
      </c>
      <c r="E32" s="2" t="s">
        <v>36</v>
      </c>
      <c r="F32" s="16">
        <v>487477713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30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38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30</v>
      </c>
      <c r="L43" s="2" t="s">
        <v>9</v>
      </c>
    </row>
    <row r="44" spans="2:12" x14ac:dyDescent="0.25">
      <c r="B44" s="26">
        <f>B5+H5+K5+E5</f>
        <v>15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39</v>
      </c>
      <c r="I44" s="2" t="s">
        <v>46</v>
      </c>
      <c r="K44" s="13">
        <f>B10+B29+H10+K10+E10+E29+B37</f>
        <v>25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14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24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155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59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140</v>
      </c>
      <c r="H60" s="29">
        <f>K45</f>
        <v>14</v>
      </c>
      <c r="I60" s="2" t="s">
        <v>8</v>
      </c>
      <c r="K60" s="13">
        <f>A8+D8+G8</f>
        <v>6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775</v>
      </c>
      <c r="H63" s="21">
        <f>B47</f>
        <v>155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192</v>
      </c>
      <c r="H64" s="21">
        <f>H46</f>
        <v>24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J37" sqref="J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45756</v>
      </c>
      <c r="E1" s="95"/>
      <c r="F1" s="95"/>
      <c r="H1" s="63" t="s">
        <v>143</v>
      </c>
      <c r="I1" s="64">
        <f>Mon!D1+49-1</f>
        <v>45802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0</v>
      </c>
      <c r="F4" s="2" t="s">
        <v>41</v>
      </c>
      <c r="H4" s="39">
        <v>2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4</v>
      </c>
      <c r="I5" s="2" t="s">
        <v>42</v>
      </c>
      <c r="K5" s="39">
        <v>20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7</v>
      </c>
      <c r="F7" s="2" t="s">
        <v>9</v>
      </c>
      <c r="H7" s="39">
        <v>4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11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32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60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6</v>
      </c>
      <c r="F13" s="2" t="s">
        <v>42</v>
      </c>
      <c r="H13" s="39">
        <v>9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4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13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27</v>
      </c>
      <c r="F18" s="22" t="s">
        <v>35</v>
      </c>
      <c r="H18" s="39">
        <f>SUM(H12:H17)</f>
        <v>34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11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2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2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10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11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19</v>
      </c>
      <c r="L42" s="2" t="s">
        <v>9</v>
      </c>
    </row>
    <row r="43" spans="2:12" x14ac:dyDescent="0.25">
      <c r="B43" s="91">
        <f>E5+E13+H5+H13+K3+K16+K16</f>
        <v>40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41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17</v>
      </c>
      <c r="L45" s="2" t="s">
        <v>51</v>
      </c>
    </row>
    <row r="46" spans="2:12" x14ac:dyDescent="0.25">
      <c r="B46" s="91">
        <f>E15+E26+H7+H15+K5+K18+K18</f>
        <v>49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13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245</v>
      </c>
      <c r="H62" s="21">
        <f>B46</f>
        <v>49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16" zoomScale="70" zoomScaleNormal="100" zoomScalePageLayoutView="70" workbookViewId="0">
      <selection activeCell="K26" sqref="K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45757</v>
      </c>
      <c r="E1" s="95"/>
      <c r="F1" s="95"/>
      <c r="G1" s="1"/>
      <c r="H1" s="63" t="s">
        <v>143</v>
      </c>
      <c r="I1" s="64">
        <f>Mon!D1+49-1</f>
        <v>45802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2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3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8</v>
      </c>
      <c r="I9" s="16" t="s">
        <v>7</v>
      </c>
      <c r="K9" s="39">
        <v>11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4875035136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8205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46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11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45757</v>
      </c>
      <c r="E35" s="95"/>
      <c r="F35" s="95"/>
      <c r="H35" s="63" t="s">
        <v>143</v>
      </c>
      <c r="I35" s="64">
        <f>I1</f>
        <v>45802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4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4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32</v>
      </c>
      <c r="I39" s="2" t="s">
        <v>20</v>
      </c>
      <c r="K39" s="39">
        <v>19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26</v>
      </c>
      <c r="F41" s="2" t="s">
        <v>103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30</v>
      </c>
      <c r="C42" s="2" t="s">
        <v>6</v>
      </c>
      <c r="E42" s="39">
        <v>10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25</v>
      </c>
      <c r="I43" s="2" t="s">
        <v>22</v>
      </c>
      <c r="K43" s="39">
        <v>26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4875011160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34</v>
      </c>
      <c r="I47" s="16" t="s">
        <v>28</v>
      </c>
      <c r="K47" s="39">
        <v>58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96</v>
      </c>
      <c r="I48" s="2" t="s">
        <v>35</v>
      </c>
      <c r="K48" s="39">
        <f>SUM(K38:K47)</f>
        <v>113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7812</v>
      </c>
      <c r="K50" s="2" t="s">
        <v>36</v>
      </c>
      <c r="L50" s="16">
        <v>8063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74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180</v>
      </c>
      <c r="E72" s="36">
        <f t="shared" ref="E72:E81" si="0">K4+H38+K38</f>
        <v>12</v>
      </c>
      <c r="F72" s="2" t="s">
        <v>19</v>
      </c>
      <c r="H72" s="13">
        <f>H4+E38</f>
        <v>2</v>
      </c>
      <c r="I72" s="2" t="s">
        <v>45</v>
      </c>
      <c r="K72" s="47">
        <f>B9+E8+H8+B43+E42</f>
        <v>31</v>
      </c>
      <c r="L72" s="2" t="s">
        <v>9</v>
      </c>
    </row>
    <row r="73" spans="2:12" x14ac:dyDescent="0.25">
      <c r="B73" s="26">
        <f>B5+E5+B39</f>
        <v>10</v>
      </c>
      <c r="C73" s="2" t="s">
        <v>42</v>
      </c>
      <c r="D73" s="35">
        <f t="shared" ref="D73:D79" si="1">E73*15</f>
        <v>795</v>
      </c>
      <c r="E73" s="37">
        <f t="shared" si="0"/>
        <v>53</v>
      </c>
      <c r="F73" s="2" t="s">
        <v>20</v>
      </c>
      <c r="H73" s="47">
        <f>H5+H15+E50+E39+E57</f>
        <v>6</v>
      </c>
      <c r="I73" s="2" t="s">
        <v>46</v>
      </c>
      <c r="K73" s="47">
        <f>B10+E9+H9+B44+E43</f>
        <v>64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36</v>
      </c>
      <c r="I75" s="2" t="s">
        <v>102</v>
      </c>
      <c r="K75" s="47">
        <f>B28+K54</f>
        <v>16</v>
      </c>
      <c r="L75" s="2" t="s">
        <v>51</v>
      </c>
    </row>
    <row r="76" spans="2:12" x14ac:dyDescent="0.25">
      <c r="B76" s="26">
        <f>B8+B42</f>
        <v>70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620</v>
      </c>
      <c r="E77" s="37">
        <f t="shared" si="0"/>
        <v>62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824</v>
      </c>
      <c r="E81" s="37">
        <f t="shared" si="0"/>
        <v>103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350</v>
      </c>
      <c r="H92" s="21">
        <f>B76</f>
        <v>70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288</v>
      </c>
      <c r="H93" s="21">
        <f>H75</f>
        <v>36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45758</v>
      </c>
      <c r="E1" s="95"/>
      <c r="F1" s="95"/>
      <c r="H1" s="63" t="s">
        <v>143</v>
      </c>
      <c r="I1" s="64">
        <f>Mon!D1+49-1</f>
        <v>45802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11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10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4</v>
      </c>
      <c r="C9" s="2" t="s">
        <v>9</v>
      </c>
      <c r="E9" s="39">
        <v>7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4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8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4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12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81</v>
      </c>
      <c r="C21" s="22" t="s">
        <v>35</v>
      </c>
      <c r="E21" s="39">
        <f>SUM(E4:E20)</f>
        <v>53</v>
      </c>
      <c r="F21" s="22" t="s">
        <v>35</v>
      </c>
      <c r="H21" s="39">
        <f>SUM(H4:H20)</f>
        <v>57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10</v>
      </c>
      <c r="F25" s="2" t="s">
        <v>46</v>
      </c>
      <c r="H25" s="39">
        <v>0</v>
      </c>
      <c r="I25" s="2" t="s">
        <v>30</v>
      </c>
      <c r="K25" s="74">
        <v>26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15</v>
      </c>
      <c r="C27" s="2" t="s">
        <v>103</v>
      </c>
      <c r="D27">
        <f>ROUNDDOWN(E27/13,0)</f>
        <v>1</v>
      </c>
      <c r="E27" s="39">
        <v>14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24</v>
      </c>
      <c r="C30" s="22" t="s">
        <v>35</v>
      </c>
      <c r="E30" s="39">
        <f>SUM(E24:E29)</f>
        <v>39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61</v>
      </c>
      <c r="L31" s="87" t="s">
        <v>44</v>
      </c>
    </row>
    <row r="32" spans="1:15" ht="12.75" customHeight="1" x14ac:dyDescent="0.25">
      <c r="B32" s="2" t="s">
        <v>36</v>
      </c>
      <c r="C32" s="16">
        <v>4875055783</v>
      </c>
      <c r="E32" s="2" t="s">
        <v>36</v>
      </c>
      <c r="F32" s="13">
        <v>4875042390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6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18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25</v>
      </c>
      <c r="F39" s="16" t="s">
        <v>50</v>
      </c>
    </row>
    <row r="40" spans="2:15" ht="12.6" customHeight="1" x14ac:dyDescent="0.25">
      <c r="E40" s="11">
        <f>SUM(E38:E39)</f>
        <v>33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25</v>
      </c>
      <c r="L44" s="2" t="s">
        <v>9</v>
      </c>
    </row>
    <row r="45" spans="2:15" x14ac:dyDescent="0.25">
      <c r="B45" s="26">
        <f>B5+E5+K5+H5+N5</f>
        <v>21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10</v>
      </c>
      <c r="I45" s="2" t="s">
        <v>46</v>
      </c>
      <c r="K45" s="47">
        <f>B37+B10+B28+E10+K10+H10+N10+E28</f>
        <v>37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16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145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66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6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160</v>
      </c>
      <c r="H61" s="29">
        <f>K46</f>
        <v>16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725</v>
      </c>
      <c r="H64" s="21">
        <f>B48</f>
        <v>145</v>
      </c>
      <c r="I64" s="2" t="s">
        <v>50</v>
      </c>
      <c r="K64" s="14">
        <f>A27+D27</f>
        <v>2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232</v>
      </c>
      <c r="H65" s="21">
        <f>H47</f>
        <v>29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20" sqref="E20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16</v>
      </c>
      <c r="D1" s="46"/>
      <c r="E1" s="46"/>
      <c r="F1" s="63" t="s">
        <v>143</v>
      </c>
      <c r="G1" s="64">
        <f>Mon!D1+49-1</f>
        <v>45802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0.5</v>
      </c>
      <c r="J5" s="39">
        <v>24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2</v>
      </c>
      <c r="J9" s="39">
        <v>96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6</v>
      </c>
      <c r="J12" s="44">
        <f>SUM(J5:J11)</f>
        <v>288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72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432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L23" sqref="L2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15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1992</v>
      </c>
      <c r="P3" s="53">
        <f>O3/125</f>
        <v>15.936</v>
      </c>
      <c r="R3" s="51" t="s">
        <v>117</v>
      </c>
      <c r="S3" s="55">
        <f>12*(D8+J4)</f>
        <v>2004</v>
      </c>
      <c r="T3" s="55">
        <f>15*(A4+D4+G4+J7+J5)+20*D12</f>
        <v>7845</v>
      </c>
      <c r="U3" s="55">
        <f>15*(A5+A9+D5+D9+D10+D11+G5+J6+J8+J10)+20*(A8+D13+G7)</f>
        <v>31935</v>
      </c>
      <c r="V3" s="55">
        <f>15*(A6+J11)</f>
        <v>2400</v>
      </c>
      <c r="W3" s="55">
        <f>15*D6</f>
        <v>0</v>
      </c>
      <c r="X3" s="55">
        <f>15*(A7+D7+G6+J9)</f>
        <v>1170</v>
      </c>
    </row>
    <row r="4" spans="1:24" ht="12.75" customHeight="1" x14ac:dyDescent="0.25">
      <c r="A4" s="31">
        <f>Mon!B70+Tues!B43+Wed!B42+Thurs!B72+Fri!B44+NFLD!A43</f>
        <v>20</v>
      </c>
      <c r="B4" s="2" t="s">
        <v>41</v>
      </c>
      <c r="C4" s="7"/>
      <c r="D4" s="31">
        <f>Mon!E70+Tues!E43+Wed!E42+Thurs!E72+Fri!E44+NFLD!D43</f>
        <v>19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166</v>
      </c>
      <c r="K4" s="2" t="s">
        <v>9</v>
      </c>
      <c r="M4" s="42"/>
      <c r="N4" s="52" t="s">
        <v>7</v>
      </c>
      <c r="O4" s="53">
        <f>J5*10</f>
        <v>3670</v>
      </c>
      <c r="P4" s="53">
        <f>O4/130</f>
        <v>28.23076923076923</v>
      </c>
      <c r="R4" s="51" t="s">
        <v>118</v>
      </c>
      <c r="S4" s="55">
        <f t="shared" ref="S4:X4" si="0">S3/15</f>
        <v>133.6</v>
      </c>
      <c r="T4" s="55">
        <f t="shared" si="0"/>
        <v>523</v>
      </c>
      <c r="U4" s="55">
        <f t="shared" si="0"/>
        <v>2129</v>
      </c>
      <c r="V4" s="55">
        <f t="shared" si="0"/>
        <v>160</v>
      </c>
      <c r="W4" s="55">
        <f t="shared" si="0"/>
        <v>0</v>
      </c>
      <c r="X4" s="55">
        <f t="shared" si="0"/>
        <v>78</v>
      </c>
    </row>
    <row r="5" spans="1:24" ht="12.75" customHeight="1" x14ac:dyDescent="0.25">
      <c r="A5" s="26">
        <f>Mon!B71+Tues!B44+Wed!B43+Thurs!B73+Fri!B45+NFLD!A44</f>
        <v>90</v>
      </c>
      <c r="B5" s="2" t="s">
        <v>42</v>
      </c>
      <c r="C5" s="24"/>
      <c r="D5" s="26">
        <f>Mon!E71+Tues!E44+Wed!E43+Thurs!E73+Fri!E45+NFLD!D44</f>
        <v>124</v>
      </c>
      <c r="E5" s="2" t="s">
        <v>20</v>
      </c>
      <c r="G5" s="26">
        <f>Mon!H71+Tues!H44+Wed!H43+Thurs!H73+Fri!H45+NFLD!G44</f>
        <v>187</v>
      </c>
      <c r="H5" s="2" t="s">
        <v>46</v>
      </c>
      <c r="J5" s="26">
        <f>Mon!K71+Tues!K44+Wed!K43+Thurs!K73+Fri!K45+NFLD!J44</f>
        <v>367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6</v>
      </c>
      <c r="H6" s="2" t="s">
        <v>30</v>
      </c>
      <c r="J6" s="26">
        <f>Mon!K72+Tues!K45+Wed!K44+Thurs!K74+Fri!K46+NFLD!J45</f>
        <v>30</v>
      </c>
      <c r="K6" s="2" t="s">
        <v>8</v>
      </c>
      <c r="M6" s="42"/>
      <c r="N6" s="52" t="s">
        <v>51</v>
      </c>
      <c r="O6" s="53">
        <f>J7*15</f>
        <v>1650</v>
      </c>
      <c r="P6" s="53">
        <f>O6/150</f>
        <v>11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91</v>
      </c>
      <c r="H7" s="2" t="s">
        <v>102</v>
      </c>
      <c r="J7" s="26">
        <f>Mon!K73+Tues!K46+Wed!K45+Thurs!K75+Fri!K47+NFLD!J46</f>
        <v>110</v>
      </c>
      <c r="K7" s="2" t="s">
        <v>51</v>
      </c>
      <c r="M7" s="42"/>
      <c r="N7" s="52" t="s">
        <v>44</v>
      </c>
      <c r="O7" s="53">
        <f t="shared" ref="O7" si="2">J8*15</f>
        <v>8880</v>
      </c>
      <c r="P7" s="53">
        <f t="shared" ref="P7:P8" si="3">O7/150</f>
        <v>59.2</v>
      </c>
      <c r="R7" s="12" t="s">
        <v>105</v>
      </c>
      <c r="S7" s="60">
        <f>Mon!C2</f>
        <v>15</v>
      </c>
    </row>
    <row r="8" spans="1:24" ht="12.75" customHeight="1" x14ac:dyDescent="0.25">
      <c r="A8" s="26">
        <f>Mon!B74+Tues!B47+Wed!B46+Thurs!B76+Fri!B48+NFLD!A47</f>
        <v>419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592</v>
      </c>
      <c r="K8" s="2" t="s">
        <v>44</v>
      </c>
      <c r="M8" s="42"/>
      <c r="N8" s="52" t="s">
        <v>2</v>
      </c>
      <c r="O8" s="53">
        <f>J9*15</f>
        <v>675</v>
      </c>
      <c r="P8" s="53">
        <f t="shared" si="3"/>
        <v>4.5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113</v>
      </c>
      <c r="E9" s="2" t="s">
        <v>22</v>
      </c>
      <c r="J9" s="26">
        <f>Mon!K75+Tues!K48+Wed!K47+Thurs!K77+Fri!K49+NFLD!J48</f>
        <v>45</v>
      </c>
      <c r="K9" s="2" t="s">
        <v>2</v>
      </c>
      <c r="M9" s="42"/>
      <c r="N9" s="52" t="s">
        <v>121</v>
      </c>
      <c r="O9" s="53">
        <f>7*(J10+J11)+8*(D12+D13+G7)+5*A9</f>
        <v>3813</v>
      </c>
      <c r="P9" s="53">
        <f>O9/140</f>
        <v>27.235714285714284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118</v>
      </c>
      <c r="K10" s="2" t="s">
        <v>1</v>
      </c>
      <c r="M10" s="42"/>
      <c r="N10" s="52" t="s">
        <v>41</v>
      </c>
      <c r="O10" s="53">
        <f>A4*15</f>
        <v>300</v>
      </c>
      <c r="P10" s="53">
        <f>O10/250</f>
        <v>1.2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156</v>
      </c>
      <c r="K11" s="2" t="s">
        <v>0</v>
      </c>
      <c r="M11" s="42"/>
      <c r="N11" s="52" t="s">
        <v>42</v>
      </c>
      <c r="O11" s="53">
        <f t="shared" ref="O11:O12" si="4">A5*15</f>
        <v>1350</v>
      </c>
      <c r="P11" s="53">
        <f t="shared" ref="P11:P13" si="5">O11/250</f>
        <v>5.4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144</v>
      </c>
      <c r="E13" s="2" t="s">
        <v>28</v>
      </c>
      <c r="M13" s="42"/>
      <c r="N13" s="52" t="s">
        <v>5</v>
      </c>
      <c r="O13" s="53">
        <f>A7*15</f>
        <v>330</v>
      </c>
      <c r="P13" s="53">
        <f t="shared" si="5"/>
        <v>1.32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2805</v>
      </c>
      <c r="P17" s="53">
        <f t="shared" si="6"/>
        <v>11.22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30</v>
      </c>
      <c r="E19" s="2" t="s">
        <v>8</v>
      </c>
      <c r="F19" s="24"/>
      <c r="G19" s="14">
        <f>Mon!K87+Tues!K60+Thurs!K89+Fri!K61</f>
        <v>14</v>
      </c>
      <c r="H19" s="2" t="s">
        <v>6</v>
      </c>
      <c r="N19" s="52" t="s">
        <v>127</v>
      </c>
      <c r="O19" s="53">
        <f>8*G7</f>
        <v>728</v>
      </c>
      <c r="P19" s="53">
        <f>O19/50</f>
        <v>14.56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285</v>
      </c>
      <c r="P20" s="53">
        <f>O20/150</f>
        <v>1.9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6</v>
      </c>
      <c r="E21" s="2" t="s">
        <v>30</v>
      </c>
      <c r="F21" s="24"/>
      <c r="G21" s="14">
        <f>Mon!K89+Tues!K62+Thurs!K91+Fri!K63</f>
        <v>3</v>
      </c>
      <c r="H21" s="2" t="s">
        <v>46</v>
      </c>
      <c r="N21" s="52" t="s">
        <v>20</v>
      </c>
      <c r="O21" s="53">
        <f t="shared" ref="O21:O23" si="8">15*D5</f>
        <v>1860</v>
      </c>
      <c r="P21" s="53">
        <f t="shared" ref="P21:P23" si="9">O21/150</f>
        <v>12.4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419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91</v>
      </c>
      <c r="E23" s="2" t="s">
        <v>103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1130</v>
      </c>
      <c r="P25" s="53">
        <f t="shared" si="1"/>
        <v>8.6923076923076916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1152</v>
      </c>
      <c r="P29" s="53">
        <f>O29/50</f>
        <v>23.04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427</v>
      </c>
      <c r="P32" s="51">
        <f>O32/25-24*(G17+G20+G23)</f>
        <v>-78.92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1211</v>
      </c>
      <c r="P33" s="51">
        <f>O33/25-24*(G18+G21+G24)-20*G19</f>
        <v>-303.56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280</v>
      </c>
      <c r="P34" s="51">
        <f t="shared" ref="P34:P36" si="10">O34/25</f>
        <v>11.2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160</v>
      </c>
      <c r="P35" s="51">
        <f t="shared" si="10"/>
        <v>6.4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78</v>
      </c>
      <c r="P36" s="51">
        <f t="shared" si="10"/>
        <v>3.12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144</v>
      </c>
      <c r="P37" s="51">
        <f>O37/20</f>
        <v>7.2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26</v>
      </c>
      <c r="P38" s="51">
        <f>O38/20-13*G22</f>
        <v>-63.7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2025-04-10T11:56:28Z</cp:lastPrinted>
  <dcterms:created xsi:type="dcterms:W3CDTF">2014-06-06T13:58:10Z</dcterms:created>
  <dcterms:modified xsi:type="dcterms:W3CDTF">2025-04-14T11:38:24Z</dcterms:modified>
</cp:coreProperties>
</file>