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871607D6-07CB-45CB-AC13-4DA75DF389C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S4" i="12" l="1"/>
  <c r="T4" i="12"/>
  <c r="U4" i="12"/>
  <c r="V4" i="12"/>
  <c r="W4" i="12"/>
  <c r="X4" i="12"/>
  <c r="S7" i="12"/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K66" i="9" l="1"/>
  <c r="K59" i="9"/>
  <c r="K64" i="9"/>
  <c r="K62" i="9"/>
  <c r="K94" i="8"/>
  <c r="K91" i="8"/>
  <c r="K92" i="8"/>
  <c r="K90" i="8"/>
  <c r="K61" i="7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O24" i="12"/>
  <c r="P24" i="12" s="1"/>
  <c r="O37" i="12"/>
  <c r="P37" i="12" s="1"/>
  <c r="D17" i="12"/>
  <c r="V3" i="12"/>
  <c r="O12" i="12"/>
  <c r="P12" i="12" s="1"/>
  <c r="D21" i="12"/>
  <c r="O18" i="12"/>
  <c r="P18" i="12" s="1"/>
  <c r="D20" i="12"/>
  <c r="X3" i="12"/>
  <c r="O13" i="12"/>
  <c r="P13" i="12" s="1"/>
  <c r="D23" i="12"/>
  <c r="O19" i="12"/>
  <c r="P19" i="12" s="1"/>
  <c r="O5" i="12"/>
  <c r="P5" i="12" s="1"/>
  <c r="T3" i="12"/>
  <c r="O10" i="12"/>
  <c r="P10" i="12" s="1"/>
  <c r="S3" i="12"/>
  <c r="O9" i="12"/>
  <c r="P9" i="12" s="1"/>
  <c r="O11" i="12"/>
  <c r="P11" i="12" s="1"/>
  <c r="U3" i="12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<sst xmlns="http://schemas.openxmlformats.org/spreadsheetml/2006/main" count="1138" uniqueCount="194">
  <si>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</si>
  <si>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</si>
  <si>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</si>
  <si>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</si>
  <si>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</si>
  <si>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</si>
  <si>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</si>
  <si>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</si>
  <si>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</si>
  <si>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</si>
  <si>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</si>
  <si>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</si>
  <si>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</si>
  <si>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</si>
  <si>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</si>
  <si>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</si>
  <si>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</si>
  <si>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</si>
  <si>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</si>
  <si>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</si>
  <si>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</si>
  <si>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</si>
  <si>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</si>
  <si>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</si>
  <si>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</si>
  <si>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</si>
  <si>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</si>
  <si>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</si>
  <si>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</si>
  <si>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</si>
  <si>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</si>
  <si>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</si>
  <si>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</si>
  <si>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</si>
  <si>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</si>
  <si>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</si>
  <si>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</si>
  <si>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</si>
  <si>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</si>
  <si>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</si>
  <si>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</si>
  <si>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</si>
  <si>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</si>
  <si>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</si>
  <si>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</si>
  <si>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</si>
  <si>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</si>
  <si>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</si>
  <si>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</si>
  <si>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</si>
  <si>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</si>
  <si>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</si>
  <si>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</si>
  <si>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</si>
  <si>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</si>
  <si>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</si>
  <si>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</si>
  <si>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</si>
  <si>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</si>
  <si>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</si>
  <si>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</si>
  <si>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</si>
  <si>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</si>
  <si>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</si>
  <si>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</si>
  <si>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</si>
  <si>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</si>
  <si>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</si>
  <si>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</si>
  <si>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</si>
  <si>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</si>
  <si>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</si>
  <si>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</si>
  <si>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</si>
  <si>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</si>
  <si>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</si>
  <si>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</si>
  <si>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</si>
  <si>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</si>
  <si>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</si>
  <si>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</si>
  <si>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</si>
  <si>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</si>
  <si>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</si>
  <si>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</si>
  <si>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</si>
  <si>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</si>
  <si>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</si>
  <si>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</si>
  <si>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</si>
  <si>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</si>
  <si>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</si>
  <si>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</si>
  <si>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</si>
  <si>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</si>
  <si>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</si>
  <si>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</si>
  <si>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</si>
  <si>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</si>
  <si>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</si>
  <si>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</si>
  <si>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</si>
  <si>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</si>
  <si>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</si>
  <si>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</si>
  <si>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</si>
  <si>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</si>
  <si>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</si>
  <si>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</si>
  <si>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</si>
  <si>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</si>
  <si>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</si>
  <si>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</si>
  <si>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</si>
  <si>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</si>
  <si>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</si>
  <si>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</si>
  <si>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</si>
  <si>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</si>
  <si>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</si>
  <si>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</si>
  <si>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</si>
  <si>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</si>
  <si>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</si>
  <si>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</si>
  <si>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</si>
  <si>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</si>
  <si>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</si>
  <si>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</si>
  <si>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</si>
  <si>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</si>
  <si>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</si>
  <si>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</si>
  <si>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</si>
  <si>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</si>
  <si>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</si>
  <si>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</si>
  <si>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</si>
  <si>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</si>
  <si>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</si>
  <si>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</si>
  <si>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</si>
  <si>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</si>
  <si>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</si>
  <si>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</si>
  <si>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</si>
  <si>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</si>
  <si>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</si>
  <si>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</si>
  <si>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</si>
  <si>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</si>
  <si>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</si>
  <si>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</si>
  <si>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</si>
  <si>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</si>
  <si>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</si>
  <si>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</si>
  <si>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</si>
  <si>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</si>
  <si>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</si>
  <si>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</si>
  <si>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</si>
  <si>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</si>
  <si>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</si>
  <si>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</si>
  <si>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</si>
  <si>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</si>
  <si>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</si>
  <si>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</si>
  <si>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</si>
  <si>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</si>
  <si>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</si>
  <si>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</si>
  <si>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</si>
  <si>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</si>
  <si>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</si>
  <si>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</si>
  <si>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</si>
  <si>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</si>
  <si>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</si>
  <si>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</si>
  <si>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</si>
  <si>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</si>
  <si>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</si>
  <si>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</si>
  <si>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</si>
  <si>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</si>
  <si>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</si>
  <si>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</si>
  <si>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</si>
  <si>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</si>
  <si>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</si>
  <si>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</si>
  <si>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4876620183/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</si>
</sst>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2" sqref="L4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45831</v>
      </c>
      <c r="E1" s="96"/>
      <c r="F1" s="96"/>
      <c r="H1" s="63" t="s">
        <v>143</v>
      </c>
      <c r="I1" s="64">
        <f>D1+42-1</f>
        <v>45872</v>
      </c>
      <c r="L1" s="19" t="s">
        <v>38</v>
      </c>
    </row>
    <row r="2" spans="1:12" ht="15.75" x14ac:dyDescent="0.25">
      <c r="B2" s="41" t="s">
        <v>105</v>
      </c>
      <c r="C2" s="50">
        <v>26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3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6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1</v>
      </c>
      <c r="E8" s="39">
        <v>13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42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4876623954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1</v>
      </c>
      <c r="F17" s="2" t="s">
        <v>30</v>
      </c>
      <c r="H17" s="2" t="s">
        <v>36</v>
      </c>
      <c r="I17" s="16"/>
    </row>
    <row r="18" spans="2:10" x14ac:dyDescent="0.25">
      <c r="B18" s="39">
        <v>1</v>
      </c>
      <c r="C18" s="2" t="s">
        <v>151</v>
      </c>
      <c r="E18" s="39">
        <v>1</v>
      </c>
      <c r="F18" s="16" t="s">
        <v>12</v>
      </c>
    </row>
    <row r="19" spans="2:10" x14ac:dyDescent="0.25">
      <c r="B19" s="39">
        <v>1</v>
      </c>
      <c r="C19" s="2" t="s">
        <v>153</v>
      </c>
      <c r="E19" s="39">
        <f>SUM(E16:E18)</f>
        <v>26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36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45831</v>
      </c>
      <c r="E34" s="96"/>
      <c r="F34" s="96"/>
      <c r="H34" s="63" t="s">
        <v>143</v>
      </c>
      <c r="I34" s="67">
        <f>I1</f>
        <v>45872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15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8</v>
      </c>
      <c r="F42" s="2" t="s">
        <v>22</v>
      </c>
      <c r="H42" s="39">
        <v>15</v>
      </c>
      <c r="I42" s="2" t="s">
        <v>22</v>
      </c>
    </row>
    <row r="43" spans="1:12" x14ac:dyDescent="0.25">
      <c r="A43">
        <f>ROUNDDOWN(B43/24,0)</f>
        <v>0</v>
      </c>
      <c r="B43" s="39">
        <v>5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21</v>
      </c>
      <c r="F46" s="16" t="s">
        <v>28</v>
      </c>
      <c r="H46" s="39">
        <v>24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61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1073</v>
      </c>
      <c r="H49" s="2" t="s">
        <v>36</v>
      </c>
      <c r="I49" s="16">
        <v>1201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32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26</v>
      </c>
      <c r="I56" s="2" t="s">
        <v>103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83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4876608083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135</v>
      </c>
      <c r="E70" s="15">
        <f t="shared" ref="E70:E79" si="0">H5+E37+H37</f>
        <v>9</v>
      </c>
      <c r="F70" s="2" t="s">
        <v>19</v>
      </c>
      <c r="H70" s="13">
        <f>E5+H53</f>
        <v>5</v>
      </c>
      <c r="I70" s="2" t="s">
        <v>45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8</v>
      </c>
      <c r="C71" s="2" t="s">
        <v>42</v>
      </c>
      <c r="D71" s="35">
        <f t="shared" ref="D71:D77" si="1">E71*15</f>
        <v>450</v>
      </c>
      <c r="E71" s="14">
        <f t="shared" si="0"/>
        <v>30</v>
      </c>
      <c r="F71" s="2" t="s">
        <v>20</v>
      </c>
      <c r="H71" s="14">
        <f>E6+E16+E59+H54+E53</f>
        <v>90</v>
      </c>
      <c r="I71" s="2" t="s">
        <v>46</v>
      </c>
      <c r="K71" s="13">
        <f>B11+E10+B31+B43+H58</f>
        <v>39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39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2</v>
      </c>
      <c r="C75" s="2" t="s">
        <v>15</v>
      </c>
      <c r="D75" s="35">
        <f>E75*10</f>
        <v>230</v>
      </c>
      <c r="E75" s="14">
        <f t="shared" si="0"/>
        <v>23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360</v>
      </c>
      <c r="E79" s="14">
        <f t="shared" si="0"/>
        <v>45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3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312</v>
      </c>
      <c r="H91" s="21">
        <f>H73</f>
        <v>39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45832</v>
      </c>
      <c r="E1" s="95"/>
      <c r="F1" s="95"/>
      <c r="H1" s="63" t="s">
        <v>143</v>
      </c>
      <c r="I1" s="64">
        <f>Mon!D1+42-1</f>
        <v>45872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3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76</v>
      </c>
      <c r="C21" s="2" t="s">
        <v>35</v>
      </c>
      <c r="E21" s="39">
        <f>SUM(E4:E20)</f>
        <v>39</v>
      </c>
      <c r="F21" s="2" t="s">
        <v>35</v>
      </c>
      <c r="H21" s="39">
        <f>SUM(H4:H20)</f>
        <v>55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3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3</v>
      </c>
      <c r="I27" s="2" t="s">
        <v>35</v>
      </c>
      <c r="K27" s="74">
        <v>28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17</v>
      </c>
      <c r="C30" s="2" t="s">
        <v>35</v>
      </c>
      <c r="E30" s="39">
        <f>SUM(E24:E29)</f>
        <v>27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51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4876678674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27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20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9</v>
      </c>
      <c r="I44" s="2" t="s">
        <v>46</v>
      </c>
      <c r="K44" s="13">
        <f>B10+B29+H10+K10+E10+E29+B37</f>
        <v>35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9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99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77</v>
      </c>
      <c r="L47" s="2" t="s">
        <v>44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90</v>
      </c>
      <c r="H60" s="29">
        <f>K45</f>
        <v>9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495</v>
      </c>
      <c r="H63" s="21">
        <f>B47</f>
        <v>99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144</v>
      </c>
      <c r="H64" s="21">
        <f>H46</f>
        <v>18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15" sqref="G15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45833</v>
      </c>
      <c r="E1" s="95"/>
      <c r="F1" s="95"/>
      <c r="H1" s="63" t="s">
        <v>143</v>
      </c>
      <c r="I1" s="64">
        <f>Mon!D1+49-1</f>
        <v>45879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8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8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12</v>
      </c>
      <c r="F7" s="2" t="s">
        <v>9</v>
      </c>
      <c r="H7" s="39">
        <v>8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22</v>
      </c>
      <c r="F8" s="16" t="s">
        <v>7</v>
      </c>
      <c r="H8" s="39">
        <f>SUM(H4:H7)</f>
        <v>21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49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65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32</v>
      </c>
      <c r="F18" s="22" t="s">
        <v>35</v>
      </c>
      <c r="H18" s="39">
        <f>SUM(H12:H17)</f>
        <v>38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7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12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23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0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6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4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12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26</v>
      </c>
      <c r="L42" s="2" t="s">
        <v>9</v>
      </c>
    </row>
    <row r="43" spans="2:12" x14ac:dyDescent="0.25">
      <c r="B43" s="91">
        <f>E5+E13+H5+H13+K3+K16+K16</f>
        <v>58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48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17</v>
      </c>
      <c r="L45" s="2" t="s">
        <v>51</v>
      </c>
    </row>
    <row r="46" spans="2:12" x14ac:dyDescent="0.25">
      <c r="B46" s="91">
        <f>E15+E26+H7+H15+K5+K18+K18</f>
        <v>53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40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18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270</v>
      </c>
      <c r="H60" s="26">
        <f>B45</f>
        <v>18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265</v>
      </c>
      <c r="H62" s="21">
        <f>B46</f>
        <v>53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45834</v>
      </c>
      <c r="E1" s="95"/>
      <c r="F1" s="95"/>
      <c r="G1" s="1"/>
      <c r="H1" s="63" t="s">
        <v>143</v>
      </c>
      <c r="I1" s="64">
        <f>Mon!D1+49-1</f>
        <v>45879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5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15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1</v>
      </c>
      <c r="H7" s="39">
        <v>20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5</v>
      </c>
      <c r="F8" s="2" t="s">
        <v>9</v>
      </c>
      <c r="H8" s="39">
        <v>8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7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10</v>
      </c>
      <c r="L9" s="2" t="s">
        <v>22</v>
      </c>
    </row>
    <row r="10" spans="1:12" x14ac:dyDescent="0.25">
      <c r="A10">
        <f>ROUNDDOWN(B10/24,0)</f>
        <v>0</v>
      </c>
      <c r="B10" s="39">
        <v>8</v>
      </c>
      <c r="C10" s="2" t="s">
        <v>7</v>
      </c>
      <c r="E10" s="39">
        <v>0</v>
      </c>
      <c r="F10" s="16" t="s">
        <v>8</v>
      </c>
      <c r="H10" s="39">
        <f>SUM(H4:H9)</f>
        <v>48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4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4876703566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8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37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2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2440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67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9</v>
      </c>
      <c r="C28" s="2" t="s">
        <v>51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45834</v>
      </c>
      <c r="E35" s="95"/>
      <c r="F35" s="95"/>
      <c r="H35" s="63" t="s">
        <v>143</v>
      </c>
      <c r="I35" s="64">
        <f>I1</f>
        <v>45879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4</v>
      </c>
      <c r="F38" s="2" t="s">
        <v>32</v>
      </c>
      <c r="H38" s="39">
        <v>13</v>
      </c>
      <c r="I38" s="2" t="s">
        <v>19</v>
      </c>
      <c r="K38" s="39">
        <v>14</v>
      </c>
      <c r="L38" s="2" t="s">
        <v>19</v>
      </c>
    </row>
    <row r="39" spans="1:12" x14ac:dyDescent="0.25">
      <c r="A39">
        <f>ROUNDDOWN(B39/24,0)</f>
        <v>0</v>
      </c>
      <c r="B39" s="39">
        <v>12</v>
      </c>
      <c r="C39" s="2" t="s">
        <v>42</v>
      </c>
      <c r="D39">
        <f>ROUNDDOWN(E39/24,0)</f>
        <v>0</v>
      </c>
      <c r="E39" s="39">
        <v>7</v>
      </c>
      <c r="F39" s="2" t="s">
        <v>31</v>
      </c>
      <c r="H39" s="39">
        <v>33</v>
      </c>
      <c r="I39" s="2" t="s">
        <v>20</v>
      </c>
      <c r="K39" s="39">
        <v>29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4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3</v>
      </c>
      <c r="E41" s="39">
        <v>49</v>
      </c>
      <c r="F41" s="2" t="s">
        <v>103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2</v>
      </c>
      <c r="F42" s="2" t="s">
        <v>47</v>
      </c>
      <c r="H42" s="39">
        <v>2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3</v>
      </c>
      <c r="F43" s="16" t="s">
        <v>7</v>
      </c>
      <c r="H43" s="39">
        <v>49</v>
      </c>
      <c r="I43" s="2" t="s">
        <v>22</v>
      </c>
      <c r="K43" s="39">
        <v>32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4876702624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60</v>
      </c>
      <c r="I47" s="16" t="s">
        <v>28</v>
      </c>
      <c r="K47" s="39">
        <v>60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158</v>
      </c>
      <c r="I48" s="2" t="s">
        <v>35</v>
      </c>
      <c r="K48" s="39">
        <f>SUM(K38:K47)</f>
        <v>139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1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2447</v>
      </c>
      <c r="K50" s="2" t="s">
        <v>36</v>
      </c>
      <c r="L50" s="16">
        <v>2542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12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465</v>
      </c>
      <c r="E72" s="36">
        <f t="shared" ref="E72:E81" si="0">K4+H38+K38</f>
        <v>31</v>
      </c>
      <c r="F72" s="2" t="s">
        <v>19</v>
      </c>
      <c r="H72" s="13">
        <f>H4+E38</f>
        <v>6</v>
      </c>
      <c r="I72" s="2" t="s">
        <v>45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41</v>
      </c>
      <c r="C73" s="2" t="s">
        <v>42</v>
      </c>
      <c r="D73" s="35">
        <f t="shared" ref="D73:D79" si="1">E73*15</f>
        <v>1155</v>
      </c>
      <c r="E73" s="37">
        <f t="shared" si="0"/>
        <v>77</v>
      </c>
      <c r="F73" s="2" t="s">
        <v>20</v>
      </c>
      <c r="H73" s="47">
        <f>H5+H15+E50+E39+E57</f>
        <v>57</v>
      </c>
      <c r="I73" s="2" t="s">
        <v>46</v>
      </c>
      <c r="K73" s="47">
        <f>B10+E9+H9+B44+E43</f>
        <v>51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7</v>
      </c>
      <c r="I74" s="2" t="s">
        <v>30</v>
      </c>
      <c r="K74" s="13">
        <f>B11+E10+B45</f>
        <v>4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69</v>
      </c>
      <c r="I75" s="2" t="s">
        <v>102</v>
      </c>
      <c r="K75" s="47">
        <f>B28+K54</f>
        <v>14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48</v>
      </c>
      <c r="E76" s="37">
        <f t="shared" si="0"/>
        <v>4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910</v>
      </c>
      <c r="E77" s="37">
        <f t="shared" si="0"/>
        <v>91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1024</v>
      </c>
      <c r="E81" s="37">
        <f t="shared" si="0"/>
        <v>128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3</v>
      </c>
      <c r="C89" s="2" t="s">
        <v>17</v>
      </c>
      <c r="G89" s="35">
        <f>H89*10</f>
        <v>40</v>
      </c>
      <c r="H89" s="29">
        <f>K74</f>
        <v>4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105</v>
      </c>
      <c r="H91" s="21">
        <f>H74</f>
        <v>7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4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552</v>
      </c>
      <c r="H93" s="21">
        <f>H75</f>
        <v>69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4" sqref="O24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45835</v>
      </c>
      <c r="E1" s="95"/>
      <c r="F1" s="95"/>
      <c r="H1" s="63" t="s">
        <v>143</v>
      </c>
      <c r="I1" s="64">
        <f>Mon!D1+49-1</f>
        <v>45879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0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4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40" t="s">
        <v>35</v>
      </c>
      <c r="N13" s="39">
        <f>SUM(N4:N12)</f>
        <v>79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18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99</v>
      </c>
      <c r="C21" s="22" t="s">
        <v>35</v>
      </c>
      <c r="E21" s="39">
        <f>SUM(E4:E20)</f>
        <v>38</v>
      </c>
      <c r="F21" s="22" t="s">
        <v>35</v>
      </c>
      <c r="H21" s="39">
        <f>SUM(H4:H20)</f>
        <v>67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5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32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8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17</v>
      </c>
      <c r="C28" s="2" t="s">
        <v>47</v>
      </c>
      <c r="E28" s="39">
        <v>5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9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39</v>
      </c>
      <c r="C30" s="22" t="s">
        <v>35</v>
      </c>
      <c r="E30" s="39">
        <f>SUM(E24:E29)</f>
        <v>33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95</v>
      </c>
      <c r="L31" s="87" t="s">
        <v>44</v>
      </c>
    </row>
    <row r="32" spans="1:15" ht="12.75" customHeight="1" x14ac:dyDescent="0.25">
      <c r="B32" s="2" t="s">
        <v>36</v>
      </c>
      <c r="C32" s="16">
        <v>4876726337</v>
      </c>
      <c r="E32" s="2" t="s">
        <v>36</v>
      </c>
      <c r="F32" s="13">
        <v>4876739214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10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45</v>
      </c>
      <c r="K44" s="47">
        <f>B9+E9+B29+K9+E29+H9+N9</f>
        <v>44</v>
      </c>
      <c r="L44" s="2" t="s">
        <v>9</v>
      </c>
    </row>
    <row r="45" spans="2:15" x14ac:dyDescent="0.25">
      <c r="B45" s="26">
        <f>B5+E5+K5+H5+N5</f>
        <v>25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11</v>
      </c>
      <c r="I45" s="2" t="s">
        <v>46</v>
      </c>
      <c r="K45" s="47">
        <f>B37+B10+B28+E10+K10+H10+N10+E28</f>
        <v>59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27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170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95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10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270</v>
      </c>
      <c r="H61" s="29">
        <f>K46</f>
        <v>27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850</v>
      </c>
      <c r="H64" s="21">
        <f>B48</f>
        <v>170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160</v>
      </c>
      <c r="H65" s="21">
        <f>H47</f>
        <v>20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7" sqref="E17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27</v>
      </c>
      <c r="D1" s="46"/>
      <c r="E1" s="46"/>
      <c r="F1" s="63" t="s">
        <v>143</v>
      </c>
      <c r="G1" s="64">
        <f>Mon!D1+49-1</f>
        <v>45879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144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816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26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1704</v>
      </c>
      <c r="P3" s="53">
        <f>O3/125</f>
        <v>13.632</v>
      </c>
      <c r="R3" s="51" t="s">
        <v>117</v>
      </c>
      <c r="S3" s="55">
        <f>12*(D8+J4)</f>
        <v>1752</v>
      </c>
      <c r="T3" s="55">
        <f>15*(A4+D4+G4+J7+J5)+20*D12</f>
        <v>10995</v>
      </c>
      <c r="U3" s="55">
        <f>15*(A5+A9+D5+D9+D10+D11+G5+J6+J8+J10)+20*(A8+D13+G7)</f>
        <v>43130</v>
      </c>
      <c r="V3" s="55">
        <f>15*(A6+J11)</f>
        <v>3900</v>
      </c>
      <c r="W3" s="55">
        <f>15*D6</f>
        <v>0</v>
      </c>
      <c r="X3" s="55">
        <f>15*(A7+D7+G6+J9)</f>
        <v>2535</v>
      </c>
    </row>
    <row r="4" spans="1:24" ht="12.75" customHeight="1" x14ac:dyDescent="0.2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40</v>
      </c>
      <c r="E4" s="2" t="s">
        <v>19</v>
      </c>
      <c r="F4" s="7"/>
      <c r="G4" s="31">
        <f>Mon!H70+Tues!H43+Wed!H42+Thurs!H72+Fri!H44+NFLD!G43</f>
        <v>14</v>
      </c>
      <c r="H4" s="2" t="s">
        <v>45</v>
      </c>
      <c r="I4" s="7"/>
      <c r="J4" s="31">
        <f>Mon!K70+Tues!K43+Wed!K42+Thurs!K72+Fri!K44+NFLD!J43</f>
        <v>142</v>
      </c>
      <c r="K4" s="2" t="s">
        <v>9</v>
      </c>
      <c r="M4" s="42"/>
      <c r="N4" s="52" t="s">
        <v>7</v>
      </c>
      <c r="O4" s="53">
        <f>J5*10</f>
        <v>4720</v>
      </c>
      <c r="P4" s="53">
        <f>O4/130</f>
        <v>36.307692307692307</v>
      </c>
      <c r="R4" s="51" t="s">
        <v>118</v>
      </c>
      <c r="S4" s="55">
        <f t="shared" ref="S4:X4" si="0">S3/15</f>
        <v>116.8</v>
      </c>
      <c r="T4" s="55">
        <f t="shared" si="0"/>
        <v>733</v>
      </c>
      <c r="U4" s="55">
        <f t="shared" si="0"/>
        <v>2875.3333333333335</v>
      </c>
      <c r="V4" s="55">
        <f t="shared" si="0"/>
        <v>260</v>
      </c>
      <c r="W4" s="55">
        <f t="shared" si="0"/>
        <v>0</v>
      </c>
      <c r="X4" s="55">
        <f t="shared" si="0"/>
        <v>169</v>
      </c>
    </row>
    <row r="5" spans="1:24" ht="12.75" customHeight="1" x14ac:dyDescent="0.25">
      <c r="A5" s="26">
        <f>Mon!B71+Tues!B44+Wed!B43+Thurs!B73+Fri!B45+NFLD!A44</f>
        <v>152</v>
      </c>
      <c r="B5" s="2" t="s">
        <v>42</v>
      </c>
      <c r="C5" s="24"/>
      <c r="D5" s="26">
        <f>Mon!E71+Tues!E44+Wed!E43+Thurs!E73+Fri!E45+NFLD!D44</f>
        <v>107</v>
      </c>
      <c r="E5" s="2" t="s">
        <v>20</v>
      </c>
      <c r="G5" s="26">
        <f>Mon!H71+Tues!H44+Wed!H43+Thurs!H73+Fri!H45+NFLD!G44</f>
        <v>167</v>
      </c>
      <c r="H5" s="2" t="s">
        <v>46</v>
      </c>
      <c r="J5" s="26">
        <f>Mon!K71+Tues!K44+Wed!K43+Thurs!K73+Fri!K45+NFLD!J44</f>
        <v>472</v>
      </c>
      <c r="K5" s="2" t="s">
        <v>7</v>
      </c>
      <c r="M5" s="42"/>
      <c r="N5" s="52" t="s">
        <v>8</v>
      </c>
      <c r="O5" s="53">
        <f>J6*10</f>
        <v>400</v>
      </c>
      <c r="P5" s="53">
        <f t="shared" ref="P5:P25" si="1">O5/130</f>
        <v>3.0769230769230771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40</v>
      </c>
      <c r="K6" s="2" t="s">
        <v>8</v>
      </c>
      <c r="M6" s="42"/>
      <c r="N6" s="52" t="s">
        <v>51</v>
      </c>
      <c r="O6" s="53">
        <f>J7*15</f>
        <v>2700</v>
      </c>
      <c r="P6" s="53">
        <f>O6/150</f>
        <v>18</v>
      </c>
    </row>
    <row r="7" spans="1:24" ht="12.75" customHeight="1" x14ac:dyDescent="0.25">
      <c r="A7" s="26">
        <f>Mon!B73+Tues!B46+Wed!B45+Thurs!B75+Fri!B47+NFLD!A46</f>
        <v>28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146</v>
      </c>
      <c r="H7" s="2" t="s">
        <v>102</v>
      </c>
      <c r="J7" s="26">
        <f>Mon!K73+Tues!K46+Wed!K45+Thurs!K75+Fri!K47+NFLD!J46</f>
        <v>180</v>
      </c>
      <c r="K7" s="2" t="s">
        <v>51</v>
      </c>
      <c r="M7" s="42"/>
      <c r="N7" s="52" t="s">
        <v>44</v>
      </c>
      <c r="O7" s="53">
        <f t="shared" ref="O7" si="2">J8*15</f>
        <v>15525</v>
      </c>
      <c r="P7" s="53">
        <f t="shared" ref="P7:P8" si="3">O7/150</f>
        <v>103.5</v>
      </c>
      <c r="R7" s="12" t="s">
        <v>105</v>
      </c>
      <c r="S7" s="60">
        <f>Mon!C2</f>
        <v>26</v>
      </c>
    </row>
    <row r="8" spans="1:24" ht="12.75" customHeight="1" x14ac:dyDescent="0.25">
      <c r="A8" s="26">
        <f>Mon!B74+Tues!B47+Wed!B46+Thurs!B76+Fri!B48+NFLD!A47</f>
        <v>402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1035</v>
      </c>
      <c r="K8" s="2" t="s">
        <v>44</v>
      </c>
      <c r="M8" s="42"/>
      <c r="N8" s="52" t="s">
        <v>2</v>
      </c>
      <c r="O8" s="53">
        <f>J9*15</f>
        <v>1845</v>
      </c>
      <c r="P8" s="53">
        <f t="shared" si="3"/>
        <v>12.3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6</v>
      </c>
      <c r="B9" s="2" t="s">
        <v>15</v>
      </c>
      <c r="C9" s="24"/>
      <c r="D9" s="26">
        <f>Mon!E75+Tues!E48+Wed!E47+Thurs!E77+Fri!E49+NFLD!D48</f>
        <v>114</v>
      </c>
      <c r="E9" s="2" t="s">
        <v>22</v>
      </c>
      <c r="J9" s="26">
        <f>Mon!K75+Tues!K48+Wed!K47+Thurs!K77+Fri!K49+NFLD!J48</f>
        <v>123</v>
      </c>
      <c r="K9" s="2" t="s">
        <v>2</v>
      </c>
      <c r="M9" s="42"/>
      <c r="N9" s="52" t="s">
        <v>121</v>
      </c>
      <c r="O9" s="53">
        <f>7*(J10+J11)+8*(D12+D13+G7)+5*A9</f>
        <v>6383</v>
      </c>
      <c r="P9" s="53">
        <f>O9/140</f>
        <v>45.592857142857142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293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250</v>
      </c>
      <c r="K11" s="2" t="s">
        <v>0</v>
      </c>
      <c r="M11" s="42"/>
      <c r="N11" s="52" t="s">
        <v>42</v>
      </c>
      <c r="O11" s="53">
        <f t="shared" ref="O11:O12" si="4">A5*15</f>
        <v>2280</v>
      </c>
      <c r="P11" s="53">
        <f t="shared" ref="P11:P13" si="5">O11/250</f>
        <v>9.1199999999999992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53">
        <f t="shared" si="5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173</v>
      </c>
      <c r="E13" s="2" t="s">
        <v>28</v>
      </c>
      <c r="M13" s="42"/>
      <c r="N13" s="52" t="s">
        <v>5</v>
      </c>
      <c r="O13" s="53">
        <f>A7*15</f>
        <v>420</v>
      </c>
      <c r="P13" s="53">
        <f t="shared" si="5"/>
        <v>1.68</v>
      </c>
      <c r="S13" s="59"/>
    </row>
    <row r="14" spans="1:24" ht="12.75" customHeight="1" x14ac:dyDescent="0.25">
      <c r="A14" s="7"/>
      <c r="N14" s="52" t="s">
        <v>126</v>
      </c>
      <c r="O14" s="53">
        <f>5*A9</f>
        <v>30</v>
      </c>
      <c r="P14" s="53">
        <f>O14/50</f>
        <v>0.6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90</v>
      </c>
      <c r="P15" s="53">
        <f>O15/250</f>
        <v>0.36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210</v>
      </c>
      <c r="P16" s="53">
        <f t="shared" ref="P16:P18" si="6">O16/250</f>
        <v>0.84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2505</v>
      </c>
      <c r="P17" s="53">
        <f t="shared" si="6"/>
        <v>10.02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6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40</v>
      </c>
      <c r="E19" s="2" t="s">
        <v>8</v>
      </c>
      <c r="F19" s="24"/>
      <c r="G19" s="14">
        <f>Mon!K87+Tues!K60+Thurs!K89+Fri!K61</f>
        <v>14</v>
      </c>
      <c r="H19" s="2" t="s">
        <v>6</v>
      </c>
      <c r="N19" s="52" t="s">
        <v>127</v>
      </c>
      <c r="O19" s="53">
        <f>8*G7</f>
        <v>1168</v>
      </c>
      <c r="P19" s="53">
        <f>O19/50</f>
        <v>23.36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28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600</v>
      </c>
      <c r="P20" s="53">
        <f>O20/150</f>
        <v>4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1605</v>
      </c>
      <c r="P21" s="53">
        <f t="shared" ref="P21:P23" si="9">O21/150</f>
        <v>10.7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402</v>
      </c>
      <c r="E22" s="2" t="s">
        <v>50</v>
      </c>
      <c r="F22" s="24"/>
      <c r="G22" s="14">
        <f>Mon!K90+Tues!K63+Thurs!K92+Fri!K64</f>
        <v>7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146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1140</v>
      </c>
      <c r="P25" s="53">
        <f t="shared" si="1"/>
        <v>8.7692307692307701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1384</v>
      </c>
      <c r="P29" s="53">
        <f>O29/50</f>
        <v>27.68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685</v>
      </c>
      <c r="P32" s="51">
        <f>O32/25-24*(G17+G20+G23)</f>
        <v>-20.6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1874</v>
      </c>
      <c r="P33" s="51">
        <f>O33/25-24*(G18+G21+G24)-20*G19</f>
        <v>-253.04000000000002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260</v>
      </c>
      <c r="P34" s="51">
        <f t="shared" ref="P34:P36" si="10">O34/25</f>
        <v>10.4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260</v>
      </c>
      <c r="P35" s="51">
        <f t="shared" si="10"/>
        <v>10.4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169</v>
      </c>
      <c r="P36" s="51">
        <f t="shared" si="10"/>
        <v>6.76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173</v>
      </c>
      <c r="P37" s="51">
        <f>O37/20</f>
        <v>8.65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55</v>
      </c>
      <c r="P38" s="51">
        <f>O38/20-13*G22</f>
        <v>-88.25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2025-06-26T17:40:50Z</cp:lastPrinted>
  <dcterms:created xsi:type="dcterms:W3CDTF">2014-06-06T13:58:10Z</dcterms:created>
  <dcterms:modified xsi:type="dcterms:W3CDTF">2025-06-27T17:32:14Z</dcterms:modified>
</cp:coreProperties>
</file>