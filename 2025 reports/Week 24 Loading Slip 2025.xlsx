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8_{6D9B5721-1A2B-4BE1-B0AB-41120FEEB1FD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P32" i="12" l="1"/>
  <c r="P33" i="12"/>
  <c r="P34" i="12"/>
  <c r="P35" i="12"/>
  <c r="P36" i="12"/>
  <c r="P37" i="12"/>
  <c r="P38" i="12"/>
  <c r="K47" i="10" l="1"/>
  <c r="K46" i="10"/>
  <c r="C1" i="11" l="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I1" i="9"/>
  <c r="I1" i="4"/>
  <c r="I1" i="7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K87" i="8" s="1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92" i="8"/>
  <c r="K91" i="8"/>
  <c r="K90" i="8"/>
  <c r="K94" i="8"/>
  <c r="K61" i="7"/>
  <c r="K90" i="4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O38" i="12"/>
  <c r="O34" i="12"/>
  <c r="O14" i="12"/>
  <c r="P14" i="12" s="1"/>
  <c r="O15" i="12"/>
  <c r="P15" i="12" s="1"/>
  <c r="O36" i="12"/>
  <c r="O33" i="12"/>
  <c r="O32" i="12"/>
  <c r="W3" i="12"/>
  <c r="W4" i="12" s="1"/>
  <c r="O24" i="12"/>
  <c r="P24" i="12" s="1"/>
  <c r="O37" i="12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<sst xmlns="http://schemas.openxmlformats.org/spreadsheetml/2006/main" count="1139" uniqueCount="196">
  <si>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</si>
  <si>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</si>
  <si>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</si>
  <si>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</si>
  <si>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</si>
  <si>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</si>
  <si>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</si>
  <si>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</si>
  <si>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</si>
  <si>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</si>
  <si>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</si>
  <si>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</si>
  <si>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</si>
  <si>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</si>
  <si>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</si>
  <si>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</si>
  <si>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</si>
  <si>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</si>
  <si>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</si>
  <si>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</si>
  <si>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</si>
  <si>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</si>
  <si>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</si>
  <si>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</si>
  <si>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</si>
  <si>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</si>
  <si>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</si>
  <si>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</si>
  <si>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</si>
  <si>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</si>
  <si>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</si>
  <si>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</si>
  <si>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</si>
  <si>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</si>
  <si>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</si>
  <si>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</si>
  <si>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</si>
  <si>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</si>
  <si>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</si>
  <si>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</si>
  <si>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</si>
  <si>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</si>
  <si>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</si>
  <si>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</si>
  <si>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</si>
  <si>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</si>
  <si>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</si>
  <si>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</si>
  <si>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</si>
  <si>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</si>
  <si>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</si>
  <si>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</si>
  <si>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</si>
  <si>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</si>
  <si>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</si>
  <si>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</si>
  <si>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</si>
  <si>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</si>
  <si>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</si>
  <si>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</si>
  <si>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</si>
  <si>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</si>
  <si>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</si>
  <si>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</si>
  <si>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</si>
  <si>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</si>
  <si>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</si>
  <si>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</si>
  <si>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</si>
  <si>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</si>
  <si>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</si>
  <si>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</si>
  <si>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</si>
  <si>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</si>
  <si>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</si>
  <si>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</si>
  <si>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</si>
  <si>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</si>
  <si>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</si>
  <si>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</si>
  <si>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</si>
  <si>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</si>
  <si>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</si>
  <si>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</si>
  <si>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</si>
  <si>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</si>
  <si>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</si>
  <si>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</si>
  <si>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</si>
  <si>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</si>
  <si>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</si>
  <si>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</si>
  <si>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</si>
  <si>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</si>
  <si>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</si>
  <si>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</si>
  <si>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</si>
  <si>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</si>
  <si>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</si>
  <si>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</si>
  <si>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</si>
  <si>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</si>
  <si>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</si>
  <si>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</si>
  <si>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</si>
  <si>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</si>
  <si>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</si>
  <si>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</si>
  <si>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</si>
  <si>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</si>
  <si>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</si>
  <si>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</si>
  <si>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</si>
  <si>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</si>
  <si>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</si>
  <si>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</si>
  <si>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</si>
  <si>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</si>
  <si>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</si>
  <si>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</si>
  <si>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</si>
  <si>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</si>
  <si>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</si>
  <si>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</si>
  <si>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</si>
  <si>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</si>
  <si>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</si>
  <si>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</si>
  <si>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</si>
  <si>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</si>
  <si>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</si>
  <si>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</si>
  <si>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</si>
  <si>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</si>
  <si>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</si>
  <si>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</si>
  <si>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</si>
  <si>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</si>
  <si>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</si>
  <si>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</si>
  <si>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</si>
  <si>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</si>
  <si>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</si>
  <si>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</si>
  <si>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</si>
  <si>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</si>
  <si>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</si>
  <si>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</si>
  <si>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</si>
  <si>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</si>
  <si>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</si>
  <si>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</si>
  <si>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</si>
  <si>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</si>
  <si>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</si>
  <si>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</si>
  <si>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</si>
  <si>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</si>
  <si>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</si>
  <si>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</si>
  <si>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</si>
  <si>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</si>
  <si>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</si>
  <si>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</si>
  <si>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</si>
  <si>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</si>
  <si>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</si>
  <si>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</si>
  <si>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</si>
  <si>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</si>
  <si>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</si>
  <si>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</si>
  <si>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</si>
  <si>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</si>
  <si>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</si>
  <si>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</si>
  <si>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</si>
  <si>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</si>
  <si>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</si>
  <si>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</si>
  <si>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</si>
  <si>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</si>
  <si>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</si>
  <si>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</si>
  <si>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</si>
  <si>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</si>
  <si>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</si>
  <si>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</si>
  <si>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</si>
  <si>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</si>
  <si>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</si>
  <si>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</si>
  <si>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</si>
  <si>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4876298357/4876363258</t>
  </si>
  <si>
    <t>LG Loose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</si>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</sst>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1" fillId="0" borderId="20" xfId="0" applyFont="1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topLeftCell="A7" zoomScale="70" zoomScaleNormal="100" zoomScalePageLayoutView="70" workbookViewId="0">
      <selection activeCell="L45" sqref="L45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106</v>
      </c>
      <c r="C1" s="97"/>
      <c r="D1" s="96">
        <f>DATE(2024,12,30)+(C2-1)*7</f>
        <v>45817</v>
      </c>
      <c r="E1" s="97"/>
      <c r="F1" s="97"/>
      <c r="H1" s="63" t="s">
        <v>143</v>
      </c>
      <c r="I1" s="64">
        <f>D1+42-1</f>
        <v>45858</v>
      </c>
      <c r="L1" s="19" t="s">
        <v>38</v>
      </c>
    </row>
    <row r="2" spans="1:12" ht="15.75" x14ac:dyDescent="0.25">
      <c r="B2" s="41" t="s">
        <v>105</v>
      </c>
      <c r="C2" s="50">
        <v>24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4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7</v>
      </c>
      <c r="C6" s="2" t="s">
        <v>42</v>
      </c>
      <c r="D6">
        <f>ROUNDDOWN(E6/24,0)</f>
        <v>0</v>
      </c>
      <c r="E6" s="39">
        <v>9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1</v>
      </c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0</v>
      </c>
      <c r="E8" s="39">
        <v>1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8</v>
      </c>
      <c r="C10" s="2" t="s">
        <v>9</v>
      </c>
      <c r="D10">
        <f>ROUNDDOWN(E10/24,0)</f>
        <v>0</v>
      </c>
      <c r="E10" s="39">
        <v>6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7</v>
      </c>
      <c r="C11" s="2" t="s">
        <v>7</v>
      </c>
      <c r="E11" s="39">
        <f>SUM(E5:E10)</f>
        <v>28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8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4876272704</v>
      </c>
      <c r="H13" s="39">
        <v>0</v>
      </c>
      <c r="I13" s="2" t="s">
        <v>26</v>
      </c>
    </row>
    <row r="14" spans="1:12" x14ac:dyDescent="0.25">
      <c r="B14" s="39">
        <v>0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1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25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0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52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>
        <v>2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2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106</v>
      </c>
      <c r="C34" s="97"/>
      <c r="D34" s="96">
        <f>D1</f>
        <v>45817</v>
      </c>
      <c r="E34" s="97"/>
      <c r="F34" s="97"/>
      <c r="H34" s="63" t="s">
        <v>143</v>
      </c>
      <c r="I34" s="67">
        <f>I1</f>
        <v>45858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0</v>
      </c>
      <c r="F37" s="2" t="s">
        <v>19</v>
      </c>
      <c r="H37" s="39">
        <v>2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0</v>
      </c>
      <c r="F38" s="2" t="s">
        <v>20</v>
      </c>
      <c r="H38" s="39">
        <v>21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0</v>
      </c>
      <c r="F40" s="2" t="s">
        <v>21</v>
      </c>
      <c r="H40" s="39">
        <v>3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0</v>
      </c>
      <c r="F42" s="2" t="s">
        <v>22</v>
      </c>
      <c r="H42" s="39">
        <v>11</v>
      </c>
      <c r="I42" s="2" t="s">
        <v>22</v>
      </c>
    </row>
    <row r="43" spans="1:12" x14ac:dyDescent="0.25">
      <c r="A43">
        <f>ROUNDDOWN(B43/24,0)</f>
        <v>0</v>
      </c>
      <c r="B43" s="39">
        <v>6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3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0</v>
      </c>
      <c r="F46" s="16" t="s">
        <v>28</v>
      </c>
      <c r="H46" s="39">
        <v>34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0</v>
      </c>
      <c r="F47" s="2" t="s">
        <v>35</v>
      </c>
      <c r="H47" s="39">
        <f>SUM(H37:H46)</f>
        <v>72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/>
      <c r="H49" s="2" t="s">
        <v>36</v>
      </c>
      <c r="I49" s="16">
        <v>4769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20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27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19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0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21</v>
      </c>
      <c r="F56" s="2" t="s">
        <v>35</v>
      </c>
      <c r="G56">
        <f>ROUNDDOWN(H56/13,0)</f>
        <v>1</v>
      </c>
      <c r="H56" s="39">
        <v>21</v>
      </c>
      <c r="I56" s="2" t="s">
        <v>103</v>
      </c>
    </row>
    <row r="57" spans="2:12" x14ac:dyDescent="0.25">
      <c r="H57" s="39">
        <v>4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13</v>
      </c>
      <c r="I58" s="16" t="s">
        <v>34</v>
      </c>
      <c r="K58" s="17" t="s">
        <v>160</v>
      </c>
      <c r="L58" s="5"/>
    </row>
    <row r="59" spans="2:12" x14ac:dyDescent="0.25">
      <c r="E59" s="39">
        <v>0</v>
      </c>
      <c r="F59" s="2" t="s">
        <v>29</v>
      </c>
      <c r="H59" s="39">
        <f>SUM(H53:H58)</f>
        <v>60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4876285125</v>
      </c>
    </row>
    <row r="62" spans="2:12" x14ac:dyDescent="0.25">
      <c r="E62" s="39">
        <f>SUM(E59:E61)</f>
        <v>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30</v>
      </c>
      <c r="E70" s="15">
        <f t="shared" ref="E70:E79" si="0">H5+E37+H37</f>
        <v>2</v>
      </c>
      <c r="F70" s="2" t="s">
        <v>19</v>
      </c>
      <c r="H70" s="13">
        <f>E5+H53</f>
        <v>6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11</v>
      </c>
      <c r="C71" s="2" t="s">
        <v>42</v>
      </c>
      <c r="D71" s="35">
        <f t="shared" ref="D71:D77" si="1">E71*15</f>
        <v>315</v>
      </c>
      <c r="E71" s="14">
        <f t="shared" si="0"/>
        <v>21</v>
      </c>
      <c r="F71" s="2" t="s">
        <v>20</v>
      </c>
      <c r="H71" s="14">
        <f>E6+E16+E59+H54+E53</f>
        <v>72</v>
      </c>
      <c r="I71" s="2" t="s">
        <v>46</v>
      </c>
      <c r="K71" s="13">
        <f>B11+E10+B31+B43+H58</f>
        <v>32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8</v>
      </c>
      <c r="L72" s="2" t="s">
        <v>8</v>
      </c>
    </row>
    <row r="73" spans="2:12" x14ac:dyDescent="0.25">
      <c r="B73" s="26">
        <f>B8+B29+B40</f>
        <v>0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22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110</v>
      </c>
      <c r="E75" s="14">
        <f t="shared" si="0"/>
        <v>11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272</v>
      </c>
      <c r="E79" s="14">
        <f t="shared" si="0"/>
        <v>34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80</v>
      </c>
      <c r="H87" s="29">
        <f>K72</f>
        <v>8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>H88*15</f>
        <v>0</v>
      </c>
      <c r="H88" s="26">
        <f>B73</f>
        <v>0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0</v>
      </c>
      <c r="C89" s="2" t="s">
        <v>12</v>
      </c>
      <c r="G89" s="35">
        <f>H89*15</f>
        <v>75</v>
      </c>
      <c r="H89" s="21">
        <f>H72</f>
        <v>5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1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176</v>
      </c>
      <c r="H91" s="21">
        <f>H73</f>
        <v>22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8" sqref="I38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106</v>
      </c>
      <c r="C1" s="97"/>
      <c r="D1" s="96">
        <f>DATE(2024,12,30)+(Mon!C2-1)*7+1</f>
        <v>45818</v>
      </c>
      <c r="E1" s="96"/>
      <c r="F1" s="96"/>
      <c r="H1" s="63" t="s">
        <v>143</v>
      </c>
      <c r="I1" s="64">
        <f>Mon!D1+42-1</f>
        <v>45858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0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5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0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0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4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7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4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3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10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1</v>
      </c>
      <c r="I17" s="2" t="s">
        <v>151</v>
      </c>
      <c r="K17" s="74">
        <v>8</v>
      </c>
      <c r="L17" s="75" t="s">
        <v>44</v>
      </c>
    </row>
    <row r="18" spans="1:18" ht="12.4" customHeight="1" x14ac:dyDescent="0.25">
      <c r="B18" s="39">
        <v>0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1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78</v>
      </c>
      <c r="C21" s="2" t="s">
        <v>35</v>
      </c>
      <c r="E21" s="39">
        <f>SUM(E4:E20)</f>
        <v>36</v>
      </c>
      <c r="F21" s="2" t="s">
        <v>35</v>
      </c>
      <c r="H21" s="39">
        <f>SUM(H4:H20)</f>
        <v>44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5</v>
      </c>
      <c r="I24" s="2" t="s">
        <v>29</v>
      </c>
      <c r="K24" s="74">
        <v>16</v>
      </c>
      <c r="L24" s="84" t="s">
        <v>44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103</v>
      </c>
      <c r="D27">
        <f>ROUNDDOWN(E27/13,0)</f>
        <v>0</v>
      </c>
      <c r="E27" s="39">
        <v>12</v>
      </c>
      <c r="F27" s="2" t="s">
        <v>103</v>
      </c>
      <c r="H27" s="39">
        <f>SUM(H24:H26)</f>
        <v>5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69</v>
      </c>
      <c r="C30" s="2" t="s">
        <v>35</v>
      </c>
      <c r="E30" s="39">
        <f>SUM(E24:E29)</f>
        <v>30</v>
      </c>
      <c r="F30" s="2" t="s">
        <v>35</v>
      </c>
      <c r="H30" s="39">
        <v>3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53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4876362726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8</v>
      </c>
      <c r="C35" s="2" t="s">
        <v>49</v>
      </c>
      <c r="E35" s="39">
        <v>12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16</v>
      </c>
      <c r="F36" s="16" t="s">
        <v>50</v>
      </c>
      <c r="H36" s="42"/>
      <c r="I36" s="2"/>
    </row>
    <row r="37" spans="2:12" ht="12.4" customHeight="1" x14ac:dyDescent="0.25">
      <c r="B37" s="39">
        <v>4</v>
      </c>
      <c r="C37" s="2" t="s">
        <v>7</v>
      </c>
      <c r="E37" s="39">
        <f>SUM(E35:E36)</f>
        <v>28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14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1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2</v>
      </c>
      <c r="I43" s="2" t="s">
        <v>45</v>
      </c>
      <c r="K43" s="47">
        <f>B9+B28+H9+K9+E9+E28</f>
        <v>26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34</v>
      </c>
      <c r="I44" s="2" t="s">
        <v>46</v>
      </c>
      <c r="K44" s="13">
        <f>B10+B29+H10+K10+E10+E29+B37</f>
        <v>55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12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26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96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80</v>
      </c>
      <c r="L47" s="2" t="s">
        <v>44</v>
      </c>
    </row>
    <row r="48" spans="2:12" x14ac:dyDescent="0.25">
      <c r="B48" s="21">
        <f>B13+H13+E13</f>
        <v>1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1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1</v>
      </c>
      <c r="C59" s="2" t="s">
        <v>16</v>
      </c>
      <c r="G59" s="35">
        <f>H59*15</f>
        <v>15</v>
      </c>
      <c r="H59" s="21">
        <f>B48</f>
        <v>1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120</v>
      </c>
      <c r="H60" s="29">
        <f>K45</f>
        <v>12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>H61*15</f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>H62*15</f>
        <v>45</v>
      </c>
      <c r="H62" s="21">
        <f>H45</f>
        <v>3</v>
      </c>
      <c r="I62" s="2" t="s">
        <v>30</v>
      </c>
      <c r="K62" s="14">
        <f>A25+D25</f>
        <v>1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480</v>
      </c>
      <c r="H63" s="21">
        <f>B47</f>
        <v>96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1</v>
      </c>
      <c r="C64" s="2" t="s">
        <v>18</v>
      </c>
      <c r="G64" s="35">
        <f>H64*8</f>
        <v>208</v>
      </c>
      <c r="H64" s="21">
        <f>H46</f>
        <v>26</v>
      </c>
      <c r="I64" s="2" t="s">
        <v>103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106</v>
      </c>
      <c r="C1" s="97"/>
      <c r="D1" s="96">
        <f>DATE(2024,12,30)+(Mon!C2-1)*7+2</f>
        <v>45819</v>
      </c>
      <c r="E1" s="96"/>
      <c r="F1" s="96"/>
      <c r="H1" s="63" t="s">
        <v>143</v>
      </c>
      <c r="I1" s="64">
        <f>Mon!D1+49-1</f>
        <v>45865</v>
      </c>
      <c r="K1" s="17" t="s">
        <v>94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8</v>
      </c>
      <c r="L3" s="2" t="s">
        <v>42</v>
      </c>
    </row>
    <row r="4" spans="2:12" ht="12.75" customHeight="1" x14ac:dyDescent="0.25">
      <c r="B4" s="39">
        <v>6</v>
      </c>
      <c r="C4" s="28" t="s">
        <v>1</v>
      </c>
      <c r="E4" s="39">
        <v>1</v>
      </c>
      <c r="F4" s="2" t="s">
        <v>41</v>
      </c>
      <c r="H4" s="39">
        <v>2</v>
      </c>
      <c r="I4" s="2" t="s">
        <v>41</v>
      </c>
      <c r="K4" s="39">
        <v>7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3</v>
      </c>
      <c r="I5" s="2" t="s">
        <v>42</v>
      </c>
      <c r="K5" s="39">
        <v>18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0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8</v>
      </c>
      <c r="I7" s="16" t="s">
        <v>6</v>
      </c>
      <c r="K7" s="39">
        <v>7</v>
      </c>
      <c r="L7" s="2" t="s">
        <v>51</v>
      </c>
    </row>
    <row r="8" spans="2:12" ht="12.75" customHeight="1" x14ac:dyDescent="0.25">
      <c r="B8" s="24"/>
      <c r="C8" s="2"/>
      <c r="E8" s="39">
        <v>16</v>
      </c>
      <c r="F8" s="16" t="s">
        <v>7</v>
      </c>
      <c r="H8" s="39">
        <f>SUM(H4:H7)</f>
        <v>13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34</v>
      </c>
      <c r="F9" s="22" t="s">
        <v>35</v>
      </c>
      <c r="K9" s="39">
        <v>9</v>
      </c>
      <c r="L9" s="2" t="s">
        <v>62</v>
      </c>
    </row>
    <row r="10" spans="2:12" ht="12.75" customHeight="1" x14ac:dyDescent="0.25">
      <c r="B10" s="39">
        <v>3</v>
      </c>
      <c r="C10" s="28" t="s">
        <v>1</v>
      </c>
      <c r="K10" s="39">
        <v>0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60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6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12</v>
      </c>
      <c r="F15" s="2" t="s">
        <v>6</v>
      </c>
      <c r="H15" s="39">
        <v>10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153</v>
      </c>
      <c r="K17" s="39">
        <v>4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34</v>
      </c>
      <c r="F18" s="22" t="s">
        <v>35</v>
      </c>
      <c r="H18" s="39">
        <f>SUM(H12:H17)</f>
        <v>28</v>
      </c>
      <c r="I18" s="22" t="s">
        <v>35</v>
      </c>
      <c r="K18" s="39">
        <v>3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6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31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4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2</v>
      </c>
      <c r="F24" s="2" t="s">
        <v>2</v>
      </c>
      <c r="H24" s="17" t="s">
        <v>90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3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6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12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1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5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12</v>
      </c>
      <c r="F33" s="2" t="s">
        <v>44</v>
      </c>
      <c r="H33" s="39">
        <v>2</v>
      </c>
      <c r="I33" s="28" t="s">
        <v>194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12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21</v>
      </c>
      <c r="L42" s="2" t="s">
        <v>9</v>
      </c>
    </row>
    <row r="43" spans="2:12" x14ac:dyDescent="0.25">
      <c r="B43" s="91">
        <f>E5+E13+H5+H13+K3+K16+K16</f>
        <v>46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43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14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54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35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11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13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>H60*15</f>
        <v>210</v>
      </c>
      <c r="H60" s="26">
        <f>B45</f>
        <v>14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>H61*15</f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270</v>
      </c>
      <c r="H62" s="21">
        <f>B46</f>
        <v>54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J26" sqref="J26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106</v>
      </c>
      <c r="C1" s="97"/>
      <c r="D1" s="96">
        <f>DATE(2024,12,30)+(Mon!C2-1)*7+3</f>
        <v>45820</v>
      </c>
      <c r="E1" s="96"/>
      <c r="F1" s="96"/>
      <c r="G1" s="1"/>
      <c r="H1" s="63" t="s">
        <v>143</v>
      </c>
      <c r="I1" s="64">
        <f>Mon!D1+49-1</f>
        <v>45865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0</v>
      </c>
      <c r="I4" s="2" t="s">
        <v>45</v>
      </c>
      <c r="K4" s="44">
        <v>2</v>
      </c>
      <c r="L4" s="2" t="s">
        <v>19</v>
      </c>
    </row>
    <row r="5" spans="1:12" x14ac:dyDescent="0.25">
      <c r="A5">
        <f>ROUNDDOWN(B5/24,0)</f>
        <v>0</v>
      </c>
      <c r="B5" s="39">
        <v>10</v>
      </c>
      <c r="C5" s="2" t="s">
        <v>42</v>
      </c>
      <c r="E5" s="39">
        <v>6</v>
      </c>
      <c r="F5" s="2" t="s">
        <v>40</v>
      </c>
      <c r="G5">
        <f>ROUNDDOWN(H5/24,0)</f>
        <v>0</v>
      </c>
      <c r="H5" s="39">
        <v>2</v>
      </c>
      <c r="I5" s="2" t="s">
        <v>46</v>
      </c>
      <c r="K5" s="39">
        <v>11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0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9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2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0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13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21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4876390180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12</v>
      </c>
      <c r="L13" s="16" t="s">
        <v>28</v>
      </c>
    </row>
    <row r="14" spans="1:12" ht="15.75" thickBot="1" x14ac:dyDescent="0.3">
      <c r="B14" s="39">
        <v>1</v>
      </c>
      <c r="C14" s="2" t="s">
        <v>14</v>
      </c>
      <c r="H14" s="17" t="s">
        <v>145</v>
      </c>
      <c r="I14" s="17"/>
      <c r="K14" s="39">
        <f>SUM(K4:K13)</f>
        <v>30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0</v>
      </c>
      <c r="I16" s="2" t="s">
        <v>30</v>
      </c>
      <c r="K16" s="2" t="s">
        <v>36</v>
      </c>
      <c r="L16" s="16">
        <v>6377</v>
      </c>
    </row>
    <row r="17" spans="2:10" x14ac:dyDescent="0.25">
      <c r="B17" s="39">
        <v>1</v>
      </c>
      <c r="C17" s="2" t="s">
        <v>151</v>
      </c>
      <c r="H17" s="39">
        <v>0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68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  <c r="I24" s="2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106</v>
      </c>
      <c r="C35" s="97"/>
      <c r="D35" s="96">
        <f>D1</f>
        <v>45820</v>
      </c>
      <c r="E35" s="96"/>
      <c r="F35" s="96"/>
      <c r="H35" s="63" t="s">
        <v>143</v>
      </c>
      <c r="I35" s="64">
        <f>I1</f>
        <v>45865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6</v>
      </c>
      <c r="I38" s="2" t="s">
        <v>19</v>
      </c>
      <c r="K38" s="39">
        <v>8</v>
      </c>
      <c r="L38" s="2" t="s">
        <v>19</v>
      </c>
    </row>
    <row r="39" spans="1:12" x14ac:dyDescent="0.25">
      <c r="A39">
        <f>ROUNDDOWN(B39/24,0)</f>
        <v>0</v>
      </c>
      <c r="B39" s="39">
        <v>8</v>
      </c>
      <c r="C39" s="2" t="s">
        <v>42</v>
      </c>
      <c r="D39">
        <f>ROUNDDOWN(E39/24,0)</f>
        <v>0</v>
      </c>
      <c r="E39" s="39">
        <v>15</v>
      </c>
      <c r="F39" s="2" t="s">
        <v>31</v>
      </c>
      <c r="H39" s="39">
        <v>34</v>
      </c>
      <c r="I39" s="2" t="s">
        <v>20</v>
      </c>
      <c r="K39" s="39">
        <v>29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0</v>
      </c>
      <c r="C41" s="2" t="s">
        <v>5</v>
      </c>
      <c r="D41">
        <f>ROUNDDOWN(E41/13,0)</f>
        <v>2</v>
      </c>
      <c r="E41" s="39">
        <v>37</v>
      </c>
      <c r="F41" s="2" t="s">
        <v>103</v>
      </c>
      <c r="H41" s="39">
        <v>0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0</v>
      </c>
      <c r="B42" s="39">
        <v>8</v>
      </c>
      <c r="C42" s="2" t="s">
        <v>6</v>
      </c>
      <c r="E42" s="39">
        <v>4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16</v>
      </c>
      <c r="F43" s="16" t="s">
        <v>7</v>
      </c>
      <c r="H43" s="39">
        <v>29</v>
      </c>
      <c r="I43" s="2" t="s">
        <v>22</v>
      </c>
      <c r="K43" s="39">
        <v>27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77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44</v>
      </c>
      <c r="E46" s="2" t="s">
        <v>36</v>
      </c>
      <c r="F46" s="16">
        <v>4876403392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55</v>
      </c>
      <c r="I47" s="16" t="s">
        <v>28</v>
      </c>
      <c r="K47" s="39">
        <v>58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124</v>
      </c>
      <c r="I48" s="2" t="s">
        <v>35</v>
      </c>
      <c r="K48" s="39">
        <f>SUM(K38:K47)</f>
        <v>123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0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6384</v>
      </c>
      <c r="K50" s="2" t="s">
        <v>36</v>
      </c>
      <c r="L50" s="16">
        <v>6775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51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20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23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240</v>
      </c>
      <c r="E72" s="36">
        <f t="shared" ref="E72:E81" si="0">K4+H38+K38</f>
        <v>16</v>
      </c>
      <c r="F72" s="2" t="s">
        <v>19</v>
      </c>
      <c r="H72" s="13">
        <f>H4+E38</f>
        <v>2</v>
      </c>
      <c r="I72" s="2" t="s">
        <v>45</v>
      </c>
      <c r="K72" s="47">
        <f>B9+E8+H8+B43+E42</f>
        <v>22</v>
      </c>
      <c r="L72" s="2" t="s">
        <v>9</v>
      </c>
    </row>
    <row r="73" spans="2:12" x14ac:dyDescent="0.25">
      <c r="B73" s="26">
        <f>B5+E5+B39</f>
        <v>24</v>
      </c>
      <c r="C73" s="2" t="s">
        <v>42</v>
      </c>
      <c r="D73" s="35">
        <f t="shared" ref="D73:D79" si="1">E73*15</f>
        <v>1110</v>
      </c>
      <c r="E73" s="37">
        <f t="shared" si="0"/>
        <v>74</v>
      </c>
      <c r="F73" s="2" t="s">
        <v>20</v>
      </c>
      <c r="H73" s="47">
        <f>H5+H15+E50+E39+E57</f>
        <v>37</v>
      </c>
      <c r="I73" s="2" t="s">
        <v>46</v>
      </c>
      <c r="K73" s="47">
        <f>B10+E9+H9+B44+E43</f>
        <v>54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4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46</v>
      </c>
      <c r="I75" s="2" t="s">
        <v>102</v>
      </c>
      <c r="K75" s="47">
        <f>B28+K54</f>
        <v>15</v>
      </c>
      <c r="L75" s="2" t="s">
        <v>51</v>
      </c>
    </row>
    <row r="76" spans="2:12" x14ac:dyDescent="0.25">
      <c r="B76" s="26">
        <f>B8+B42</f>
        <v>48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3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610</v>
      </c>
      <c r="E77" s="37">
        <f t="shared" si="0"/>
        <v>61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3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1000</v>
      </c>
      <c r="E81" s="37">
        <f t="shared" si="0"/>
        <v>125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1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>H90*15</f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60</v>
      </c>
      <c r="H91" s="21">
        <f>H74</f>
        <v>4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240</v>
      </c>
      <c r="H92" s="21">
        <f>B76</f>
        <v>48</v>
      </c>
      <c r="I92" s="2" t="s">
        <v>50</v>
      </c>
      <c r="K92" s="14">
        <f>G7+D41</f>
        <v>2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368</v>
      </c>
      <c r="H93" s="21">
        <f>H75</f>
        <v>46</v>
      </c>
      <c r="I93" s="2" t="s">
        <v>103</v>
      </c>
      <c r="K93" s="14">
        <f>A10+G9+A44+D43</f>
        <v>1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7" sqref="O1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106</v>
      </c>
      <c r="C1" s="97"/>
      <c r="D1" s="96">
        <f>DATE(2024,12,30)+(Mon!C2-1)*7+4</f>
        <v>45821</v>
      </c>
      <c r="E1" s="96"/>
      <c r="F1" s="96"/>
      <c r="H1" s="63" t="s">
        <v>143</v>
      </c>
      <c r="I1" s="64">
        <f>Mon!D1+49-1</f>
        <v>45865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2</v>
      </c>
      <c r="O4" s="2" t="s">
        <v>41</v>
      </c>
    </row>
    <row r="5" spans="1:15" ht="12.75" customHeight="1" x14ac:dyDescent="0.25">
      <c r="A5">
        <f>ROUNDDOWN(B5/24,0)</f>
        <v>0</v>
      </c>
      <c r="B5" s="39">
        <v>6</v>
      </c>
      <c r="C5" s="2" t="s">
        <v>42</v>
      </c>
      <c r="D5">
        <f>ROUNDDOWN(E5/24,0)</f>
        <v>0</v>
      </c>
      <c r="E5" s="39">
        <v>7</v>
      </c>
      <c r="F5" s="2" t="s">
        <v>42</v>
      </c>
      <c r="G5">
        <f>ROUNDDOWN(H5/24,0)</f>
        <v>0</v>
      </c>
      <c r="H5" s="39">
        <v>4</v>
      </c>
      <c r="I5" s="2" t="s">
        <v>42</v>
      </c>
      <c r="K5" s="39">
        <v>10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  <c r="N6" s="39">
        <v>2</v>
      </c>
      <c r="O6" s="2" t="s">
        <v>4</v>
      </c>
    </row>
    <row r="7" spans="1:15" ht="12.75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10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0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6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2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20</v>
      </c>
      <c r="L13" s="40" t="s">
        <v>35</v>
      </c>
      <c r="N13" s="39">
        <f>SUM(N4:N12)</f>
        <v>54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0</v>
      </c>
      <c r="L16" s="75" t="s">
        <v>44</v>
      </c>
    </row>
    <row r="17" spans="1:15" ht="12.75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1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71</v>
      </c>
      <c r="C21" s="22" t="s">
        <v>35</v>
      </c>
      <c r="E21" s="39">
        <f>SUM(E4:E20)</f>
        <v>40</v>
      </c>
      <c r="F21" s="22" t="s">
        <v>35</v>
      </c>
      <c r="H21" s="39">
        <f>SUM(H4:H20)</f>
        <v>64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0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6</v>
      </c>
      <c r="F25" s="2" t="s">
        <v>46</v>
      </c>
      <c r="H25" s="39">
        <v>0</v>
      </c>
      <c r="I25" s="2" t="s">
        <v>30</v>
      </c>
      <c r="K25" s="74">
        <v>24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95">
        <v>1</v>
      </c>
      <c r="L26" s="75" t="s">
        <v>195</v>
      </c>
    </row>
    <row r="27" spans="1:15" ht="12.75" customHeight="1" thickBot="1" x14ac:dyDescent="0.3">
      <c r="A27">
        <f>ROUNDDOWN(B27/13,0)</f>
        <v>1</v>
      </c>
      <c r="B27" s="39">
        <v>17</v>
      </c>
      <c r="C27" s="2" t="s">
        <v>103</v>
      </c>
      <c r="D27">
        <f>ROUNDDOWN(E27/13,0)</f>
        <v>0</v>
      </c>
      <c r="E27" s="39">
        <v>8</v>
      </c>
      <c r="F27" s="2" t="s">
        <v>103</v>
      </c>
      <c r="H27" s="39">
        <f>SUM(H24:H26)</f>
        <v>0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10</v>
      </c>
      <c r="C28" s="2" t="s">
        <v>47</v>
      </c>
      <c r="E28" s="39">
        <v>4</v>
      </c>
      <c r="F28" s="2" t="s">
        <v>47</v>
      </c>
      <c r="K28" s="74">
        <v>18</v>
      </c>
      <c r="L28" s="84" t="s">
        <v>44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28</v>
      </c>
      <c r="C30" s="22" t="s">
        <v>35</v>
      </c>
      <c r="E30" s="39">
        <f>SUM(E24:E29)</f>
        <v>31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47</v>
      </c>
      <c r="L31" s="87" t="s">
        <v>44</v>
      </c>
    </row>
    <row r="32" spans="1:15" ht="12.75" customHeight="1" x14ac:dyDescent="0.25">
      <c r="B32" s="2" t="s">
        <v>36</v>
      </c>
      <c r="C32" s="16">
        <v>4876414618</v>
      </c>
      <c r="E32" s="2" t="s">
        <v>36</v>
      </c>
      <c r="F32" s="13">
        <v>4876440892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5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10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25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25</v>
      </c>
      <c r="L44" s="2" t="s">
        <v>9</v>
      </c>
    </row>
    <row r="45" spans="2:15" x14ac:dyDescent="0.25">
      <c r="B45" s="26">
        <f>B5+E5+K5+H5+N5</f>
        <v>42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6</v>
      </c>
      <c r="I45" s="2" t="s">
        <v>46</v>
      </c>
      <c r="K45" s="47">
        <f>B37+B10+B28+E10+K10+H10+N10+E28</f>
        <v>36</v>
      </c>
      <c r="L45" s="2" t="s">
        <v>7</v>
      </c>
    </row>
    <row r="46" spans="2:15" x14ac:dyDescent="0.25">
      <c r="B46" s="26">
        <f>B6+E6+K6+H6+N6</f>
        <v>4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11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25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160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51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5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60</v>
      </c>
      <c r="H59" s="26">
        <f>B46</f>
        <v>4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>H60*15</f>
        <v>15</v>
      </c>
      <c r="H60" s="21">
        <f>B49</f>
        <v>1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110</v>
      </c>
      <c r="H61" s="29">
        <f>K46</f>
        <v>11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>H62*15</f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2</v>
      </c>
      <c r="C64" s="2" t="s">
        <v>13</v>
      </c>
      <c r="G64" s="35">
        <f>H64*5</f>
        <v>800</v>
      </c>
      <c r="H64" s="21">
        <f>B48</f>
        <v>160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200</v>
      </c>
      <c r="H65" s="21">
        <f>H47</f>
        <v>25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C17" sqref="C17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110</v>
      </c>
      <c r="B1" s="97"/>
      <c r="C1" s="45">
        <f>Mon!C2+1</f>
        <v>25</v>
      </c>
      <c r="D1" s="46"/>
      <c r="E1" s="46"/>
      <c r="F1" s="63" t="s">
        <v>143</v>
      </c>
      <c r="G1" s="64">
        <f>Mon!D1+49-1</f>
        <v>45865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0.5</v>
      </c>
      <c r="J5" s="39">
        <v>24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0.5</v>
      </c>
      <c r="F6" s="39">
        <v>24</v>
      </c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0.5</v>
      </c>
      <c r="J7" s="39">
        <v>24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3</v>
      </c>
      <c r="B10" s="39">
        <v>144</v>
      </c>
      <c r="C10" s="2" t="s">
        <v>1</v>
      </c>
      <c r="D10" s="42"/>
      <c r="E10" s="35">
        <f t="shared" si="1"/>
        <v>0.5</v>
      </c>
      <c r="F10" s="39">
        <v>24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14</v>
      </c>
      <c r="B12" s="44">
        <f>SUM(B5:B11)</f>
        <v>672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8</v>
      </c>
      <c r="J12" s="44">
        <f>SUM(J5:J11)</f>
        <v>384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72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>B6+F6+J6</f>
        <v>504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>B7+F7+J7</f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168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>G61*15</f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K17" sqref="K17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113</v>
      </c>
      <c r="B1" s="97"/>
      <c r="C1" s="45">
        <f>Mon!C2</f>
        <v>24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1380</v>
      </c>
      <c r="P3" s="53">
        <f>O3/125</f>
        <v>11.04</v>
      </c>
      <c r="R3" s="51" t="s">
        <v>117</v>
      </c>
      <c r="S3" s="55">
        <f>12*(D8+J4)</f>
        <v>1404</v>
      </c>
      <c r="T3" s="55">
        <f>15*(A4+D4+G4+J7+J5)+20*D12</f>
        <v>7905</v>
      </c>
      <c r="U3" s="55">
        <f>15*(A5+A9+D5+D9+D10+D11+G5+J6+J8+J10)+20*(A8+D13+G7)</f>
        <v>34035</v>
      </c>
      <c r="V3" s="55">
        <f>15*(A6+J11)</f>
        <v>2400</v>
      </c>
      <c r="W3" s="55">
        <f>15*D6</f>
        <v>0</v>
      </c>
      <c r="X3" s="55">
        <f>15*(A7+D7+G6+J9)</f>
        <v>1950</v>
      </c>
    </row>
    <row r="4" spans="1:24" ht="12.75" customHeight="1" x14ac:dyDescent="0.25">
      <c r="A4" s="31">
        <f>Mon!B70+Tues!B43+Wed!B42+Thurs!B72+Fri!B44+NFLD!A43</f>
        <v>24</v>
      </c>
      <c r="B4" s="2" t="s">
        <v>41</v>
      </c>
      <c r="C4" s="7"/>
      <c r="D4" s="31">
        <f>Mon!E70+Tues!E43+Wed!E42+Thurs!E72+Fri!E44+NFLD!D43</f>
        <v>18</v>
      </c>
      <c r="E4" s="2" t="s">
        <v>19</v>
      </c>
      <c r="F4" s="7"/>
      <c r="G4" s="31">
        <f>Mon!H70+Tues!H43+Wed!H42+Thurs!H72+Fri!H44+NFLD!G43</f>
        <v>13</v>
      </c>
      <c r="H4" s="2" t="s">
        <v>45</v>
      </c>
      <c r="I4" s="7"/>
      <c r="J4" s="31">
        <f>Mon!K70+Tues!K43+Wed!K42+Thurs!K72+Fri!K44+NFLD!J43</f>
        <v>115</v>
      </c>
      <c r="K4" s="2" t="s">
        <v>9</v>
      </c>
      <c r="M4" s="42"/>
      <c r="N4" s="52" t="s">
        <v>7</v>
      </c>
      <c r="O4" s="53">
        <f>J5*10</f>
        <v>3640</v>
      </c>
      <c r="P4" s="53">
        <f>O4/130</f>
        <v>28</v>
      </c>
      <c r="R4" s="51" t="s">
        <v>118</v>
      </c>
      <c r="S4" s="55">
        <f t="shared" ref="S4:X4" si="0">S3/15</f>
        <v>93.6</v>
      </c>
      <c r="T4" s="55">
        <f t="shared" si="0"/>
        <v>527</v>
      </c>
      <c r="U4" s="55">
        <f t="shared" si="0"/>
        <v>2269</v>
      </c>
      <c r="V4" s="55">
        <f t="shared" si="0"/>
        <v>160</v>
      </c>
      <c r="W4" s="55">
        <f t="shared" si="0"/>
        <v>0</v>
      </c>
      <c r="X4" s="55">
        <f t="shared" si="0"/>
        <v>130</v>
      </c>
    </row>
    <row r="5" spans="1:24" ht="12.75" customHeight="1" x14ac:dyDescent="0.25">
      <c r="A5" s="26">
        <f>Mon!B71+Tues!B44+Wed!B43+Thurs!B73+Fri!B45+NFLD!A44</f>
        <v>141</v>
      </c>
      <c r="B5" s="2" t="s">
        <v>42</v>
      </c>
      <c r="C5" s="24"/>
      <c r="D5" s="26">
        <f>Mon!E71+Tues!E44+Wed!E43+Thurs!E73+Fri!E45+NFLD!D44</f>
        <v>95</v>
      </c>
      <c r="E5" s="2" t="s">
        <v>20</v>
      </c>
      <c r="G5" s="26">
        <f>Mon!H71+Tues!H44+Wed!H43+Thurs!H73+Fri!H45+NFLD!G44</f>
        <v>149</v>
      </c>
      <c r="H5" s="2" t="s">
        <v>46</v>
      </c>
      <c r="J5" s="26">
        <f>Mon!K71+Tues!K44+Wed!K43+Thurs!K73+Fri!K45+NFLD!J44</f>
        <v>364</v>
      </c>
      <c r="K5" s="2" t="s">
        <v>7</v>
      </c>
      <c r="M5" s="42"/>
      <c r="N5" s="52" t="s">
        <v>8</v>
      </c>
      <c r="O5" s="53">
        <f>J6*10</f>
        <v>310</v>
      </c>
      <c r="P5" s="53">
        <f>O5/130</f>
        <v>2.3846153846153846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13</v>
      </c>
      <c r="H6" s="2" t="s">
        <v>30</v>
      </c>
      <c r="J6" s="26">
        <f>Mon!K72+Tues!K45+Wed!K44+Thurs!K74+Fri!K46+NFLD!J45</f>
        <v>31</v>
      </c>
      <c r="K6" s="2" t="s">
        <v>8</v>
      </c>
      <c r="M6" s="42"/>
      <c r="N6" s="52" t="s">
        <v>51</v>
      </c>
      <c r="O6" s="53">
        <f>J7*15</f>
        <v>1620</v>
      </c>
      <c r="P6" s="53">
        <f>O6/150</f>
        <v>10.8</v>
      </c>
    </row>
    <row r="7" spans="1:24" ht="12.75" customHeight="1" x14ac:dyDescent="0.25">
      <c r="A7" s="26">
        <f>Mon!B73+Tues!B46+Wed!B45+Thurs!B75+Fri!B47+NFLD!A46</f>
        <v>22</v>
      </c>
      <c r="B7" s="2" t="s">
        <v>5</v>
      </c>
      <c r="C7" s="24"/>
      <c r="D7" s="26">
        <f>Mon!E73+Tues!E46+Wed!E45+Thurs!E75+Fri!E47+NFLD!D46</f>
        <v>3</v>
      </c>
      <c r="E7" s="2" t="s">
        <v>21</v>
      </c>
      <c r="G7" s="26">
        <f>Mon!H73+Tues!H46+Wed!H45+Thurs!H75+Fri!H47+NFLD!G46</f>
        <v>119</v>
      </c>
      <c r="H7" s="2" t="s">
        <v>102</v>
      </c>
      <c r="J7" s="26">
        <f>Mon!K73+Tues!K46+Wed!K45+Thurs!K75+Fri!K47+NFLD!J46</f>
        <v>108</v>
      </c>
      <c r="K7" s="2" t="s">
        <v>51</v>
      </c>
      <c r="M7" s="42"/>
      <c r="N7" s="52" t="s">
        <v>44</v>
      </c>
      <c r="O7" s="53">
        <f>J8*15</f>
        <v>10170</v>
      </c>
      <c r="P7" s="53">
        <f>O7/150</f>
        <v>67.8</v>
      </c>
      <c r="R7" s="12" t="s">
        <v>105</v>
      </c>
      <c r="S7" s="60">
        <f>Mon!C2</f>
        <v>24</v>
      </c>
    </row>
    <row r="8" spans="1:24" ht="12.75" customHeight="1" x14ac:dyDescent="0.25">
      <c r="A8" s="26">
        <f>Mon!B74+Tues!B47+Wed!B46+Thurs!B76+Fri!B48+NFLD!A47</f>
        <v>388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678</v>
      </c>
      <c r="K8" s="2" t="s">
        <v>44</v>
      </c>
      <c r="M8" s="42"/>
      <c r="N8" s="52" t="s">
        <v>2</v>
      </c>
      <c r="O8" s="53">
        <f>J9*15</f>
        <v>1380</v>
      </c>
      <c r="P8" s="53">
        <f>O8/150</f>
        <v>9.1999999999999993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72</v>
      </c>
      <c r="E9" s="2" t="s">
        <v>22</v>
      </c>
      <c r="J9" s="26">
        <f>Mon!K75+Tues!K48+Wed!K47+Thurs!K77+Fri!K49+NFLD!J48</f>
        <v>92</v>
      </c>
      <c r="K9" s="2" t="s">
        <v>2</v>
      </c>
      <c r="M9" s="42"/>
      <c r="N9" s="52" t="s">
        <v>121</v>
      </c>
      <c r="O9" s="53">
        <f>7*(J10+J11)+8*(D12+D13+G7)+5*A9</f>
        <v>4794</v>
      </c>
      <c r="P9" s="53">
        <f>O9/140</f>
        <v>34.24285714285714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212</v>
      </c>
      <c r="K10" s="2" t="s">
        <v>1</v>
      </c>
      <c r="M10" s="42"/>
      <c r="N10" s="52" t="s">
        <v>41</v>
      </c>
      <c r="O10" s="53">
        <f>A4*15</f>
        <v>360</v>
      </c>
      <c r="P10" s="53">
        <f>O10/250</f>
        <v>1.44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153</v>
      </c>
      <c r="K11" s="2" t="s">
        <v>0</v>
      </c>
      <c r="M11" s="42"/>
      <c r="N11" s="52" t="s">
        <v>42</v>
      </c>
      <c r="O11" s="53">
        <f>A5*15</f>
        <v>2115</v>
      </c>
      <c r="P11" s="53">
        <f>O11/250</f>
        <v>8.4600000000000009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>A6*15</f>
        <v>105</v>
      </c>
      <c r="P12" s="53">
        <f>O12/250</f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159</v>
      </c>
      <c r="E13" s="2" t="s">
        <v>28</v>
      </c>
      <c r="M13" s="42"/>
      <c r="N13" s="52" t="s">
        <v>5</v>
      </c>
      <c r="O13" s="53">
        <f>A7*15</f>
        <v>330</v>
      </c>
      <c r="P13" s="53">
        <f>O13/250</f>
        <v>1.32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195</v>
      </c>
      <c r="P16" s="53">
        <f>O16/250</f>
        <v>0.78</v>
      </c>
    </row>
    <row r="17" spans="1:24" ht="12.75" customHeight="1" x14ac:dyDescent="0.25">
      <c r="A17" s="32">
        <f>Mon!B85+Tues!B58+Wed!B57+Thurs!B87+Fri!B59+NFLD!A58</f>
        <v>2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>15*G5</f>
        <v>2235</v>
      </c>
      <c r="P17" s="53">
        <f>O17/250</f>
        <v>8.94</v>
      </c>
    </row>
    <row r="18" spans="1:24" ht="12.75" customHeight="1" x14ac:dyDescent="0.25">
      <c r="A18" s="26">
        <f>Mon!B86+Tues!B59+Wed!B58+Thurs!B88+Fri!B60+NFLD!A59</f>
        <v>3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>15*G6</f>
        <v>195</v>
      </c>
      <c r="P18" s="53">
        <f>O18/250</f>
        <v>0.78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31</v>
      </c>
      <c r="E19" s="2" t="s">
        <v>8</v>
      </c>
      <c r="F19" s="24"/>
      <c r="G19" s="14">
        <f>Mon!K87+Tues!K60+Thurs!K89+Fri!K61</f>
        <v>12</v>
      </c>
      <c r="H19" s="2" t="s">
        <v>6</v>
      </c>
      <c r="N19" s="52" t="s">
        <v>127</v>
      </c>
      <c r="O19" s="53">
        <f>8*G7</f>
        <v>952</v>
      </c>
      <c r="P19" s="53">
        <f>O19/50</f>
        <v>19.04</v>
      </c>
    </row>
    <row r="20" spans="1:24" ht="12.75" customHeight="1" x14ac:dyDescent="0.25">
      <c r="A20" s="26">
        <f>Mon!B88+Tues!B61+Wed!B60+Thurs!B90+Fri!B62+NFLD!A61</f>
        <v>4</v>
      </c>
      <c r="B20" s="2" t="s">
        <v>11</v>
      </c>
      <c r="D20" s="26">
        <f>A7</f>
        <v>22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270</v>
      </c>
      <c r="P20" s="53">
        <f>O20/150</f>
        <v>1.8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13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>15*D5</f>
        <v>1425</v>
      </c>
      <c r="P21" s="53">
        <f>O21/150</f>
        <v>9.5</v>
      </c>
    </row>
    <row r="22" spans="1:24" ht="12.75" customHeight="1" x14ac:dyDescent="0.25">
      <c r="A22" s="26">
        <f>Mon!B90+Tues!B63+Wed!B62+Thurs!B92+Fri!B64+NFLD!A63</f>
        <v>5</v>
      </c>
      <c r="B22" s="2" t="s">
        <v>13</v>
      </c>
      <c r="D22" s="21">
        <f>A8</f>
        <v>388</v>
      </c>
      <c r="E22" s="2" t="s">
        <v>50</v>
      </c>
      <c r="F22" s="24"/>
      <c r="G22" s="14">
        <f>Mon!K90+Tues!K63+Thurs!K92+Fri!K64</f>
        <v>5</v>
      </c>
      <c r="H22" s="2" t="s">
        <v>103</v>
      </c>
      <c r="N22" s="52" t="s">
        <v>27</v>
      </c>
      <c r="O22" s="53">
        <f>15*D6</f>
        <v>0</v>
      </c>
      <c r="P22" s="53">
        <f>O22/150</f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119</v>
      </c>
      <c r="E23" s="2" t="s">
        <v>103</v>
      </c>
      <c r="F23" s="24"/>
      <c r="G23" s="14">
        <f>Mon!K91+Tues!K64+Thurs!K93+Fri!K65</f>
        <v>2</v>
      </c>
      <c r="H23" s="2" t="s">
        <v>7</v>
      </c>
      <c r="N23" s="52" t="s">
        <v>21</v>
      </c>
      <c r="O23" s="53">
        <f>15*D7</f>
        <v>45</v>
      </c>
      <c r="P23" s="53">
        <f>O23/150</f>
        <v>0.3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720</v>
      </c>
      <c r="P25" s="53">
        <f>O25/130</f>
        <v>5.5384615384615383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1272</v>
      </c>
      <c r="P29" s="53">
        <f>O29/50</f>
        <v>25.44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479</v>
      </c>
      <c r="P32" s="51">
        <f>O32/25-24*(G17+G20+G23)</f>
        <v>-28.84</v>
      </c>
      <c r="R32" s="98" t="s">
        <v>140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1433</v>
      </c>
      <c r="P33" s="51">
        <f>O33/25-24*(G18+G21+G24)-20*G19</f>
        <v>-206.68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189</v>
      </c>
      <c r="P34" s="51">
        <f>O34/25</f>
        <v>7.56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160</v>
      </c>
      <c r="P35" s="51">
        <f>O35/25</f>
        <v>6.4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130</v>
      </c>
      <c r="P36" s="51">
        <f>O36/25</f>
        <v>5.2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159</v>
      </c>
      <c r="P37" s="51">
        <f>O37/20</f>
        <v>7.95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54</v>
      </c>
      <c r="P38" s="51">
        <f>O38/20-13*G22</f>
        <v>-62.3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2025-06-12T17:50:45Z</cp:lastPrinted>
  <dcterms:created xsi:type="dcterms:W3CDTF">2014-06-06T13:58:10Z</dcterms:created>
  <dcterms:modified xsi:type="dcterms:W3CDTF">2025-06-16T12:03:57Z</dcterms:modified>
</cp:coreProperties>
</file>