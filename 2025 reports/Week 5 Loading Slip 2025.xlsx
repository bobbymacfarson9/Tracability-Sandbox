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196B14DE-EA19-4D54-B7E2-F9DC2911868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64" i="9" l="1"/>
  <c r="K63" i="9"/>
  <c r="K62" i="9"/>
  <c r="K66" i="9"/>
  <c r="K59" i="9"/>
  <c r="K92" i="8"/>
  <c r="K91" i="8"/>
  <c r="K94" i="8"/>
  <c r="K87" i="8"/>
  <c r="K61" i="7"/>
  <c r="K85" i="4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<sst xmlns="http://schemas.openxmlformats.org/spreadsheetml/2006/main" count="1138" uniqueCount="195">
  <si>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</si>
  <si>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</si>
  <si>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</si>
  <si>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</si>
  <si>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</si>
  <si>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</si>
  <si>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</si>
  <si>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</si>
  <si>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</si>
  <si>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</si>
  <si>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</si>
  <si>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</si>
  <si>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</si>
  <si>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</si>
  <si>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</si>
  <si>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</si>
  <si>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</si>
  <si>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</si>
  <si>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</si>
  <si>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</si>
  <si>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</si>
  <si>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</si>
  <si>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</si>
  <si>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</si>
  <si>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</si>
  <si>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</si>
  <si>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</si>
  <si>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</si>
  <si>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</si>
  <si>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</si>
  <si>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</si>
  <si>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</si>
  <si>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</si>
  <si>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</si>
  <si>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</si>
  <si>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</si>
  <si>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</si>
  <si>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</si>
  <si>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</si>
  <si>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</si>
  <si>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</si>
  <si>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</si>
  <si>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</si>
  <si>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</si>
  <si>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</si>
  <si>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</si>
  <si>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</si>
  <si>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</si>
  <si>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</si>
  <si>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</si>
  <si>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</si>
  <si>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</si>
  <si>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</si>
  <si>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</si>
  <si>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</si>
  <si>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</si>
  <si>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</si>
  <si>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</si>
  <si>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</si>
  <si>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</si>
  <si>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</si>
  <si>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</si>
  <si>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</si>
  <si>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</si>
  <si>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</si>
  <si>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</si>
  <si>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</si>
  <si>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</si>
  <si>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</si>
  <si>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</si>
  <si>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</si>
  <si>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</si>
  <si>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</si>
  <si>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</si>
  <si>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</si>
  <si>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</si>
  <si>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</si>
  <si>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</si>
  <si>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</si>
  <si>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</si>
  <si>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</si>
  <si>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</si>
  <si>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</si>
  <si>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</si>
  <si>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</si>
  <si>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</si>
  <si>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</si>
  <si>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</si>
  <si>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</si>
  <si>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</si>
  <si>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</si>
  <si>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</si>
  <si>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</si>
  <si>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</si>
  <si>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</si>
  <si>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</si>
  <si>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</si>
  <si>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</si>
  <si>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</si>
  <si>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</si>
  <si>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</si>
  <si>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</si>
  <si>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</si>
  <si>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</si>
  <si>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</si>
  <si>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</si>
  <si>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</si>
  <si>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</si>
  <si>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</si>
  <si>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</si>
  <si>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</si>
  <si>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</si>
  <si>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</si>
  <si>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</si>
  <si>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</si>
  <si>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</si>
  <si>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</si>
  <si>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</si>
  <si>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</si>
  <si>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</si>
  <si>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</si>
  <si>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</si>
  <si>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</si>
  <si>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</si>
  <si>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</si>
  <si>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</si>
  <si>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</si>
  <si>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</si>
  <si>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</si>
  <si>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</si>
  <si>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</si>
  <si>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</si>
  <si>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</si>
  <si>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</si>
  <si>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</si>
  <si>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</si>
  <si>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</si>
  <si>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</si>
  <si>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</si>
  <si>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</si>
  <si>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</si>
  <si>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</si>
  <si>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</si>
  <si>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</si>
  <si>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</si>
  <si>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</si>
  <si>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</si>
  <si>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</si>
  <si>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</si>
  <si>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</si>
  <si>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</si>
  <si>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</si>
  <si>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</si>
  <si>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</si>
  <si>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</si>
  <si>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</si>
  <si>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</si>
  <si>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</si>
  <si>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</si>
  <si>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</si>
  <si>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</si>
  <si>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</si>
  <si>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</si>
  <si>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</si>
  <si>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</si>
  <si>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</si>
  <si>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</si>
  <si>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</si>
  <si>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</si>
  <si>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</si>
  <si>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</si>
  <si>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</si>
  <si>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</si>
  <si>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</si>
  <si>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</si>
  <si>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</si>
  <si>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</si>
  <si>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</si>
  <si>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</si>
  <si>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</si>
  <si>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</si>
  <si>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</si>
  <si>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</si>
  <si>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</si>
  <si>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</si>
  <si>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</si>
  <si>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</si>
  <si>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</si>
  <si>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</si>
  <si>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</si>
  <si>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</si>
  <si>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</si>
  <si>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 xml:space="preserve">Holy Redeemer </t>
  </si>
  <si>
    <t xml:space="preserve">Lg Loose </t>
  </si>
  <si>
    <t>Eyk 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</si>
</sst>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/>
    </xf>
    <xf numFmtId="0" fontId="8" fillId="0" borderId="0" xfId="0" applyFont="1"/>
    <xf numFmtId="0" fontId="17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45684</v>
      </c>
      <c r="E1" s="96"/>
      <c r="F1" s="96"/>
      <c r="H1" s="63" t="s">
        <v>144</v>
      </c>
      <c r="I1" s="64">
        <f>D1+42-1</f>
        <v>45725</v>
      </c>
      <c r="L1" s="19" t="s">
        <v>38</v>
      </c>
    </row>
    <row r="2" spans="1:12" ht="15.75" x14ac:dyDescent="0.25">
      <c r="B2" s="41" t="s">
        <v>106</v>
      </c>
      <c r="C2" s="50">
        <v>57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4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10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8</v>
      </c>
      <c r="I10" s="2" t="s">
        <v>22</v>
      </c>
    </row>
    <row r="11" spans="1:12" x14ac:dyDescent="0.25">
      <c r="A11">
        <f>ROUNDDOWN(B11/24,0)</f>
        <v>0</v>
      </c>
      <c r="B11" s="39">
        <v>5</v>
      </c>
      <c r="C11" s="2" t="s">
        <v>7</v>
      </c>
      <c r="E11" s="39">
        <f>SUM(E5:E10)</f>
        <v>40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4873429411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2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5724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33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45684</v>
      </c>
      <c r="E34" s="96"/>
      <c r="F34" s="96"/>
      <c r="H34" s="63" t="s">
        <v>144</v>
      </c>
      <c r="I34" s="67">
        <f>I1</f>
        <v>45725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1</v>
      </c>
      <c r="F37" s="2" t="s">
        <v>19</v>
      </c>
      <c r="H37" s="39">
        <v>5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11</v>
      </c>
      <c r="F38" s="2" t="s">
        <v>20</v>
      </c>
      <c r="H38" s="39">
        <v>18</v>
      </c>
      <c r="I38" s="2" t="s">
        <v>20</v>
      </c>
    </row>
    <row r="39" spans="1:12" x14ac:dyDescent="0.25">
      <c r="B39" s="39">
        <v>2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18</v>
      </c>
      <c r="F42" s="2" t="s">
        <v>22</v>
      </c>
      <c r="H42" s="39">
        <v>17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18</v>
      </c>
      <c r="F46" s="16" t="s">
        <v>28</v>
      </c>
      <c r="H46" s="39">
        <v>30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49</v>
      </c>
      <c r="F47" s="2" t="s">
        <v>35</v>
      </c>
      <c r="H47" s="39">
        <f>SUM(H37:H46)</f>
        <v>70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5313</v>
      </c>
      <c r="H49" s="2" t="s">
        <v>36</v>
      </c>
      <c r="I49" s="16">
        <v>5310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24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11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8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2</v>
      </c>
      <c r="H56" s="39">
        <v>28</v>
      </c>
      <c r="I56" s="2" t="s">
        <v>104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4</v>
      </c>
      <c r="I58" s="16" t="s">
        <v>34</v>
      </c>
      <c r="K58" s="17" t="s">
        <v>161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47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4873417075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150</v>
      </c>
      <c r="E70" s="15">
        <f t="shared" ref="E70:E79" si="0">H5+E37+H37</f>
        <v>10</v>
      </c>
      <c r="F70" s="2" t="s">
        <v>19</v>
      </c>
      <c r="H70" s="13">
        <f>E5+H53</f>
        <v>2</v>
      </c>
      <c r="I70" s="2" t="s">
        <v>45</v>
      </c>
      <c r="K70" s="47">
        <f>B10+E9+B30+B42+H57</f>
        <v>15</v>
      </c>
      <c r="L70" s="2" t="s">
        <v>9</v>
      </c>
    </row>
    <row r="71" spans="2:12" x14ac:dyDescent="0.25">
      <c r="B71" s="26">
        <f>B6+B27+B38</f>
        <v>6</v>
      </c>
      <c r="C71" s="2" t="s">
        <v>42</v>
      </c>
      <c r="D71" s="35">
        <f t="shared" ref="D71:D77" si="1">E71*15</f>
        <v>585</v>
      </c>
      <c r="E71" s="14">
        <f t="shared" si="0"/>
        <v>39</v>
      </c>
      <c r="F71" s="2" t="s">
        <v>20</v>
      </c>
      <c r="H71" s="14">
        <f>E6+E16+E59+H54+E53</f>
        <v>87</v>
      </c>
      <c r="I71" s="2" t="s">
        <v>46</v>
      </c>
      <c r="K71" s="13">
        <f>B11+E10+B31+B43+H58</f>
        <v>24</v>
      </c>
      <c r="L71" s="2" t="s">
        <v>7</v>
      </c>
    </row>
    <row r="72" spans="2:12" x14ac:dyDescent="0.25">
      <c r="B72" s="26">
        <f>B7+B28+B39</f>
        <v>2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38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430</v>
      </c>
      <c r="E75" s="14">
        <f t="shared" si="0"/>
        <v>43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400</v>
      </c>
      <c r="E79" s="14">
        <f t="shared" si="0"/>
        <v>50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30</v>
      </c>
      <c r="H85" s="26">
        <f>B72</f>
        <v>2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304</v>
      </c>
      <c r="H91" s="21">
        <f>H73</f>
        <v>38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45685</v>
      </c>
      <c r="E1" s="95"/>
      <c r="F1" s="95"/>
      <c r="H1" s="63" t="s">
        <v>144</v>
      </c>
      <c r="I1" s="64">
        <f>Mon!D1+42-1</f>
        <v>45725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3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10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10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9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68</v>
      </c>
      <c r="C21" s="2" t="s">
        <v>35</v>
      </c>
      <c r="E21" s="39">
        <f>SUM(E4:E20)</f>
        <v>36</v>
      </c>
      <c r="F21" s="2" t="s">
        <v>35</v>
      </c>
      <c r="H21" s="39">
        <f>SUM(H4:H20)</f>
        <v>51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0</v>
      </c>
      <c r="B27" s="39">
        <v>6</v>
      </c>
      <c r="C27" s="2" t="s">
        <v>104</v>
      </c>
      <c r="D27">
        <f>ROUNDDOWN(E27/13,0)</f>
        <v>0</v>
      </c>
      <c r="E27" s="39">
        <v>10</v>
      </c>
      <c r="F27" s="2" t="s">
        <v>104</v>
      </c>
      <c r="H27" s="39">
        <f>SUM(H24:H26)</f>
        <v>10</v>
      </c>
      <c r="I27" s="2" t="s">
        <v>35</v>
      </c>
      <c r="K27" s="74">
        <v>27</v>
      </c>
      <c r="L27" s="84" t="s">
        <v>44</v>
      </c>
      <c r="R27" s="3"/>
    </row>
    <row r="28" spans="1:18" ht="12.4" customHeight="1" x14ac:dyDescent="0.25">
      <c r="B28" s="39">
        <v>5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59</v>
      </c>
      <c r="C30" s="2" t="s">
        <v>35</v>
      </c>
      <c r="E30" s="39">
        <f>SUM(E24:E29)</f>
        <v>30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46</v>
      </c>
      <c r="L31" s="89" t="s">
        <v>44</v>
      </c>
    </row>
    <row r="32" spans="1:18" ht="12.4" customHeight="1" x14ac:dyDescent="0.25">
      <c r="B32" s="2" t="s">
        <v>36</v>
      </c>
      <c r="C32" s="16">
        <v>4873469539</v>
      </c>
      <c r="E32" s="2" t="s">
        <v>36</v>
      </c>
      <c r="F32" s="16">
        <v>4873469408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12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4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34</v>
      </c>
      <c r="L43" s="2" t="s">
        <v>9</v>
      </c>
    </row>
    <row r="44" spans="2:12" x14ac:dyDescent="0.25">
      <c r="B44" s="26">
        <f>B5+H5+K5+E5</f>
        <v>17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40</v>
      </c>
      <c r="I44" s="2" t="s">
        <v>46</v>
      </c>
      <c r="K44" s="13">
        <f>B10+B29+H10+K10+E10+E29+B37</f>
        <v>61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11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16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76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79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110</v>
      </c>
      <c r="H60" s="29">
        <f>K45</f>
        <v>11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380</v>
      </c>
      <c r="H63" s="21">
        <f>B47</f>
        <v>76</v>
      </c>
      <c r="I63" s="2" t="s">
        <v>50</v>
      </c>
      <c r="K63" s="14">
        <f>A27+D27</f>
        <v>0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128</v>
      </c>
      <c r="H64" s="21">
        <f>H46</f>
        <v>16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E37" sqref="E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45686</v>
      </c>
      <c r="E1" s="95"/>
      <c r="F1" s="95"/>
      <c r="H1" s="63" t="s">
        <v>144</v>
      </c>
      <c r="I1" s="64">
        <f>Mon!D1+49-1</f>
        <v>45732</v>
      </c>
      <c r="K1" s="17" t="s">
        <v>95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0</v>
      </c>
      <c r="F4" s="2" t="s">
        <v>41</v>
      </c>
      <c r="H4" s="39">
        <v>1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11</v>
      </c>
      <c r="F5" s="2" t="s">
        <v>42</v>
      </c>
      <c r="H5" s="39">
        <v>8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0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15</v>
      </c>
      <c r="I8" s="22" t="s">
        <v>35</v>
      </c>
      <c r="K8" s="39">
        <v>4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36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6</v>
      </c>
      <c r="I12" s="2" t="s">
        <v>41</v>
      </c>
      <c r="K12" s="39">
        <f>SUM(K2:K11)</f>
        <v>51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5</v>
      </c>
      <c r="F13" s="2" t="s">
        <v>42</v>
      </c>
      <c r="H13" s="39">
        <v>7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4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8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2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5</v>
      </c>
      <c r="F17" s="16" t="s">
        <v>7</v>
      </c>
      <c r="G17" s="2"/>
      <c r="H17" s="39">
        <v>0</v>
      </c>
      <c r="I17" s="16" t="s">
        <v>154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21</v>
      </c>
      <c r="F18" s="22" t="s">
        <v>35</v>
      </c>
      <c r="H18" s="39">
        <f>SUM(H12:H17)</f>
        <v>29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8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20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2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1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14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0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87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3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9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17</v>
      </c>
      <c r="L42" s="2" t="s">
        <v>9</v>
      </c>
    </row>
    <row r="43" spans="2:12" x14ac:dyDescent="0.25">
      <c r="B43" s="91">
        <f>E5+E13+H5+H13+K3+K16+K16</f>
        <v>48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35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12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20</v>
      </c>
      <c r="L45" s="2" t="s">
        <v>51</v>
      </c>
    </row>
    <row r="46" spans="2:12" x14ac:dyDescent="0.25">
      <c r="B46" s="91">
        <f>E15+E26+H7+H15+K5+K18+K18</f>
        <v>41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14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180</v>
      </c>
      <c r="H60" s="26">
        <f>B45</f>
        <v>12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205</v>
      </c>
      <c r="H62" s="21">
        <f>B46</f>
        <v>41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4" zoomScale="70" zoomScaleNormal="100" zoomScalePageLayoutView="70" workbookViewId="0">
      <selection activeCell="F19" sqref="F19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45687</v>
      </c>
      <c r="E1" s="95"/>
      <c r="F1" s="95"/>
      <c r="G1" s="1"/>
      <c r="H1" s="63" t="s">
        <v>144</v>
      </c>
      <c r="I1" s="64">
        <f>Mon!D1+49-1</f>
        <v>45732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3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0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8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0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40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4873530195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0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1</v>
      </c>
      <c r="I16" s="2" t="s">
        <v>30</v>
      </c>
      <c r="K16" s="2" t="s">
        <v>36</v>
      </c>
      <c r="L16" s="16"/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17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45687</v>
      </c>
      <c r="E35" s="95"/>
      <c r="F35" s="95"/>
      <c r="H35" s="63" t="s">
        <v>144</v>
      </c>
      <c r="I35" s="64">
        <f>I1</f>
        <v>45732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5</v>
      </c>
      <c r="I38" s="2" t="s">
        <v>19</v>
      </c>
      <c r="K38" s="39">
        <v>7</v>
      </c>
      <c r="L38" s="2" t="s">
        <v>19</v>
      </c>
    </row>
    <row r="39" spans="1:12" x14ac:dyDescent="0.25">
      <c r="A39">
        <f>ROUNDDOWN(B39/24,0)</f>
        <v>0</v>
      </c>
      <c r="B39" s="39">
        <v>5</v>
      </c>
      <c r="C39" s="2" t="s">
        <v>42</v>
      </c>
      <c r="D39">
        <f>ROUNDDOWN(E39/24,0)</f>
        <v>0</v>
      </c>
      <c r="E39" s="39">
        <v>16</v>
      </c>
      <c r="F39" s="2" t="s">
        <v>31</v>
      </c>
      <c r="H39" s="39">
        <v>22</v>
      </c>
      <c r="I39" s="2" t="s">
        <v>20</v>
      </c>
      <c r="K39" s="39">
        <v>13</v>
      </c>
      <c r="L39" s="2" t="s">
        <v>20</v>
      </c>
    </row>
    <row r="40" spans="1:12" x14ac:dyDescent="0.25">
      <c r="B40" s="39">
        <v>2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3</v>
      </c>
      <c r="E41" s="39">
        <v>46</v>
      </c>
      <c r="F41" s="2" t="s">
        <v>104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8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19</v>
      </c>
      <c r="F43" s="16" t="s">
        <v>7</v>
      </c>
      <c r="H43" s="39">
        <v>23</v>
      </c>
      <c r="I43" s="2" t="s">
        <v>22</v>
      </c>
      <c r="K43" s="39">
        <v>36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91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4873517872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25</v>
      </c>
      <c r="I47" s="16" t="s">
        <v>28</v>
      </c>
      <c r="K47" s="39">
        <v>30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76</v>
      </c>
      <c r="I48" s="2" t="s">
        <v>35</v>
      </c>
      <c r="K48" s="39">
        <f>SUM(K38:K47)</f>
        <v>88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6934</v>
      </c>
      <c r="K50" s="2" t="s">
        <v>36</v>
      </c>
      <c r="L50" s="16">
        <v>6931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2</v>
      </c>
      <c r="C53" s="2" t="s">
        <v>13</v>
      </c>
      <c r="E53" s="39">
        <f>SUM(E50:E52)</f>
        <v>50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64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27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180</v>
      </c>
      <c r="E72" s="36">
        <f t="shared" ref="E72:E81" si="0">K4+H38+K38</f>
        <v>12</v>
      </c>
      <c r="F72" s="2" t="s">
        <v>19</v>
      </c>
      <c r="H72" s="13">
        <f>H4+E38</f>
        <v>3</v>
      </c>
      <c r="I72" s="2" t="s">
        <v>45</v>
      </c>
      <c r="K72" s="47">
        <f>B9+E8+H8+B43+E42</f>
        <v>33</v>
      </c>
      <c r="L72" s="2" t="s">
        <v>9</v>
      </c>
    </row>
    <row r="73" spans="2:12" x14ac:dyDescent="0.25">
      <c r="B73" s="26">
        <f>B5+E5+B39</f>
        <v>8</v>
      </c>
      <c r="C73" s="2" t="s">
        <v>42</v>
      </c>
      <c r="D73" s="35">
        <f t="shared" ref="D73:D79" si="1">E73*15</f>
        <v>525</v>
      </c>
      <c r="E73" s="37">
        <f t="shared" si="0"/>
        <v>35</v>
      </c>
      <c r="F73" s="2" t="s">
        <v>20</v>
      </c>
      <c r="H73" s="47">
        <f>H5+H15+E50+E39+E57</f>
        <v>116</v>
      </c>
      <c r="I73" s="2" t="s">
        <v>46</v>
      </c>
      <c r="K73" s="47">
        <f>B10+E9+H9+B44+E43</f>
        <v>85</v>
      </c>
      <c r="L73" s="2" t="s">
        <v>7</v>
      </c>
    </row>
    <row r="74" spans="2:12" x14ac:dyDescent="0.25">
      <c r="B74" s="26">
        <f>B6+E6+B40</f>
        <v>3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56</v>
      </c>
      <c r="I75" s="2" t="s">
        <v>103</v>
      </c>
      <c r="K75" s="47">
        <f>B28+K54</f>
        <v>13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590</v>
      </c>
      <c r="E77" s="37">
        <f t="shared" si="0"/>
        <v>59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440</v>
      </c>
      <c r="E81" s="37">
        <f t="shared" si="0"/>
        <v>55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45</v>
      </c>
      <c r="H87" s="26">
        <f>B74</f>
        <v>3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2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3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448</v>
      </c>
      <c r="H93" s="21">
        <f>H75</f>
        <v>56</v>
      </c>
      <c r="I93" s="2" t="s">
        <v>104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8" sqref="O1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45688</v>
      </c>
      <c r="E1" s="95"/>
      <c r="F1" s="95"/>
      <c r="H1" s="63" t="s">
        <v>144</v>
      </c>
      <c r="I1" s="64">
        <f>Mon!D1+49-1</f>
        <v>45732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11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5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2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4</v>
      </c>
      <c r="B8" s="39">
        <v>80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9</v>
      </c>
      <c r="C9" s="2" t="s">
        <v>9</v>
      </c>
      <c r="E9" s="39">
        <v>9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7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7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10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22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143</v>
      </c>
      <c r="C21" s="22" t="s">
        <v>35</v>
      </c>
      <c r="E21" s="39">
        <f>SUM(E4:E20)</f>
        <v>53</v>
      </c>
      <c r="F21" s="22" t="s">
        <v>35</v>
      </c>
      <c r="H21" s="39">
        <f>SUM(H4:H20)</f>
        <v>58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9</v>
      </c>
      <c r="F25" s="2" t="s">
        <v>46</v>
      </c>
      <c r="H25" s="39">
        <v>0</v>
      </c>
      <c r="I25" s="2" t="s">
        <v>30</v>
      </c>
      <c r="K25" s="74">
        <v>22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100">
        <v>1</v>
      </c>
      <c r="L26" s="75" t="s">
        <v>194</v>
      </c>
    </row>
    <row r="27" spans="1:15" ht="12.75" customHeight="1" thickBot="1" x14ac:dyDescent="0.3">
      <c r="A27">
        <f>ROUNDDOWN(B27/13,0)</f>
        <v>1</v>
      </c>
      <c r="B27" s="39">
        <v>24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5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4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30</v>
      </c>
      <c r="C30" s="22" t="s">
        <v>35</v>
      </c>
      <c r="E30" s="39">
        <f>SUM(E24:E29)</f>
        <v>41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74</v>
      </c>
      <c r="L31" s="87" t="s">
        <v>44</v>
      </c>
    </row>
    <row r="32" spans="1:15" ht="12.75" customHeight="1" x14ac:dyDescent="0.25">
      <c r="B32" s="2" t="s">
        <v>36</v>
      </c>
      <c r="C32" s="16">
        <v>4873552932</v>
      </c>
      <c r="E32" s="2" t="s">
        <v>36</v>
      </c>
      <c r="F32" s="13">
        <v>4873553460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7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  <c r="K37" s="99" t="s">
        <v>192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12</v>
      </c>
      <c r="F38" t="s">
        <v>44</v>
      </c>
      <c r="K38" s="98">
        <v>1</v>
      </c>
      <c r="L38" t="s">
        <v>193</v>
      </c>
    </row>
    <row r="39" spans="2:15" ht="12.75" customHeight="1" x14ac:dyDescent="0.25">
      <c r="E39" s="29">
        <v>12</v>
      </c>
      <c r="F39" s="16" t="s">
        <v>50</v>
      </c>
    </row>
    <row r="40" spans="2:15" ht="12.6" customHeight="1" x14ac:dyDescent="0.25">
      <c r="E40" s="11">
        <f>SUM(E38:E39)</f>
        <v>24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2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35</v>
      </c>
      <c r="L44" s="2" t="s">
        <v>9</v>
      </c>
    </row>
    <row r="45" spans="2:15" x14ac:dyDescent="0.25">
      <c r="B45" s="26">
        <f>B5+E5+K5+H5+N5</f>
        <v>46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14</v>
      </c>
      <c r="I45" s="2" t="s">
        <v>46</v>
      </c>
      <c r="K45" s="47">
        <f>B37+B10+B28+E10+K10+H10+N10+E28</f>
        <v>36</v>
      </c>
      <c r="L45" s="2" t="s">
        <v>7</v>
      </c>
    </row>
    <row r="46" spans="2:15" x14ac:dyDescent="0.25">
      <c r="B46" s="26">
        <f>B6+E6+K6+H6+N6</f>
        <v>5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16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39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147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89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7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75</v>
      </c>
      <c r="H59" s="26">
        <f>B46</f>
        <v>5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160</v>
      </c>
      <c r="H61" s="29">
        <f>K46</f>
        <v>16</v>
      </c>
      <c r="I61" s="2" t="s">
        <v>8</v>
      </c>
      <c r="K61" s="13">
        <f>A8+D8+G8</f>
        <v>6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2</v>
      </c>
      <c r="C64" s="2" t="s">
        <v>13</v>
      </c>
      <c r="G64" s="35">
        <f>H64*5</f>
        <v>735</v>
      </c>
      <c r="H64" s="21">
        <f>B48</f>
        <v>147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312</v>
      </c>
      <c r="H65" s="21">
        <f>H47</f>
        <v>39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D18" sqref="D1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58</v>
      </c>
      <c r="D1" s="46"/>
      <c r="E1" s="46"/>
      <c r="F1" s="63" t="s">
        <v>144</v>
      </c>
      <c r="G1" s="64">
        <f>Mon!D1+49-1</f>
        <v>45732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12</v>
      </c>
      <c r="B12" s="44">
        <f>SUM(B5:B11)</f>
        <v>576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432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57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1608</v>
      </c>
      <c r="P3" s="53">
        <f>O3/125</f>
        <v>12.864000000000001</v>
      </c>
      <c r="R3" s="51" t="s">
        <v>118</v>
      </c>
      <c r="S3" s="55">
        <f>12*(D8+J4)</f>
        <v>1608</v>
      </c>
      <c r="T3" s="55">
        <f>15*(A4+D4+G4+J7+J5)+20*D12</f>
        <v>8460</v>
      </c>
      <c r="U3" s="55">
        <f>15*(A5+A9+D5+D9+D10+D11+G5+J6+J8+J10)+20*(A8+D13+G7)</f>
        <v>31935</v>
      </c>
      <c r="V3" s="55">
        <f>15*(A6+J11)</f>
        <v>1785</v>
      </c>
      <c r="W3" s="55">
        <f>15*D6</f>
        <v>0</v>
      </c>
      <c r="X3" s="55">
        <f>15*(A7+D7+G6+J9)</f>
        <v>2280</v>
      </c>
    </row>
    <row r="4" spans="1:24" ht="12.75" customHeight="1" x14ac:dyDescent="0.25">
      <c r="A4" s="31">
        <f>Mon!B70+Tues!B43+Wed!B42+Thurs!B72+Fri!B44+NFLD!A43</f>
        <v>14</v>
      </c>
      <c r="B4" s="2" t="s">
        <v>41</v>
      </c>
      <c r="C4" s="7"/>
      <c r="D4" s="31">
        <f>Mon!E70+Tues!E43+Wed!E42+Thurs!E72+Fri!E44+NFLD!D43</f>
        <v>22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134</v>
      </c>
      <c r="K4" s="2" t="s">
        <v>9</v>
      </c>
      <c r="M4" s="42"/>
      <c r="N4" s="52" t="s">
        <v>7</v>
      </c>
      <c r="O4" s="53">
        <f>J5*10</f>
        <v>3850</v>
      </c>
      <c r="P4" s="53">
        <f>O4/130</f>
        <v>29.615384615384617</v>
      </c>
      <c r="R4" s="51" t="s">
        <v>119</v>
      </c>
      <c r="S4" s="55">
        <f t="shared" ref="S4:X4" si="0">S3/15</f>
        <v>107.2</v>
      </c>
      <c r="T4" s="55">
        <f t="shared" si="0"/>
        <v>564</v>
      </c>
      <c r="U4" s="55">
        <f t="shared" si="0"/>
        <v>2129</v>
      </c>
      <c r="V4" s="55">
        <f t="shared" si="0"/>
        <v>119</v>
      </c>
      <c r="W4" s="55">
        <f t="shared" si="0"/>
        <v>0</v>
      </c>
      <c r="X4" s="55">
        <f t="shared" si="0"/>
        <v>152</v>
      </c>
    </row>
    <row r="5" spans="1:24" ht="12.75" customHeight="1" x14ac:dyDescent="0.25">
      <c r="A5" s="26">
        <f>Mon!B71+Tues!B44+Wed!B43+Thurs!B73+Fri!B45+NFLD!A44</f>
        <v>125</v>
      </c>
      <c r="B5" s="2" t="s">
        <v>42</v>
      </c>
      <c r="C5" s="24"/>
      <c r="D5" s="26">
        <f>Mon!E71+Tues!E44+Wed!E43+Thurs!E73+Fri!E45+NFLD!D44</f>
        <v>74</v>
      </c>
      <c r="E5" s="2" t="s">
        <v>20</v>
      </c>
      <c r="G5" s="26">
        <f>Mon!H71+Tues!H44+Wed!H43+Thurs!H73+Fri!H45+NFLD!G44</f>
        <v>257</v>
      </c>
      <c r="H5" s="2" t="s">
        <v>46</v>
      </c>
      <c r="J5" s="26">
        <f>Mon!K71+Tues!K44+Wed!K43+Thurs!K73+Fri!K45+NFLD!J44</f>
        <v>385</v>
      </c>
      <c r="K5" s="2" t="s">
        <v>7</v>
      </c>
      <c r="M5" s="42"/>
      <c r="N5" s="52" t="s">
        <v>8</v>
      </c>
      <c r="O5" s="53">
        <f>J6*10</f>
        <v>270</v>
      </c>
      <c r="P5" s="53">
        <f t="shared" ref="P5:P25" si="1">O5/130</f>
        <v>2.0769230769230771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13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27</v>
      </c>
      <c r="K6" s="2" t="s">
        <v>8</v>
      </c>
      <c r="M6" s="42"/>
      <c r="N6" s="52" t="s">
        <v>51</v>
      </c>
      <c r="O6" s="53">
        <f>J7*15</f>
        <v>2010</v>
      </c>
      <c r="P6" s="53">
        <f>O6/150</f>
        <v>13.4</v>
      </c>
    </row>
    <row r="7" spans="1:24" ht="12.75" customHeight="1" x14ac:dyDescent="0.25">
      <c r="A7" s="26">
        <f>Mon!B73+Tues!B46+Wed!B45+Thurs!B75+Fri!B47+NFLD!A46</f>
        <v>23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149</v>
      </c>
      <c r="H7" s="2" t="s">
        <v>103</v>
      </c>
      <c r="J7" s="26">
        <f>Mon!K73+Tues!K46+Wed!K45+Thurs!K75+Fri!K47+NFLD!J46</f>
        <v>134</v>
      </c>
      <c r="K7" s="2" t="s">
        <v>51</v>
      </c>
      <c r="M7" s="42"/>
      <c r="N7" s="52" t="s">
        <v>44</v>
      </c>
      <c r="O7" s="53">
        <f t="shared" ref="O7" si="2">J8*15</f>
        <v>9375</v>
      </c>
      <c r="P7" s="53">
        <f t="shared" ref="P7:P8" si="3">O7/150</f>
        <v>62.5</v>
      </c>
      <c r="R7" s="12" t="s">
        <v>106</v>
      </c>
      <c r="S7" s="60">
        <f>Mon!C2</f>
        <v>57</v>
      </c>
    </row>
    <row r="8" spans="1:24" ht="12.75" customHeight="1" x14ac:dyDescent="0.25">
      <c r="A8" s="26">
        <f>Mon!B74+Tues!B47+Wed!B46+Thurs!B76+Fri!B48+NFLD!A47</f>
        <v>334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625</v>
      </c>
      <c r="K8" s="2" t="s">
        <v>44</v>
      </c>
      <c r="M8" s="42"/>
      <c r="N8" s="52" t="s">
        <v>2</v>
      </c>
      <c r="O8" s="53">
        <f>J9*15</f>
        <v>1710</v>
      </c>
      <c r="P8" s="53">
        <f t="shared" si="3"/>
        <v>11.4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102</v>
      </c>
      <c r="E9" s="2" t="s">
        <v>22</v>
      </c>
      <c r="J9" s="26">
        <f>Mon!K75+Tues!K48+Wed!K47+Thurs!K77+Fri!K49+NFLD!J48</f>
        <v>114</v>
      </c>
      <c r="K9" s="2" t="s">
        <v>2</v>
      </c>
      <c r="M9" s="42"/>
      <c r="N9" s="52" t="s">
        <v>122</v>
      </c>
      <c r="O9" s="53">
        <f>7*(J10+J11)+8*(D12+D13+G7)+5*A9</f>
        <v>3713</v>
      </c>
      <c r="P9" s="53">
        <f>O9/140</f>
        <v>26.521428571428572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132</v>
      </c>
      <c r="K10" s="2" t="s">
        <v>1</v>
      </c>
      <c r="M10" s="42"/>
      <c r="N10" s="52" t="s">
        <v>41</v>
      </c>
      <c r="O10" s="53">
        <f>A4*15</f>
        <v>210</v>
      </c>
      <c r="P10" s="53">
        <f>O10/250</f>
        <v>0.84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106</v>
      </c>
      <c r="K11" s="2" t="s">
        <v>0</v>
      </c>
      <c r="M11" s="42"/>
      <c r="N11" s="52" t="s">
        <v>42</v>
      </c>
      <c r="O11" s="53">
        <f t="shared" ref="O11:O12" si="4">A5*15</f>
        <v>1875</v>
      </c>
      <c r="P11" s="53">
        <f t="shared" ref="P11:P13" si="5">O11/250</f>
        <v>7.5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195</v>
      </c>
      <c r="P12" s="53">
        <f t="shared" si="5"/>
        <v>0.78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105</v>
      </c>
      <c r="E13" s="2" t="s">
        <v>28</v>
      </c>
      <c r="M13" s="42"/>
      <c r="N13" s="52" t="s">
        <v>5</v>
      </c>
      <c r="O13" s="53">
        <f>A7*15</f>
        <v>345</v>
      </c>
      <c r="P13" s="53">
        <f t="shared" si="5"/>
        <v>1.38</v>
      </c>
      <c r="S13" s="59"/>
    </row>
    <row r="14" spans="1:24" ht="12.75" customHeight="1" x14ac:dyDescent="0.25">
      <c r="A14" s="7"/>
      <c r="N14" s="52" t="s">
        <v>127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13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3855</v>
      </c>
      <c r="P17" s="53">
        <f t="shared" si="6"/>
        <v>15.42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165</v>
      </c>
      <c r="P18" s="53">
        <f t="shared" si="6"/>
        <v>0.66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27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128</v>
      </c>
      <c r="O19" s="53">
        <f>8*G7</f>
        <v>1192</v>
      </c>
      <c r="P19" s="53">
        <f>O19/50</f>
        <v>23.84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23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330</v>
      </c>
      <c r="P20" s="53">
        <f>O20/150</f>
        <v>2.2000000000000002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1110</v>
      </c>
      <c r="P21" s="53">
        <f t="shared" ref="P21:P23" si="9">O21/150</f>
        <v>7.4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334</v>
      </c>
      <c r="E22" s="2" t="s">
        <v>50</v>
      </c>
      <c r="F22" s="24"/>
      <c r="G22" s="14">
        <f>Mon!K90+Tues!K63+Thurs!K92+Fri!K64</f>
        <v>7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149</v>
      </c>
      <c r="E23" s="2" t="s">
        <v>104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1020</v>
      </c>
      <c r="P25" s="53">
        <f t="shared" si="1"/>
        <v>7.8461538461538458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840</v>
      </c>
      <c r="P29" s="53">
        <f>O29/50</f>
        <v>16.8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492</v>
      </c>
      <c r="P32" s="51">
        <f>O32/25-24*(G17+G20+G23)</f>
        <v>-52.32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1289</v>
      </c>
      <c r="P33" s="51">
        <f>O33/25-24*(G18+G21+G24)-20*G19</f>
        <v>-236.44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236</v>
      </c>
      <c r="P34" s="51">
        <f t="shared" ref="P34:P36" si="10">O34/25</f>
        <v>9.44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119</v>
      </c>
      <c r="P35" s="51">
        <f t="shared" si="10"/>
        <v>4.76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152</v>
      </c>
      <c r="P36" s="51">
        <f t="shared" si="10"/>
        <v>6.08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105</v>
      </c>
      <c r="P37" s="51">
        <f>O37/20</f>
        <v>5.25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58</v>
      </c>
      <c r="P38" s="51">
        <f>O38/20-13*G22</f>
        <v>-88.1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2025-01-30T19:14:28Z</cp:lastPrinted>
  <dcterms:created xsi:type="dcterms:W3CDTF">2014-06-06T13:58:10Z</dcterms:created>
  <dcterms:modified xsi:type="dcterms:W3CDTF">2025-01-31T13:00:14Z</dcterms:modified>
</cp:coreProperties>
</file>