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5BE63630-7947-4B43-8291-CF0C3D9A5CE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4" l="1"/>
  <c r="G1" i="11"/>
  <c r="I1" i="9"/>
  <c r="I1" i="7"/>
  <c r="K44" i="9"/>
  <c r="K45" i="9"/>
  <c r="K73" i="8"/>
  <c r="K72" i="8"/>
  <c r="K43" i="7"/>
  <c r="K70" i="4"/>
  <c r="D29" i="9"/>
  <c r="D27" i="9"/>
  <c r="D25" i="9"/>
  <c r="K63" i="9" s="1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K94" i="8" s="1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4" i="9" l="1"/>
  <c r="K62" i="9"/>
  <c r="K66" i="9"/>
  <c r="K59" i="9"/>
  <c r="K92" i="8"/>
  <c r="K91" i="8"/>
  <c r="K90" i="8"/>
  <c r="K61" i="7"/>
  <c r="K90" i="4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<sst xmlns="http://schemas.openxmlformats.org/spreadsheetml/2006/main" count="1140" uniqueCount="195">
  <si>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</si>
  <si>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</si>
  <si>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</si>
  <si>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</si>
  <si>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</si>
  <si>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</si>
  <si>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</si>
  <si>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</si>
  <si>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</si>
  <si>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</si>
  <si>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</si>
  <si>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</si>
  <si>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</si>
  <si>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</si>
  <si>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</si>
  <si>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</si>
  <si>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</si>
  <si>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</si>
  <si>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</si>
  <si>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</si>
  <si>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</si>
  <si>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</si>
  <si>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</si>
  <si>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</si>
  <si>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</si>
  <si>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</si>
  <si>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</si>
  <si>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</si>
  <si>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</si>
  <si>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</si>
  <si>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</si>
  <si>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</si>
  <si>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</si>
  <si>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</si>
  <si>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</si>
  <si>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</si>
  <si>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</si>
  <si>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</si>
  <si>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</si>
  <si>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</si>
  <si>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</si>
  <si>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</si>
  <si>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</si>
  <si>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</si>
  <si>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</si>
  <si>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</si>
  <si>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</si>
  <si>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</si>
  <si>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</si>
  <si>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</si>
  <si>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</si>
  <si>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</si>
  <si>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</si>
  <si>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</si>
  <si>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</si>
  <si>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</si>
  <si>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</si>
  <si>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</si>
  <si>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</si>
  <si>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</si>
  <si>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</si>
  <si>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</si>
  <si>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</si>
  <si>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</si>
  <si>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</si>
  <si>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</si>
  <si>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</si>
  <si>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</si>
  <si>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</si>
  <si>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</si>
  <si>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</si>
  <si>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</si>
  <si>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</si>
  <si>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</si>
  <si>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</si>
  <si>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</si>
  <si>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</si>
  <si>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</si>
  <si>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</si>
  <si>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</si>
  <si>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</si>
  <si>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</si>
  <si>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</si>
  <si>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</si>
  <si>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</si>
  <si>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</si>
  <si>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</si>
  <si>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</si>
  <si>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</si>
  <si>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</si>
  <si>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</si>
  <si>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</si>
  <si>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</si>
  <si>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</si>
  <si>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</si>
  <si>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</si>
  <si>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</si>
  <si>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</si>
  <si>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</si>
  <si>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</si>
  <si>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</si>
  <si>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</si>
  <si>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</si>
  <si>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</si>
  <si>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</si>
  <si>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</si>
  <si>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</si>
  <si>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</si>
  <si>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</si>
  <si>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</si>
  <si>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</si>
  <si>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</si>
  <si>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</si>
  <si>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</si>
  <si>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</si>
  <si>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</si>
  <si>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</si>
  <si>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</si>
  <si>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</si>
  <si>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</si>
  <si>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</si>
  <si>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</si>
  <si>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</si>
  <si>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</si>
  <si>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</si>
  <si>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</si>
  <si>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</si>
  <si>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</si>
  <si>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</si>
  <si>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</si>
  <si>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</si>
  <si>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</si>
  <si>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</si>
  <si>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</si>
  <si>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</si>
  <si>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</si>
  <si>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</si>
  <si>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</si>
  <si>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</si>
  <si>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</si>
  <si>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</si>
  <si>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</si>
  <si>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</si>
  <si>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</si>
  <si>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</si>
  <si>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</si>
  <si>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</si>
  <si>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</si>
  <si>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</si>
  <si>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</si>
  <si>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</si>
  <si>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</si>
  <si>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</si>
  <si>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</si>
  <si>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</si>
  <si>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</si>
  <si>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</si>
  <si>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</si>
  <si>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</si>
  <si>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</si>
  <si>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</si>
  <si>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</si>
  <si>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</si>
  <si>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</si>
  <si>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</si>
  <si>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</si>
  <si>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</si>
  <si>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</si>
  <si>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</si>
  <si>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</si>
  <si>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</si>
  <si>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</si>
  <si>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</si>
  <si>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</si>
  <si>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</si>
  <si>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</si>
  <si>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</si>
  <si>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</si>
  <si>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</si>
  <si>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</si>
  <si>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</si>
  <si>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</si>
  <si>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</si>
  <si>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</si>
  <si>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</si>
  <si>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</si>
  <si>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</si>
  <si>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</si>
  <si>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</si>
  <si>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</si>
  <si>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</si>
  <si>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</si>
  <si>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4880027204/4880079832</t>
  </si>
  <si>
    <t xml:space="preserve">Eyk Brn </t>
  </si>
  <si>
    <t>4880138492/4880156071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</si>
</sst>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0" fillId="0" borderId="20" xfId="0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topLeftCell="A22" zoomScale="70" zoomScaleNormal="100" zoomScalePageLayoutView="70" workbookViewId="0">
      <selection activeCell="Y35" sqref="Y3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75</v>
      </c>
      <c r="C1" s="97"/>
      <c r="D1" s="96">
        <f>DATE(2024,12,30)+(C2-1)*7</f>
        <v>45992</v>
      </c>
      <c r="E1" s="97"/>
      <c r="F1" s="97"/>
      <c r="H1" s="63" t="s">
        <v>111</v>
      </c>
      <c r="I1" s="64">
        <f>D1+42-1</f>
        <v>46033</v>
      </c>
      <c r="L1" s="19" t="s">
        <v>38</v>
      </c>
    </row>
    <row r="2" spans="1:12" ht="15.75" x14ac:dyDescent="0.25">
      <c r="B2" s="41" t="s">
        <v>74</v>
      </c>
      <c r="C2" s="50">
        <v>49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2</v>
      </c>
      <c r="C5" s="2" t="s">
        <v>41</v>
      </c>
      <c r="D5">
        <f>ROUNDDOWN(E5/24,0)</f>
        <v>0</v>
      </c>
      <c r="E5" s="39">
        <v>2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12</v>
      </c>
      <c r="C6" s="2" t="s">
        <v>42</v>
      </c>
      <c r="D6">
        <f>ROUNDDOWN(E6/24,0)</f>
        <v>0</v>
      </c>
      <c r="E6" s="39">
        <v>4</v>
      </c>
      <c r="F6" s="2" t="s">
        <v>45</v>
      </c>
      <c r="H6" s="39">
        <v>7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2</v>
      </c>
      <c r="C8" s="2" t="s">
        <v>5</v>
      </c>
      <c r="D8">
        <f>ROUNDDOWN(E8/13,0)</f>
        <v>0</v>
      </c>
      <c r="E8" s="39">
        <v>0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>
        <v>10</v>
      </c>
      <c r="C9" s="2" t="s">
        <v>6</v>
      </c>
      <c r="E9" s="39">
        <v>6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10</v>
      </c>
      <c r="C10" s="2" t="s">
        <v>9</v>
      </c>
      <c r="D10">
        <f>ROUNDDOWN(E10/24,0)</f>
        <v>0</v>
      </c>
      <c r="E10" s="39">
        <v>9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>
        <v>8</v>
      </c>
      <c r="C11" s="2" t="s">
        <v>7</v>
      </c>
      <c r="E11" s="39">
        <f>SUM(E5:E10)</f>
        <v>22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15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4879994256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13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132</v>
      </c>
      <c r="F15" s="17"/>
      <c r="H15" s="39">
        <f>SUM(H5:H14)</f>
        <v>25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2837</v>
      </c>
    </row>
    <row r="18" spans="2:10" x14ac:dyDescent="0.2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60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75</v>
      </c>
      <c r="C34" s="97"/>
      <c r="D34" s="96">
        <f>D1</f>
        <v>45992</v>
      </c>
      <c r="E34" s="97"/>
      <c r="F34" s="97"/>
      <c r="H34" s="63" t="s">
        <v>111</v>
      </c>
      <c r="I34" s="67">
        <f>I1</f>
        <v>46033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7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12</v>
      </c>
      <c r="F38" s="2" t="s">
        <v>20</v>
      </c>
      <c r="H38" s="39">
        <v>15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13</v>
      </c>
      <c r="F42" s="2" t="s">
        <v>22</v>
      </c>
      <c r="H42" s="39">
        <v>22</v>
      </c>
      <c r="I42" s="2" t="s">
        <v>22</v>
      </c>
    </row>
    <row r="43" spans="1:12" x14ac:dyDescent="0.25">
      <c r="A43">
        <f>ROUNDDOWN(B43/24,0)</f>
        <v>0</v>
      </c>
      <c r="B43" s="39">
        <v>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32</v>
      </c>
      <c r="F46" s="16" t="s">
        <v>28</v>
      </c>
      <c r="H46" s="39">
        <v>59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60</v>
      </c>
      <c r="F47" s="2" t="s">
        <v>35</v>
      </c>
      <c r="H47" s="39">
        <f>SUM(H37:H46)</f>
        <v>106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116</v>
      </c>
      <c r="E49" s="2" t="s">
        <v>36</v>
      </c>
      <c r="F49" s="16">
        <v>3075</v>
      </c>
      <c r="H49" s="2" t="s">
        <v>36</v>
      </c>
      <c r="I49" s="16">
        <v>2794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20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30</v>
      </c>
      <c r="C54" s="2" t="s">
        <v>35</v>
      </c>
      <c r="E54" s="39">
        <v>1</v>
      </c>
      <c r="F54" s="2" t="s">
        <v>30</v>
      </c>
      <c r="G54">
        <f>ROUNDDOWN(H54/24,0)</f>
        <v>4</v>
      </c>
      <c r="H54" s="39">
        <v>96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22</v>
      </c>
      <c r="F56" s="2" t="s">
        <v>35</v>
      </c>
      <c r="G56">
        <f>ROUNDDOWN(H56/13,0)</f>
        <v>3</v>
      </c>
      <c r="H56" s="39">
        <v>39</v>
      </c>
      <c r="I56" s="2" t="s">
        <v>72</v>
      </c>
    </row>
    <row r="57" spans="2:12" x14ac:dyDescent="0.25">
      <c r="H57" s="39">
        <v>7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138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170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4880006023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165</v>
      </c>
      <c r="E70" s="15">
        <f t="shared" ref="E70:E79" si="0">H5+E37+H37</f>
        <v>11</v>
      </c>
      <c r="F70" s="2" t="s">
        <v>19</v>
      </c>
      <c r="H70" s="13">
        <f>E5+H53</f>
        <v>4</v>
      </c>
      <c r="I70" s="2" t="s">
        <v>44</v>
      </c>
      <c r="K70" s="47">
        <f>B10+E9+B30+B42+H57</f>
        <v>25</v>
      </c>
      <c r="L70" s="2" t="s">
        <v>9</v>
      </c>
    </row>
    <row r="71" spans="2:12" x14ac:dyDescent="0.25">
      <c r="B71" s="26">
        <f>B6+B27+B38</f>
        <v>16</v>
      </c>
      <c r="C71" s="2" t="s">
        <v>42</v>
      </c>
      <c r="D71" s="35">
        <f t="shared" ref="D71:D77" si="1">E71*15</f>
        <v>510</v>
      </c>
      <c r="E71" s="14">
        <f t="shared" si="0"/>
        <v>34</v>
      </c>
      <c r="F71" s="2" t="s">
        <v>20</v>
      </c>
      <c r="H71" s="14">
        <f>E6+E16+E59+H54+E53</f>
        <v>144</v>
      </c>
      <c r="I71" s="2" t="s">
        <v>45</v>
      </c>
      <c r="K71" s="13">
        <f>B11+E10+B31+B43+H58</f>
        <v>49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15</v>
      </c>
      <c r="L72" s="2" t="s">
        <v>8</v>
      </c>
    </row>
    <row r="73" spans="2:12" x14ac:dyDescent="0.25">
      <c r="B73" s="26">
        <f>B8+B29+B40</f>
        <v>3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39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20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5</v>
      </c>
      <c r="L74" s="2" t="s">
        <v>43</v>
      </c>
    </row>
    <row r="75" spans="2:12" x14ac:dyDescent="0.25">
      <c r="B75" s="21">
        <f>B14+B46</f>
        <v>0</v>
      </c>
      <c r="C75" s="2" t="s">
        <v>15</v>
      </c>
      <c r="D75" s="35">
        <f>E75*10</f>
        <v>380</v>
      </c>
      <c r="E75" s="14">
        <f t="shared" si="0"/>
        <v>38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832</v>
      </c>
      <c r="E79" s="14">
        <f t="shared" si="0"/>
        <v>104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2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150</v>
      </c>
      <c r="H87" s="29">
        <f>K72</f>
        <v>15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45</v>
      </c>
      <c r="H88" s="26">
        <f>B73</f>
        <v>3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4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100</v>
      </c>
      <c r="H90" s="21">
        <f>B74</f>
        <v>20</v>
      </c>
      <c r="I90" s="2" t="s">
        <v>48</v>
      </c>
      <c r="K90" s="14">
        <f>D8+G56</f>
        <v>3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312</v>
      </c>
      <c r="H91" s="21">
        <f>H73</f>
        <v>39</v>
      </c>
      <c r="I91" s="2" t="s">
        <v>72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8.28515625" customWidth="1"/>
    <col min="4" max="4" width="6.42578125" customWidth="1"/>
    <col min="5" max="5" width="5" customWidth="1"/>
    <col min="6" max="6" width="21.140625" customWidth="1"/>
    <col min="7" max="8" width="6" customWidth="1"/>
    <col min="9" max="9" width="16.7109375" customWidth="1"/>
    <col min="10" max="10" width="3.710937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75</v>
      </c>
      <c r="C1" s="97"/>
      <c r="D1" s="96">
        <f>DATE(2024,12,30)+(Mon!C2-1)*7+1</f>
        <v>45993</v>
      </c>
      <c r="E1" s="96"/>
      <c r="F1" s="96"/>
      <c r="H1" s="63" t="s">
        <v>111</v>
      </c>
      <c r="I1" s="64">
        <f>Mon!D1+42-1</f>
        <v>46033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4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10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2</v>
      </c>
      <c r="I5" s="2" t="s">
        <v>42</v>
      </c>
      <c r="K5" s="39">
        <v>6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4</v>
      </c>
      <c r="F9" s="2" t="s">
        <v>9</v>
      </c>
      <c r="H9" s="39">
        <v>4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6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12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5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71</v>
      </c>
      <c r="C21" s="2" t="s">
        <v>35</v>
      </c>
      <c r="E21" s="39">
        <f>SUM(E4:E20)</f>
        <v>46</v>
      </c>
      <c r="F21" s="2" t="s">
        <v>35</v>
      </c>
      <c r="H21" s="39">
        <f>SUM(H4:H20)</f>
        <v>35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44</v>
      </c>
      <c r="D24">
        <f>ROUNDDOWN(E24/24,0)</f>
        <v>0</v>
      </c>
      <c r="E24" s="39">
        <v>2</v>
      </c>
      <c r="F24" s="2" t="s">
        <v>44</v>
      </c>
      <c r="H24" s="39">
        <v>6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0</v>
      </c>
      <c r="B25" s="39">
        <v>3</v>
      </c>
      <c r="C25" s="2" t="s">
        <v>45</v>
      </c>
      <c r="D25">
        <f>ROUNDDOWN(E25/24,0)</f>
        <v>0</v>
      </c>
      <c r="E25" s="39">
        <v>12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72</v>
      </c>
      <c r="D27">
        <f>ROUNDDOWN(E27/13,0)</f>
        <v>1</v>
      </c>
      <c r="E27" s="39">
        <v>15</v>
      </c>
      <c r="F27" s="2" t="s">
        <v>72</v>
      </c>
      <c r="H27" s="39">
        <f>SUM(H24:H26)</f>
        <v>6</v>
      </c>
      <c r="I27" s="2" t="s">
        <v>35</v>
      </c>
      <c r="K27" s="74">
        <v>20</v>
      </c>
      <c r="L27" s="84" t="s">
        <v>43</v>
      </c>
      <c r="R27" s="3"/>
    </row>
    <row r="28" spans="1:18" ht="12.4" customHeight="1" x14ac:dyDescent="0.25">
      <c r="B28" s="39">
        <v>2</v>
      </c>
      <c r="C28" s="2" t="s">
        <v>46</v>
      </c>
      <c r="E28" s="39">
        <v>7</v>
      </c>
      <c r="F28" s="2" t="s">
        <v>46</v>
      </c>
      <c r="K28" s="74">
        <v>0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3</v>
      </c>
      <c r="C29" s="16" t="s">
        <v>54</v>
      </c>
      <c r="D29">
        <f>ROUNDDOWN(E29/24,0)</f>
        <v>0</v>
      </c>
      <c r="E29" s="39">
        <v>12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24</v>
      </c>
      <c r="C30" s="2" t="s">
        <v>35</v>
      </c>
      <c r="E30" s="39">
        <f>SUM(E24:E29)</f>
        <v>48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50</v>
      </c>
      <c r="L31" s="89" t="s">
        <v>43</v>
      </c>
    </row>
    <row r="32" spans="1:18" ht="12.4" customHeight="1" x14ac:dyDescent="0.25">
      <c r="B32" s="2" t="s">
        <v>36</v>
      </c>
      <c r="C32" s="16" t="s">
        <v>192</v>
      </c>
      <c r="E32" s="2" t="s">
        <v>36</v>
      </c>
      <c r="F32" s="16">
        <v>4880079938</v>
      </c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8</v>
      </c>
      <c r="C35" s="2" t="s">
        <v>47</v>
      </c>
      <c r="E35" s="39">
        <v>6</v>
      </c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8</v>
      </c>
      <c r="F36" s="16" t="s">
        <v>48</v>
      </c>
      <c r="H36" s="42"/>
      <c r="I36" s="2"/>
    </row>
    <row r="37" spans="2:12" ht="12.4" customHeight="1" x14ac:dyDescent="0.25">
      <c r="B37" s="39">
        <v>11</v>
      </c>
      <c r="C37" s="2" t="s">
        <v>7</v>
      </c>
      <c r="E37" s="39">
        <f>SUM(E35:E36)</f>
        <v>14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7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44</v>
      </c>
      <c r="K43" s="47">
        <f>B9+B28+H9+K9+E9+E28</f>
        <v>23</v>
      </c>
      <c r="L43" s="2" t="s">
        <v>9</v>
      </c>
    </row>
    <row r="44" spans="2:12" x14ac:dyDescent="0.25">
      <c r="B44" s="26">
        <f>B5+H5+K5+E5</f>
        <v>28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21</v>
      </c>
      <c r="I44" s="2" t="s">
        <v>45</v>
      </c>
      <c r="K44" s="13">
        <f>B10+B29+H10+K10+E10+E29+B37</f>
        <v>39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2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28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98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70</v>
      </c>
      <c r="L47" s="2" t="s">
        <v>43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20</v>
      </c>
      <c r="H60" s="29">
        <f>K45</f>
        <v>2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490</v>
      </c>
      <c r="H63" s="21">
        <f>B47</f>
        <v>98</v>
      </c>
      <c r="I63" s="2" t="s">
        <v>48</v>
      </c>
      <c r="K63" s="14">
        <f>A27+D27</f>
        <v>2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224</v>
      </c>
      <c r="H64" s="21">
        <f>H46</f>
        <v>28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37" sqref="C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75</v>
      </c>
      <c r="C1" s="97"/>
      <c r="D1" s="96">
        <f>DATE(2024,12,30)+(Mon!C2-1)*7+2</f>
        <v>45994</v>
      </c>
      <c r="E1" s="96"/>
      <c r="F1" s="96"/>
      <c r="H1" s="63" t="s">
        <v>111</v>
      </c>
      <c r="I1" s="64">
        <f>Mon!D1+49-1</f>
        <v>46040</v>
      </c>
      <c r="K1" s="17" t="s">
        <v>168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0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6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2</v>
      </c>
      <c r="F6" s="2" t="s">
        <v>5</v>
      </c>
      <c r="H6" s="39">
        <v>2</v>
      </c>
      <c r="I6" s="2" t="s">
        <v>5</v>
      </c>
      <c r="K6" s="39">
        <v>2</v>
      </c>
      <c r="L6" s="2" t="s">
        <v>46</v>
      </c>
    </row>
    <row r="7" spans="2:12" ht="12.75" customHeight="1" x14ac:dyDescent="0.25">
      <c r="B7" s="39">
        <v>2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6</v>
      </c>
      <c r="L7" s="2" t="s">
        <v>49</v>
      </c>
    </row>
    <row r="8" spans="2:12" ht="12.75" customHeight="1" x14ac:dyDescent="0.25">
      <c r="B8" s="24"/>
      <c r="C8" s="2"/>
      <c r="E8" s="39">
        <v>24</v>
      </c>
      <c r="F8" s="16" t="s">
        <v>7</v>
      </c>
      <c r="H8" s="39">
        <f>SUM(H4:H7)</f>
        <v>17</v>
      </c>
      <c r="I8" s="22" t="s">
        <v>35</v>
      </c>
      <c r="K8" s="39">
        <v>2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43</v>
      </c>
      <c r="F9" s="22" t="s">
        <v>35</v>
      </c>
      <c r="K9" s="39">
        <v>6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7</v>
      </c>
      <c r="I12" s="2" t="s">
        <v>41</v>
      </c>
      <c r="K12" s="39">
        <f>SUM(K2:K11)</f>
        <v>36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13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115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2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37</v>
      </c>
      <c r="F18" s="22" t="s">
        <v>35</v>
      </c>
      <c r="H18" s="39">
        <f>SUM(H12:H17)</f>
        <v>42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25">
      <c r="F20" s="2"/>
      <c r="K20" s="39">
        <v>4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16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6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3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0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3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12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0</v>
      </c>
      <c r="I30" s="28" t="s">
        <v>43</v>
      </c>
      <c r="K30" s="39">
        <v>3</v>
      </c>
      <c r="L30" s="2" t="s">
        <v>49</v>
      </c>
    </row>
    <row r="31" spans="2:12" ht="12.75" customHeight="1" thickBot="1" x14ac:dyDescent="0.3">
      <c r="B31" s="39">
        <v>0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2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3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0</v>
      </c>
      <c r="L36" s="2" t="s">
        <v>43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1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11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20</v>
      </c>
      <c r="L42" s="2" t="s">
        <v>9</v>
      </c>
    </row>
    <row r="43" spans="2:12" x14ac:dyDescent="0.25">
      <c r="B43" s="91">
        <f>E5+E13+H5+H13+K3+K16+K16</f>
        <v>44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42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13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16</v>
      </c>
      <c r="L45" s="2" t="s">
        <v>49</v>
      </c>
    </row>
    <row r="46" spans="2:12" x14ac:dyDescent="0.25">
      <c r="B46" s="91">
        <f>E15+E26+H7+H15+K5+K18+K18</f>
        <v>54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10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4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195</v>
      </c>
      <c r="H60" s="26">
        <f>B45</f>
        <v>13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270</v>
      </c>
      <c r="H62" s="21">
        <f>B46</f>
        <v>54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6" sqref="F1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75</v>
      </c>
      <c r="C1" s="97"/>
      <c r="D1" s="96">
        <f>DATE(2024,12,30)+(Mon!C2-1)*7+3</f>
        <v>45995</v>
      </c>
      <c r="E1" s="96"/>
      <c r="F1" s="96"/>
      <c r="G1" s="1"/>
      <c r="H1" s="63" t="s">
        <v>111</v>
      </c>
      <c r="I1" s="64">
        <f>Mon!D1+49-1</f>
        <v>46040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4</v>
      </c>
      <c r="I4" s="2" t="s">
        <v>44</v>
      </c>
      <c r="K4" s="44">
        <v>1</v>
      </c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4</v>
      </c>
      <c r="I5" s="2" t="s">
        <v>45</v>
      </c>
      <c r="K5" s="39">
        <v>9</v>
      </c>
      <c r="L5" s="2" t="s">
        <v>20</v>
      </c>
    </row>
    <row r="6" spans="1:12" x14ac:dyDescent="0.25">
      <c r="B6" s="39"/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/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0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>
        <v>4</v>
      </c>
      <c r="F8" s="2" t="s">
        <v>9</v>
      </c>
      <c r="H8" s="39">
        <v>8</v>
      </c>
      <c r="I8" s="2" t="s">
        <v>46</v>
      </c>
      <c r="K8" s="39">
        <v>0</v>
      </c>
      <c r="L8" s="2" t="s">
        <v>23</v>
      </c>
    </row>
    <row r="9" spans="1:12" x14ac:dyDescent="0.25">
      <c r="B9" s="39"/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8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>
        <v>0</v>
      </c>
      <c r="F10" s="16" t="s">
        <v>8</v>
      </c>
      <c r="H10" s="39">
        <f>SUM(H4:H9)</f>
        <v>25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14</v>
      </c>
      <c r="F11" s="22" t="s">
        <v>35</v>
      </c>
      <c r="K11" s="39">
        <v>0</v>
      </c>
      <c r="L11" s="2" t="s">
        <v>25</v>
      </c>
    </row>
    <row r="12" spans="1:12" x14ac:dyDescent="0.25">
      <c r="B12" s="39"/>
      <c r="C12" s="2" t="s">
        <v>43</v>
      </c>
      <c r="F12" s="2"/>
      <c r="H12" s="2" t="s">
        <v>36</v>
      </c>
      <c r="I12" s="16">
        <v>4880104803</v>
      </c>
      <c r="K12" s="39">
        <v>0</v>
      </c>
      <c r="L12" s="2" t="s">
        <v>26</v>
      </c>
    </row>
    <row r="13" spans="1:12" x14ac:dyDescent="0.25">
      <c r="B13" s="39"/>
      <c r="C13" s="2" t="s">
        <v>15</v>
      </c>
      <c r="K13" s="39">
        <v>16</v>
      </c>
      <c r="L13" s="16" t="s">
        <v>28</v>
      </c>
    </row>
    <row r="14" spans="1:12" ht="15.75" thickBot="1" x14ac:dyDescent="0.3">
      <c r="B14" s="39"/>
      <c r="C14" s="2" t="s">
        <v>14</v>
      </c>
      <c r="H14" s="17" t="s">
        <v>175</v>
      </c>
      <c r="I14" s="17"/>
      <c r="K14" s="39">
        <f>SUM(K4:K13)</f>
        <v>31</v>
      </c>
      <c r="L14" s="22" t="s">
        <v>35</v>
      </c>
    </row>
    <row r="15" spans="1:12" x14ac:dyDescent="0.25">
      <c r="B15" s="39"/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/>
      <c r="C16" s="2" t="s">
        <v>116</v>
      </c>
      <c r="H16" s="39">
        <v>0</v>
      </c>
      <c r="I16" s="2" t="s">
        <v>30</v>
      </c>
      <c r="K16" s="2" t="s">
        <v>36</v>
      </c>
      <c r="L16" s="16">
        <v>4738</v>
      </c>
    </row>
    <row r="17" spans="2:10" x14ac:dyDescent="0.25">
      <c r="B17" s="39"/>
      <c r="C17" s="2" t="s">
        <v>115</v>
      </c>
      <c r="H17" s="39">
        <v>0</v>
      </c>
      <c r="I17" s="16" t="s">
        <v>117</v>
      </c>
    </row>
    <row r="18" spans="2:10" x14ac:dyDescent="0.25">
      <c r="B18" s="39"/>
      <c r="C18" s="2" t="s">
        <v>117</v>
      </c>
      <c r="H18" s="39">
        <f>SUM(H15:H17)</f>
        <v>12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/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/>
      <c r="C28" s="2" t="s">
        <v>49</v>
      </c>
      <c r="E28" s="39">
        <v>3</v>
      </c>
      <c r="F28" t="s">
        <v>1</v>
      </c>
    </row>
    <row r="34" spans="1:12" ht="15.75" thickBot="1" x14ac:dyDescent="0.3"/>
    <row r="35" spans="1:12" ht="21.75" thickBot="1" x14ac:dyDescent="0.4">
      <c r="B35" s="97" t="s">
        <v>75</v>
      </c>
      <c r="C35" s="97"/>
      <c r="D35" s="96">
        <f>D1</f>
        <v>45995</v>
      </c>
      <c r="E35" s="96"/>
      <c r="F35" s="96"/>
      <c r="H35" s="63" t="s">
        <v>111</v>
      </c>
      <c r="I35" s="64">
        <f>I1</f>
        <v>46040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3</v>
      </c>
      <c r="I38" s="2" t="s">
        <v>19</v>
      </c>
      <c r="K38" s="39">
        <v>9</v>
      </c>
      <c r="L38" s="2" t="s">
        <v>19</v>
      </c>
    </row>
    <row r="39" spans="1:12" x14ac:dyDescent="0.25">
      <c r="A39">
        <f>ROUNDDOWN(B39/24,0)</f>
        <v>0</v>
      </c>
      <c r="B39" s="39">
        <v>5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20</v>
      </c>
      <c r="I39" s="2" t="s">
        <v>20</v>
      </c>
      <c r="K39" s="39">
        <v>28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32</v>
      </c>
      <c r="F41" s="2" t="s">
        <v>72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7</v>
      </c>
      <c r="F42" s="2" t="s">
        <v>46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17</v>
      </c>
      <c r="I43" s="2" t="s">
        <v>22</v>
      </c>
      <c r="K43" s="39">
        <v>30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41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2</v>
      </c>
      <c r="C46" s="2" t="s">
        <v>43</v>
      </c>
      <c r="E46" s="2" t="s">
        <v>36</v>
      </c>
      <c r="F46" s="16">
        <v>4880117900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38</v>
      </c>
      <c r="I47" s="16" t="s">
        <v>28</v>
      </c>
      <c r="K47" s="39">
        <v>84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79</v>
      </c>
      <c r="I48" s="2" t="s">
        <v>35</v>
      </c>
      <c r="K48" s="39">
        <f>SUM(K38:K47)</f>
        <v>155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1</v>
      </c>
      <c r="C50" s="2" t="s">
        <v>17</v>
      </c>
      <c r="E50" s="39">
        <v>40</v>
      </c>
      <c r="F50" s="2" t="s">
        <v>29</v>
      </c>
      <c r="H50" s="2" t="s">
        <v>36</v>
      </c>
      <c r="I50" s="16">
        <v>4649</v>
      </c>
      <c r="K50" s="2" t="s">
        <v>36</v>
      </c>
      <c r="L50" s="16">
        <v>4373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40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/>
      <c r="L54" t="s">
        <v>49</v>
      </c>
    </row>
    <row r="55" spans="2:12" x14ac:dyDescent="0.25">
      <c r="B55" s="39">
        <f>SUM(B38:B54)</f>
        <v>33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195</v>
      </c>
      <c r="E72" s="36">
        <f t="shared" ref="E72:E81" si="0">K4+H38+K38</f>
        <v>13</v>
      </c>
      <c r="F72" s="2" t="s">
        <v>19</v>
      </c>
      <c r="H72" s="13">
        <f>H4+E38</f>
        <v>4</v>
      </c>
      <c r="I72" s="2" t="s">
        <v>44</v>
      </c>
      <c r="K72" s="47">
        <f>B9+E8+H8+B43+E42</f>
        <v>23</v>
      </c>
      <c r="L72" s="2" t="s">
        <v>9</v>
      </c>
    </row>
    <row r="73" spans="2:12" x14ac:dyDescent="0.25">
      <c r="B73" s="26">
        <f>B5+E5+B39</f>
        <v>9</v>
      </c>
      <c r="C73" s="2" t="s">
        <v>42</v>
      </c>
      <c r="D73" s="35">
        <f t="shared" ref="D73:D79" si="1">E73*15</f>
        <v>855</v>
      </c>
      <c r="E73" s="37">
        <f t="shared" si="0"/>
        <v>57</v>
      </c>
      <c r="F73" s="2" t="s">
        <v>20</v>
      </c>
      <c r="H73" s="47">
        <f>H5+H15+E50+E39+E57</f>
        <v>76</v>
      </c>
      <c r="I73" s="2" t="s">
        <v>45</v>
      </c>
      <c r="K73" s="47">
        <f>B10+E9+H9+B44+E43</f>
        <v>14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32</v>
      </c>
      <c r="I75" s="2" t="s">
        <v>71</v>
      </c>
      <c r="K75" s="47">
        <f>B28+K54</f>
        <v>0</v>
      </c>
      <c r="L75" s="2" t="s">
        <v>49</v>
      </c>
    </row>
    <row r="76" spans="2:12" x14ac:dyDescent="0.25">
      <c r="B76" s="26">
        <f>B8+B42</f>
        <v>20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2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520</v>
      </c>
      <c r="E77" s="37">
        <f t="shared" si="0"/>
        <v>52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1104</v>
      </c>
      <c r="E81" s="37">
        <f t="shared" si="0"/>
        <v>138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100</v>
      </c>
      <c r="H92" s="21">
        <f>B76</f>
        <v>20</v>
      </c>
      <c r="I92" s="2" t="s">
        <v>48</v>
      </c>
      <c r="K92" s="14">
        <f>G7+D41</f>
        <v>2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256</v>
      </c>
      <c r="H93" s="21">
        <f>H75</f>
        <v>32</v>
      </c>
      <c r="I93" s="2" t="s">
        <v>72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N17" sqref="N17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75</v>
      </c>
      <c r="C1" s="97"/>
      <c r="D1" s="96">
        <f>DATE(2024,12,30)+(Mon!C2-1)*7+4</f>
        <v>45996</v>
      </c>
      <c r="E1" s="96"/>
      <c r="F1" s="96"/>
      <c r="H1" s="63" t="s">
        <v>111</v>
      </c>
      <c r="I1" s="64">
        <f>Mon!D1+49-1</f>
        <v>46040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10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31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4</v>
      </c>
      <c r="I9" s="2" t="s">
        <v>9</v>
      </c>
      <c r="K9" s="39">
        <v>5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0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2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7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6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14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0</v>
      </c>
      <c r="L16" s="75" t="s">
        <v>43</v>
      </c>
    </row>
    <row r="17" spans="1:15" ht="12.75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73</v>
      </c>
      <c r="C21" s="22" t="s">
        <v>35</v>
      </c>
      <c r="E21" s="39">
        <f>SUM(E4:E20)</f>
        <v>51</v>
      </c>
      <c r="F21" s="22" t="s">
        <v>35</v>
      </c>
      <c r="H21" s="39">
        <f>SUM(H4:H20)</f>
        <v>37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44</v>
      </c>
      <c r="D24">
        <f>ROUNDDOWN(E24/24,0)</f>
        <v>0</v>
      </c>
      <c r="E24" s="39">
        <v>2</v>
      </c>
      <c r="F24" s="2" t="s">
        <v>44</v>
      </c>
      <c r="H24" s="39">
        <v>4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1</v>
      </c>
      <c r="B25" s="39">
        <v>30</v>
      </c>
      <c r="C25" s="2" t="s">
        <v>45</v>
      </c>
      <c r="D25">
        <f>ROUNDDOWN(E25/24,0)</f>
        <v>0</v>
      </c>
      <c r="E25" s="39">
        <v>10</v>
      </c>
      <c r="F25" s="2" t="s">
        <v>45</v>
      </c>
      <c r="H25" s="39">
        <v>0</v>
      </c>
      <c r="I25" s="2" t="s">
        <v>30</v>
      </c>
      <c r="K25" s="74">
        <v>30</v>
      </c>
      <c r="L25" s="84" t="s">
        <v>43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117</v>
      </c>
      <c r="K26" s="95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13</v>
      </c>
      <c r="C27" s="2" t="s">
        <v>72</v>
      </c>
      <c r="D27">
        <f>ROUNDDOWN(E27/13,0)</f>
        <v>1</v>
      </c>
      <c r="E27" s="39">
        <v>15</v>
      </c>
      <c r="F27" s="2" t="s">
        <v>72</v>
      </c>
      <c r="H27" s="39">
        <f>SUM(H24:H26)</f>
        <v>4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0</v>
      </c>
      <c r="C28" s="2" t="s">
        <v>46</v>
      </c>
      <c r="E28" s="39">
        <v>7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12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67</v>
      </c>
      <c r="C30" s="22" t="s">
        <v>35</v>
      </c>
      <c r="E30" s="39">
        <f>SUM(E24:E29)</f>
        <v>47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55</v>
      </c>
      <c r="L31" s="87" t="s">
        <v>43</v>
      </c>
    </row>
    <row r="32" spans="1:15" ht="12.75" customHeight="1" x14ac:dyDescent="0.25">
      <c r="B32" s="2" t="s">
        <v>36</v>
      </c>
      <c r="C32" s="16" t="s">
        <v>194</v>
      </c>
      <c r="E32" s="2" t="s">
        <v>36</v>
      </c>
      <c r="F32" s="13">
        <v>4880156088</v>
      </c>
      <c r="G32">
        <v>0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8</v>
      </c>
      <c r="C35" s="2" t="s">
        <v>47</v>
      </c>
      <c r="E35" s="21">
        <v>0</v>
      </c>
      <c r="F35" t="s">
        <v>1</v>
      </c>
      <c r="H35" s="39">
        <v>0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12</v>
      </c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20</v>
      </c>
      <c r="C38" s="22" t="s">
        <v>35</v>
      </c>
      <c r="E38" s="21">
        <v>10</v>
      </c>
      <c r="F38" t="s">
        <v>43</v>
      </c>
    </row>
    <row r="39" spans="2:15" ht="12.75" customHeight="1" x14ac:dyDescent="0.25">
      <c r="E39" s="29">
        <v>10</v>
      </c>
      <c r="F39" s="16" t="s">
        <v>48</v>
      </c>
    </row>
    <row r="40" spans="2:15" ht="12.6" customHeight="1" x14ac:dyDescent="0.25">
      <c r="E40" s="11">
        <f>SUM(E38:E39)</f>
        <v>20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54</v>
      </c>
      <c r="L44" s="2" t="s">
        <v>9</v>
      </c>
    </row>
    <row r="45" spans="2:15" x14ac:dyDescent="0.25">
      <c r="B45" s="26">
        <f>B5+E5+K5+H5+N5</f>
        <v>20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44</v>
      </c>
      <c r="I45" s="2" t="s">
        <v>45</v>
      </c>
      <c r="K45" s="47">
        <f>B37+B10+B28+E10+K10+H10+N10+E28</f>
        <v>26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13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28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110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60</v>
      </c>
      <c r="L48" s="2" t="s">
        <v>43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130</v>
      </c>
      <c r="H61" s="29">
        <f>K46</f>
        <v>13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1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550</v>
      </c>
      <c r="H64" s="21">
        <f>B48</f>
        <v>110</v>
      </c>
      <c r="I64" s="2" t="s">
        <v>48</v>
      </c>
      <c r="K64" s="14">
        <f>A27+D27</f>
        <v>2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224</v>
      </c>
      <c r="H65" s="21">
        <f>H47</f>
        <v>28</v>
      </c>
      <c r="I65" s="2" t="s">
        <v>72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31" sqref="I31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78</v>
      </c>
      <c r="B1" s="97"/>
      <c r="C1" s="45">
        <f>Mon!C2+1</f>
        <v>50</v>
      </c>
      <c r="D1" s="46"/>
      <c r="E1" s="46"/>
      <c r="F1" s="63" t="s">
        <v>111</v>
      </c>
      <c r="G1" s="64">
        <f>Mon!D1+49-1</f>
        <v>46040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11</v>
      </c>
      <c r="B6" s="39">
        <v>528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5</v>
      </c>
      <c r="J6" s="39">
        <v>240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4</v>
      </c>
      <c r="J9" s="39">
        <v>192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15</v>
      </c>
      <c r="B12" s="44">
        <f>SUM(B5:B11)</f>
        <v>720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48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792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81</v>
      </c>
      <c r="B1" s="97"/>
      <c r="C1" s="45">
        <f>Mon!C2</f>
        <v>49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2316</v>
      </c>
      <c r="P3" s="53">
        <f>O3/125</f>
        <v>18.527999999999999</v>
      </c>
      <c r="R3" s="51" t="s">
        <v>85</v>
      </c>
      <c r="S3" s="55">
        <f>12*(D8+J4)</f>
        <v>2340</v>
      </c>
      <c r="T3" s="55">
        <f>15*(A4+D4+G4+J7+J5)+20*D12</f>
        <v>7410</v>
      </c>
      <c r="U3" s="55">
        <f>15*(A5+A9+D5+D9+D10+D11+G5+J6+J8+J10)+20*(A8+D13+G7)</f>
        <v>37525</v>
      </c>
      <c r="V3" s="55">
        <f>15*(A6+J11)</f>
        <v>2370</v>
      </c>
      <c r="W3" s="55">
        <f>15*D6</f>
        <v>0</v>
      </c>
      <c r="X3" s="55">
        <f>15*(A7+D7+G6+J9)</f>
        <v>1530</v>
      </c>
    </row>
    <row r="4" spans="1:24" ht="12.75" customHeight="1" x14ac:dyDescent="0.25">
      <c r="A4" s="31">
        <f>Mon!B70+Tues!B43+Wed!B42+Thurs!B72+Fri!B44+NFLD!A43</f>
        <v>25</v>
      </c>
      <c r="B4" s="2" t="s">
        <v>41</v>
      </c>
      <c r="C4" s="7"/>
      <c r="D4" s="31">
        <f>Mon!E70+Tues!E43+Wed!E42+Thurs!E72+Fri!E44+NFLD!D43</f>
        <v>24</v>
      </c>
      <c r="E4" s="2" t="s">
        <v>19</v>
      </c>
      <c r="F4" s="7"/>
      <c r="G4" s="31">
        <f>Mon!H70+Tues!H43+Wed!H42+Thurs!H72+Fri!H44+NFLD!G43</f>
        <v>14</v>
      </c>
      <c r="H4" s="2" t="s">
        <v>44</v>
      </c>
      <c r="I4" s="7"/>
      <c r="J4" s="31">
        <f>Mon!K70+Tues!K43+Wed!K42+Thurs!K72+Fri!K44+NFLD!J43</f>
        <v>193</v>
      </c>
      <c r="K4" s="2" t="s">
        <v>9</v>
      </c>
      <c r="M4" s="42"/>
      <c r="N4" s="52" t="s">
        <v>7</v>
      </c>
      <c r="O4" s="53">
        <f>J5*10</f>
        <v>3620</v>
      </c>
      <c r="P4" s="53">
        <f>O4/130</f>
        <v>27.846153846153847</v>
      </c>
      <c r="R4" s="51" t="s">
        <v>86</v>
      </c>
      <c r="S4" s="55">
        <f t="shared" ref="S4:X4" si="0">S3/15</f>
        <v>156</v>
      </c>
      <c r="T4" s="55">
        <f t="shared" si="0"/>
        <v>494</v>
      </c>
      <c r="U4" s="55">
        <f t="shared" si="0"/>
        <v>2501.6666666666665</v>
      </c>
      <c r="V4" s="55">
        <f t="shared" si="0"/>
        <v>158</v>
      </c>
      <c r="W4" s="55">
        <f t="shared" si="0"/>
        <v>0</v>
      </c>
      <c r="X4" s="55">
        <f t="shared" si="0"/>
        <v>102</v>
      </c>
    </row>
    <row r="5" spans="1:24" ht="12.75" customHeight="1" x14ac:dyDescent="0.25">
      <c r="A5" s="26">
        <f>Mon!B71+Tues!B44+Wed!B43+Thurs!B73+Fri!B45+NFLD!A44</f>
        <v>117</v>
      </c>
      <c r="B5" s="2" t="s">
        <v>42</v>
      </c>
      <c r="C5" s="24"/>
      <c r="D5" s="26">
        <f>Mon!E71+Tues!E44+Wed!E43+Thurs!E73+Fri!E45+NFLD!D44</f>
        <v>91</v>
      </c>
      <c r="E5" s="2" t="s">
        <v>20</v>
      </c>
      <c r="G5" s="26">
        <f>Mon!H71+Tues!H44+Wed!H43+Thurs!H73+Fri!H45+NFLD!G44</f>
        <v>285</v>
      </c>
      <c r="H5" s="2" t="s">
        <v>45</v>
      </c>
      <c r="J5" s="26">
        <f>Mon!K71+Tues!K44+Wed!K43+Thurs!K73+Fri!K45+NFLD!J44</f>
        <v>362</v>
      </c>
      <c r="K5" s="2" t="s">
        <v>7</v>
      </c>
      <c r="M5" s="42"/>
      <c r="N5" s="52" t="s">
        <v>8</v>
      </c>
      <c r="O5" s="53">
        <f>J6*10</f>
        <v>300</v>
      </c>
      <c r="P5" s="53">
        <f t="shared" ref="P5:P25" si="1">O5/130</f>
        <v>2.3076923076923075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3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10</v>
      </c>
      <c r="H6" s="2" t="s">
        <v>30</v>
      </c>
      <c r="J6" s="26">
        <f>Mon!K72+Tues!K45+Wed!K44+Thurs!K74+Fri!K46+NFLD!J45</f>
        <v>30</v>
      </c>
      <c r="K6" s="2" t="s">
        <v>8</v>
      </c>
      <c r="M6" s="42"/>
      <c r="N6" s="52" t="s">
        <v>49</v>
      </c>
      <c r="O6" s="53">
        <f>J7*15</f>
        <v>1035</v>
      </c>
      <c r="P6" s="53">
        <f>O6/150</f>
        <v>6.9</v>
      </c>
    </row>
    <row r="7" spans="1:24" ht="12.75" customHeight="1" x14ac:dyDescent="0.25">
      <c r="A7" s="26">
        <f>Mon!B73+Tues!B46+Wed!B45+Thurs!B75+Fri!B47+NFLD!A46</f>
        <v>22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127</v>
      </c>
      <c r="H7" s="2" t="s">
        <v>71</v>
      </c>
      <c r="J7" s="26">
        <f>Mon!K73+Tues!K46+Wed!K45+Thurs!K75+Fri!K47+NFLD!J46</f>
        <v>69</v>
      </c>
      <c r="K7" s="2" t="s">
        <v>49</v>
      </c>
      <c r="M7" s="42"/>
      <c r="N7" s="52" t="s">
        <v>43</v>
      </c>
      <c r="O7" s="53">
        <f t="shared" ref="O7" si="2">J8*15</f>
        <v>14085</v>
      </c>
      <c r="P7" s="53">
        <f t="shared" ref="P7:P8" si="3">O7/150</f>
        <v>93.9</v>
      </c>
      <c r="R7" s="12" t="s">
        <v>74</v>
      </c>
      <c r="S7" s="60">
        <f>Mon!C2</f>
        <v>49</v>
      </c>
    </row>
    <row r="8" spans="1:24" ht="12.75" customHeight="1" x14ac:dyDescent="0.25">
      <c r="A8" s="26">
        <f>Mon!B74+Tues!B47+Wed!B46+Thurs!B76+Fri!B48+NFLD!A47</f>
        <v>302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939</v>
      </c>
      <c r="K8" s="2" t="s">
        <v>43</v>
      </c>
      <c r="M8" s="42"/>
      <c r="N8" s="52" t="s">
        <v>2</v>
      </c>
      <c r="O8" s="53">
        <f>J9*15</f>
        <v>945</v>
      </c>
      <c r="P8" s="53">
        <f t="shared" si="3"/>
        <v>6.3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</v>
      </c>
      <c r="B9" s="2" t="s">
        <v>15</v>
      </c>
      <c r="C9" s="24"/>
      <c r="D9" s="26">
        <f>Mon!E75+Tues!E48+Wed!E47+Thurs!E77+Fri!E49+NFLD!D48</f>
        <v>90</v>
      </c>
      <c r="E9" s="2" t="s">
        <v>22</v>
      </c>
      <c r="J9" s="26">
        <f>Mon!K75+Tues!K48+Wed!K47+Thurs!K77+Fri!K49+NFLD!J48</f>
        <v>63</v>
      </c>
      <c r="K9" s="2" t="s">
        <v>2</v>
      </c>
      <c r="M9" s="42"/>
      <c r="N9" s="52" t="s">
        <v>89</v>
      </c>
      <c r="O9" s="53">
        <f>7*(J10+J11)+8*(D12+D13+G7)+5*A9</f>
        <v>4418</v>
      </c>
      <c r="P9" s="53">
        <f>O9/140</f>
        <v>31.557142857142857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53</v>
      </c>
      <c r="K10" s="2" t="s">
        <v>1</v>
      </c>
      <c r="M10" s="42"/>
      <c r="N10" s="52" t="s">
        <v>41</v>
      </c>
      <c r="O10" s="53">
        <f>A4*15</f>
        <v>375</v>
      </c>
      <c r="P10" s="53">
        <f>O10/250</f>
        <v>1.5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155</v>
      </c>
      <c r="K11" s="2" t="s">
        <v>0</v>
      </c>
      <c r="M11" s="42"/>
      <c r="N11" s="52" t="s">
        <v>42</v>
      </c>
      <c r="O11" s="53">
        <f t="shared" ref="O11:O12" si="4">A5*15</f>
        <v>1755</v>
      </c>
      <c r="P11" s="53">
        <f t="shared" ref="P11:P13" si="5">O11/250</f>
        <v>7.02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45</v>
      </c>
      <c r="P12" s="53">
        <f t="shared" si="5"/>
        <v>0.18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242</v>
      </c>
      <c r="E13" s="2" t="s">
        <v>28</v>
      </c>
      <c r="M13" s="42"/>
      <c r="N13" s="52" t="s">
        <v>5</v>
      </c>
      <c r="O13" s="53">
        <f>A7*15</f>
        <v>330</v>
      </c>
      <c r="P13" s="53">
        <f t="shared" si="5"/>
        <v>1.32</v>
      </c>
      <c r="S13" s="59"/>
    </row>
    <row r="14" spans="1:24" ht="12.75" customHeight="1" x14ac:dyDescent="0.25">
      <c r="A14" s="7"/>
      <c r="N14" s="52" t="s">
        <v>94</v>
      </c>
      <c r="O14" s="53">
        <f>5*A9</f>
        <v>10</v>
      </c>
      <c r="P14" s="53">
        <f>O14/50</f>
        <v>0.2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30</v>
      </c>
      <c r="P15" s="53">
        <f>O15/250</f>
        <v>0.12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210</v>
      </c>
      <c r="P16" s="53">
        <f t="shared" ref="P16:P18" si="6">O16/250</f>
        <v>0.84</v>
      </c>
    </row>
    <row r="17" spans="1:24" ht="12.75" customHeight="1" x14ac:dyDescent="0.25">
      <c r="A17" s="32">
        <f>Mon!B85+Tues!B58+Wed!B57+Thurs!B87+Fri!B59+NFLD!A58</f>
        <v>2</v>
      </c>
      <c r="B17" s="2" t="s">
        <v>14</v>
      </c>
      <c r="D17" s="26">
        <f>A6</f>
        <v>3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4275</v>
      </c>
      <c r="P17" s="53">
        <f t="shared" si="6"/>
        <v>17.100000000000001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2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150</v>
      </c>
      <c r="P18" s="53">
        <f t="shared" si="6"/>
        <v>0.6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30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95</v>
      </c>
      <c r="O19" s="53">
        <f>8*G7</f>
        <v>1016</v>
      </c>
      <c r="P19" s="53">
        <f>O19/50</f>
        <v>20.32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22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360</v>
      </c>
      <c r="P20" s="53">
        <f>O20/150</f>
        <v>2.4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10</v>
      </c>
      <c r="E21" s="2" t="s">
        <v>30</v>
      </c>
      <c r="F21" s="24"/>
      <c r="G21" s="14">
        <f>Mon!K89+Tues!K62+Thurs!K91+Fri!K63</f>
        <v>5</v>
      </c>
      <c r="H21" s="2" t="s">
        <v>45</v>
      </c>
      <c r="N21" s="52" t="s">
        <v>20</v>
      </c>
      <c r="O21" s="53">
        <f t="shared" ref="O21:O23" si="8">15*D5</f>
        <v>1365</v>
      </c>
      <c r="P21" s="53">
        <f t="shared" ref="P21:P23" si="9">O21/150</f>
        <v>9.1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302</v>
      </c>
      <c r="E22" s="2" t="s">
        <v>48</v>
      </c>
      <c r="F22" s="24"/>
      <c r="G22" s="14">
        <f>Mon!K90+Tues!K63+Thurs!K92+Fri!K64</f>
        <v>9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127</v>
      </c>
      <c r="E23" s="2" t="s">
        <v>72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900</v>
      </c>
      <c r="P25" s="53">
        <f t="shared" si="1"/>
        <v>6.9230769230769234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1936</v>
      </c>
      <c r="P29" s="53">
        <f>O29/50</f>
        <v>38.72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446</v>
      </c>
      <c r="P32" s="51">
        <f>O32/25-24*(G17+G20+G23)</f>
        <v>-30.16</v>
      </c>
      <c r="R32" s="98" t="s">
        <v>108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1519</v>
      </c>
      <c r="P33" s="51">
        <f>O33/25-24*(G18+G21+G24)-20*G19</f>
        <v>-239.24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285</v>
      </c>
      <c r="P34" s="51">
        <f t="shared" ref="P34:P36" si="10">O34/25</f>
        <v>11.4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158</v>
      </c>
      <c r="P35" s="51">
        <f t="shared" si="10"/>
        <v>6.32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102</v>
      </c>
      <c r="P36" s="51">
        <f t="shared" si="10"/>
        <v>4.08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242</v>
      </c>
      <c r="P37" s="51">
        <f>O37/20</f>
        <v>12.1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10</v>
      </c>
      <c r="P38" s="51">
        <f>O38/20-13*G22</f>
        <v>-116.5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2025-12-04T19:25:01Z</cp:lastPrinted>
  <dcterms:created xsi:type="dcterms:W3CDTF">2014-06-06T13:58:10Z</dcterms:created>
  <dcterms:modified xsi:type="dcterms:W3CDTF">2025-12-08T12:35:39Z</dcterms:modified>
</cp:coreProperties>
</file>