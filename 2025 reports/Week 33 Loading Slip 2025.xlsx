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7E515662-396C-4C71-8D11-A3733BCDB27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K91" i="8" s="1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64" i="9"/>
  <c r="K62" i="9"/>
  <c r="K94" i="8"/>
  <c r="K92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<sst xmlns="http://schemas.openxmlformats.org/spreadsheetml/2006/main" count="1140" uniqueCount="196">
  <si>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</si>
  <si>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</si>
  <si>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</si>
  <si>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</si>
  <si>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</si>
  <si>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</si>
  <si>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</si>
  <si>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</si>
  <si>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</si>
  <si>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</si>
  <si>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</si>
  <si>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</si>
  <si>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</si>
  <si>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</si>
  <si>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</si>
  <si>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</si>
  <si>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</si>
  <si>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</si>
  <si>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</si>
  <si>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</si>
  <si>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</si>
  <si>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</si>
  <si>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</si>
  <si>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</si>
  <si>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</si>
  <si>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</si>
  <si>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</si>
  <si>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</si>
  <si>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</si>
  <si>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</si>
  <si>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</si>
  <si>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</si>
  <si>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</si>
  <si>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</si>
  <si>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</si>
  <si>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</si>
  <si>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</si>
  <si>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</si>
  <si>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</si>
  <si>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</si>
  <si>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</si>
  <si>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</si>
  <si>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</si>
  <si>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</si>
  <si>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</si>
  <si>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</si>
  <si>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</si>
  <si>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</si>
  <si>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</si>
  <si>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</si>
  <si>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</si>
  <si>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</si>
  <si>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</si>
  <si>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</si>
  <si>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</si>
  <si>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</si>
  <si>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</si>
  <si>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</si>
  <si>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</si>
  <si>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</si>
  <si>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</si>
  <si>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</si>
  <si>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</si>
  <si>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</si>
  <si>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</si>
  <si>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</si>
  <si>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</si>
  <si>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</si>
  <si>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</si>
  <si>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</si>
  <si>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</si>
  <si>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</si>
  <si>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</si>
  <si>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</si>
  <si>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</si>
  <si>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</si>
  <si>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</si>
  <si>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</si>
  <si>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</si>
  <si>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</si>
  <si>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</si>
  <si>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</si>
  <si>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</si>
  <si>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</si>
  <si>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</si>
  <si>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</si>
  <si>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</si>
  <si>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</si>
  <si>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</si>
  <si>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</si>
  <si>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</si>
  <si>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</si>
  <si>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</si>
  <si>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</si>
  <si>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</si>
  <si>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</si>
  <si>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</si>
  <si>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</si>
  <si>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</si>
  <si>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</si>
  <si>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</si>
  <si>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</si>
  <si>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</si>
  <si>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</si>
  <si>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</si>
  <si>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</si>
  <si>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</si>
  <si>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</si>
  <si>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</si>
  <si>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</si>
  <si>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</si>
  <si>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</si>
  <si>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</si>
  <si>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</si>
  <si>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</si>
  <si>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</si>
  <si>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</si>
  <si>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</si>
  <si>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</si>
  <si>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</si>
  <si>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</si>
  <si>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</si>
  <si>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</si>
  <si>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</si>
  <si>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</si>
  <si>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</si>
  <si>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</si>
  <si>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</si>
  <si>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</si>
  <si>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</si>
  <si>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</si>
  <si>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</si>
  <si>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</si>
  <si>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</si>
  <si>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</si>
  <si>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</si>
  <si>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</si>
  <si>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</si>
  <si>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</si>
  <si>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</si>
  <si>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</si>
  <si>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</si>
  <si>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</si>
  <si>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</si>
  <si>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</si>
  <si>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</si>
  <si>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</si>
  <si>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</si>
  <si>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</si>
  <si>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</si>
  <si>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</si>
  <si>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</si>
  <si>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</si>
  <si>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</si>
  <si>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</si>
  <si>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</si>
  <si>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</si>
  <si>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</si>
  <si>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</si>
  <si>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</si>
  <si>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</si>
  <si>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</si>
  <si>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</si>
  <si>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</si>
  <si>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</si>
  <si>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</si>
  <si>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</si>
  <si>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</si>
  <si>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</si>
  <si>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</si>
  <si>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</si>
  <si>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</si>
  <si>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</si>
  <si>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</si>
  <si>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</si>
  <si>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</si>
  <si>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</si>
  <si>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</si>
  <si>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</si>
  <si>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</si>
  <si>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</si>
  <si>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</si>
  <si>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</si>
  <si>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</si>
  <si>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</si>
  <si>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</si>
  <si>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</si>
  <si>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</si>
  <si>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</si>
  <si>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</si>
  <si>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</si>
  <si>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</si>
  <si>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</si>
  <si>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Northsydney Food bank</t>
  </si>
  <si>
    <t xml:space="preserve">2 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</si>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</sst>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7" sqref="L7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45880</v>
      </c>
      <c r="E1" s="96"/>
      <c r="F1" s="96"/>
      <c r="H1" s="63" t="s">
        <v>143</v>
      </c>
      <c r="I1" s="64">
        <f>D1+42-1</f>
        <v>45921</v>
      </c>
      <c r="L1" s="19" t="s">
        <v>38</v>
      </c>
    </row>
    <row r="2" spans="1:12" ht="15.75" x14ac:dyDescent="0.25">
      <c r="B2" s="41" t="s">
        <v>105</v>
      </c>
      <c r="C2" s="50">
        <v>33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1</v>
      </c>
      <c r="B6" s="39">
        <v>24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2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8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4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2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40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4877644019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14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18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2456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4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4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45880</v>
      </c>
      <c r="E34" s="96"/>
      <c r="F34" s="96"/>
      <c r="H34" s="63" t="s">
        <v>143</v>
      </c>
      <c r="I34" s="67">
        <f>I1</f>
        <v>45921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5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15</v>
      </c>
      <c r="C38" s="2" t="s">
        <v>42</v>
      </c>
      <c r="E38" s="39">
        <v>20</v>
      </c>
      <c r="F38" s="2" t="s">
        <v>20</v>
      </c>
      <c r="H38" s="39">
        <v>21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2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6</v>
      </c>
      <c r="C42" s="2" t="s">
        <v>9</v>
      </c>
      <c r="E42" s="39">
        <v>28</v>
      </c>
      <c r="F42" s="2" t="s">
        <v>22</v>
      </c>
      <c r="H42" s="39">
        <v>55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5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72</v>
      </c>
      <c r="F46" s="16" t="s">
        <v>28</v>
      </c>
      <c r="H46" s="39">
        <v>99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127</v>
      </c>
      <c r="F47" s="2" t="s">
        <v>35</v>
      </c>
      <c r="H47" s="39">
        <f>SUM(H37:H46)</f>
        <v>188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2677</v>
      </c>
      <c r="H49" s="2" t="s">
        <v>36</v>
      </c>
      <c r="I49" s="16">
        <v>2325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53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11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0</v>
      </c>
      <c r="H56" s="39">
        <v>10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14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43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4877643406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240</v>
      </c>
      <c r="E70" s="15">
        <f t="shared" ref="E70:E79" si="0">H5+E37+H37</f>
        <v>16</v>
      </c>
      <c r="F70" s="2" t="s">
        <v>19</v>
      </c>
      <c r="H70" s="13">
        <f>E5+H53</f>
        <v>5</v>
      </c>
      <c r="I70" s="2" t="s">
        <v>45</v>
      </c>
      <c r="K70" s="47">
        <f>B10+E9+B30+B42+H57</f>
        <v>22</v>
      </c>
      <c r="L70" s="2" t="s">
        <v>9</v>
      </c>
    </row>
    <row r="71" spans="2:12" x14ac:dyDescent="0.25">
      <c r="B71" s="26">
        <f>B6+B27+B38</f>
        <v>39</v>
      </c>
      <c r="C71" s="2" t="s">
        <v>42</v>
      </c>
      <c r="D71" s="35">
        <f t="shared" ref="D71:D77" si="1">E71*15</f>
        <v>645</v>
      </c>
      <c r="E71" s="14">
        <f t="shared" si="0"/>
        <v>43</v>
      </c>
      <c r="F71" s="2" t="s">
        <v>20</v>
      </c>
      <c r="H71" s="14">
        <f>E6+E16+E59+H54+E53</f>
        <v>77</v>
      </c>
      <c r="I71" s="2" t="s">
        <v>46</v>
      </c>
      <c r="K71" s="13">
        <f>B11+E10+B31+B43+H58</f>
        <v>48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20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20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9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850</v>
      </c>
      <c r="E75" s="14">
        <f t="shared" si="0"/>
        <v>85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1480</v>
      </c>
      <c r="E79" s="14">
        <f t="shared" si="0"/>
        <v>185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1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100</v>
      </c>
      <c r="H90" s="21">
        <f>B74</f>
        <v>20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160</v>
      </c>
      <c r="H91" s="21">
        <f>H73</f>
        <v>20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45881</v>
      </c>
      <c r="E1" s="95"/>
      <c r="F1" s="95"/>
      <c r="H1" s="63" t="s">
        <v>143</v>
      </c>
      <c r="I1" s="64">
        <f>Mon!D1+42-1</f>
        <v>45921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9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10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75</v>
      </c>
      <c r="C21" s="2" t="s">
        <v>35</v>
      </c>
      <c r="E21" s="39">
        <f>SUM(E4:E20)</f>
        <v>36</v>
      </c>
      <c r="F21" s="2" t="s">
        <v>35</v>
      </c>
      <c r="H21" s="39">
        <f>SUM(H4:H20)</f>
        <v>44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3</v>
      </c>
      <c r="I27" s="2" t="s">
        <v>35</v>
      </c>
      <c r="K27" s="74">
        <v>32</v>
      </c>
      <c r="L27" s="84" t="s">
        <v>44</v>
      </c>
      <c r="R27" s="3"/>
    </row>
    <row r="28" spans="1:18" ht="12.4" customHeight="1" x14ac:dyDescent="0.25">
      <c r="B28" s="39">
        <v>10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10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32</v>
      </c>
      <c r="C30" s="2" t="s">
        <v>35</v>
      </c>
      <c r="E30" s="39">
        <f>SUM(E24:E29)</f>
        <v>31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57</v>
      </c>
      <c r="L31" s="89" t="s">
        <v>44</v>
      </c>
    </row>
    <row r="32" spans="1:18" ht="12.4" customHeight="1" x14ac:dyDescent="0.25">
      <c r="B32" s="2" t="s">
        <v>36</v>
      </c>
      <c r="C32" s="16">
        <v>4877718423</v>
      </c>
      <c r="E32" s="2" t="s">
        <v>36</v>
      </c>
      <c r="F32" s="16">
        <v>4877720559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7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14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22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31</v>
      </c>
      <c r="L43" s="2" t="s">
        <v>9</v>
      </c>
    </row>
    <row r="44" spans="2:12" x14ac:dyDescent="0.25">
      <c r="B44" s="26">
        <f>B5+H5+K5+E5</f>
        <v>24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11</v>
      </c>
      <c r="I44" s="2" t="s">
        <v>46</v>
      </c>
      <c r="K44" s="13">
        <f>B10+B29+H10+K10+E10+E29+B37</f>
        <v>45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11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85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110</v>
      </c>
      <c r="H60" s="29">
        <f>K45</f>
        <v>11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550</v>
      </c>
      <c r="H63" s="21">
        <f>B47</f>
        <v>110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144</v>
      </c>
      <c r="H64" s="21">
        <f>H46</f>
        <v>18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45882</v>
      </c>
      <c r="E1" s="95"/>
      <c r="F1" s="95"/>
      <c r="H1" s="63" t="s">
        <v>143</v>
      </c>
      <c r="I1" s="64">
        <f>Mon!D1+49-1</f>
        <v>45928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9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3</v>
      </c>
      <c r="F4" s="2" t="s">
        <v>41</v>
      </c>
      <c r="H4" s="39">
        <v>4</v>
      </c>
      <c r="I4" s="2" t="s">
        <v>41</v>
      </c>
      <c r="K4" s="39">
        <v>9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10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5</v>
      </c>
      <c r="F6" s="2" t="s">
        <v>5</v>
      </c>
      <c r="H6" s="39">
        <v>3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10</v>
      </c>
      <c r="F7" s="2" t="s">
        <v>9</v>
      </c>
      <c r="H7" s="39">
        <v>12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20</v>
      </c>
      <c r="F8" s="16" t="s">
        <v>7</v>
      </c>
      <c r="H8" s="39">
        <f>SUM(H4:H7)</f>
        <v>29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48</v>
      </c>
      <c r="F9" s="22" t="s">
        <v>35</v>
      </c>
      <c r="K9" s="39">
        <v>12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20</v>
      </c>
      <c r="I12" s="2" t="s">
        <v>41</v>
      </c>
      <c r="K12" s="39">
        <f>SUM(K2:K11)</f>
        <v>63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15</v>
      </c>
      <c r="F13" s="2" t="s">
        <v>42</v>
      </c>
      <c r="H13" s="39">
        <v>20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6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15</v>
      </c>
      <c r="F15" s="2" t="s">
        <v>6</v>
      </c>
      <c r="H15" s="39">
        <v>18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8</v>
      </c>
      <c r="F16" s="2" t="s">
        <v>9</v>
      </c>
      <c r="H16" s="39">
        <v>0</v>
      </c>
      <c r="I16" s="2" t="s">
        <v>151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48</v>
      </c>
      <c r="F18" s="22" t="s">
        <v>35</v>
      </c>
      <c r="H18" s="39">
        <f>SUM(H12:H17)</f>
        <v>64</v>
      </c>
      <c r="I18" s="22" t="s">
        <v>35</v>
      </c>
      <c r="K18" s="39">
        <v>8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47</v>
      </c>
    </row>
    <row r="20" spans="2:12" ht="12.75" customHeight="1" x14ac:dyDescent="0.25">
      <c r="F20" s="2"/>
      <c r="K20" s="39">
        <v>14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44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18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4</v>
      </c>
      <c r="C30" s="2" t="s">
        <v>51</v>
      </c>
      <c r="F30" s="2"/>
      <c r="H30" s="39">
        <v>1</v>
      </c>
      <c r="I30" s="28" t="s">
        <v>44</v>
      </c>
      <c r="K30" s="39">
        <v>3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2</v>
      </c>
      <c r="I33" s="28" t="s">
        <v>1</v>
      </c>
      <c r="K33" s="39">
        <f>SUM(K30:K32)</f>
        <v>5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4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5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29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30</v>
      </c>
      <c r="L42" s="2" t="s">
        <v>9</v>
      </c>
    </row>
    <row r="43" spans="2:12" x14ac:dyDescent="0.25">
      <c r="B43" s="91">
        <f>E5+E13+H5+H13+K3+K16+K16</f>
        <v>80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54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21</v>
      </c>
      <c r="L45" s="2" t="s">
        <v>51</v>
      </c>
    </row>
    <row r="46" spans="2:12" x14ac:dyDescent="0.25">
      <c r="B46" s="91">
        <f>E15+E26+H7+H15+K5+K18+K18</f>
        <v>76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27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15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9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420</v>
      </c>
      <c r="H60" s="26">
        <f>B45</f>
        <v>28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380</v>
      </c>
      <c r="H62" s="21">
        <f>B46</f>
        <v>76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45883</v>
      </c>
      <c r="E1" s="95"/>
      <c r="F1" s="95"/>
      <c r="G1" s="1"/>
      <c r="H1" s="63" t="s">
        <v>143</v>
      </c>
      <c r="I1" s="64">
        <f>Mon!D1+49-1</f>
        <v>45928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4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9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0</v>
      </c>
      <c r="F7" s="2" t="s">
        <v>5</v>
      </c>
      <c r="G7">
        <f>ROUNDDOWN(H7/13,0)</f>
        <v>1</v>
      </c>
      <c r="H7" s="39">
        <v>18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15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0</v>
      </c>
      <c r="B10" s="39">
        <v>4</v>
      </c>
      <c r="C10" s="2" t="s">
        <v>7</v>
      </c>
      <c r="E10" s="39">
        <v>0</v>
      </c>
      <c r="F10" s="16" t="s">
        <v>8</v>
      </c>
      <c r="H10" s="39">
        <f>SUM(H4:H9)</f>
        <v>48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8</v>
      </c>
      <c r="C11" s="2" t="s">
        <v>8</v>
      </c>
      <c r="E11" s="39">
        <f>SUM(E4:E10)</f>
        <v>22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4877737560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28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1</v>
      </c>
      <c r="I16" s="2" t="s">
        <v>30</v>
      </c>
      <c r="K16" s="2" t="s">
        <v>36</v>
      </c>
      <c r="L16" s="16">
        <v>3996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14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73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  <c r="I25" t="s">
        <v>193</v>
      </c>
    </row>
    <row r="26" spans="2:10" x14ac:dyDescent="0.25">
      <c r="I26" t="s">
        <v>194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12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45883</v>
      </c>
      <c r="E35" s="95"/>
      <c r="F35" s="95"/>
      <c r="H35" s="63" t="s">
        <v>143</v>
      </c>
      <c r="I35" s="64">
        <f>I1</f>
        <v>45928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3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4</v>
      </c>
      <c r="I38" s="2" t="s">
        <v>19</v>
      </c>
      <c r="K38" s="39">
        <v>22</v>
      </c>
      <c r="L38" s="2" t="s">
        <v>19</v>
      </c>
    </row>
    <row r="39" spans="1:12" x14ac:dyDescent="0.25">
      <c r="A39">
        <f>ROUNDDOWN(B39/24,0)</f>
        <v>0</v>
      </c>
      <c r="B39" s="39">
        <v>15</v>
      </c>
      <c r="C39" s="2" t="s">
        <v>42</v>
      </c>
      <c r="D39">
        <f>ROUNDDOWN(E39/24,0)</f>
        <v>0</v>
      </c>
      <c r="E39" s="39">
        <v>23</v>
      </c>
      <c r="F39" s="2" t="s">
        <v>31</v>
      </c>
      <c r="H39" s="39">
        <v>20</v>
      </c>
      <c r="I39" s="2" t="s">
        <v>20</v>
      </c>
      <c r="K39" s="39">
        <v>18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3</v>
      </c>
      <c r="E41" s="39">
        <v>40</v>
      </c>
      <c r="F41" s="2" t="s">
        <v>103</v>
      </c>
      <c r="H41" s="39">
        <v>2</v>
      </c>
      <c r="I41" s="2" t="s">
        <v>21</v>
      </c>
      <c r="K41" s="39">
        <v>4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10</v>
      </c>
      <c r="F43" s="16" t="s">
        <v>7</v>
      </c>
      <c r="H43" s="39">
        <v>16</v>
      </c>
      <c r="I43" s="2" t="s">
        <v>22</v>
      </c>
      <c r="K43" s="39">
        <v>26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81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4877750383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3</v>
      </c>
      <c r="C47" s="2" t="s">
        <v>15</v>
      </c>
      <c r="H47" s="39">
        <v>52</v>
      </c>
      <c r="I47" s="16" t="s">
        <v>28</v>
      </c>
      <c r="K47" s="39">
        <v>56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94</v>
      </c>
      <c r="I48" s="2" t="s">
        <v>35</v>
      </c>
      <c r="K48" s="39">
        <f>SUM(K38:K47)</f>
        <v>127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1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3977</v>
      </c>
      <c r="K50" s="2" t="s">
        <v>36</v>
      </c>
      <c r="L50" s="16">
        <v>4388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77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420</v>
      </c>
      <c r="E72" s="36">
        <f t="shared" ref="E72:E81" si="0">K4+H38+K38</f>
        <v>28</v>
      </c>
      <c r="F72" s="2" t="s">
        <v>19</v>
      </c>
      <c r="H72" s="13">
        <f>H4+E38</f>
        <v>5</v>
      </c>
      <c r="I72" s="2" t="s">
        <v>45</v>
      </c>
      <c r="K72" s="47">
        <f>B9+E8+H8+B43+E42</f>
        <v>39</v>
      </c>
      <c r="L72" s="2" t="s">
        <v>9</v>
      </c>
    </row>
    <row r="73" spans="2:12" x14ac:dyDescent="0.25">
      <c r="B73" s="26">
        <f>B5+E5+B39</f>
        <v>21</v>
      </c>
      <c r="C73" s="2" t="s">
        <v>42</v>
      </c>
      <c r="D73" s="35">
        <f t="shared" ref="D73:D79" si="1">E73*15</f>
        <v>705</v>
      </c>
      <c r="E73" s="37">
        <f t="shared" si="0"/>
        <v>47</v>
      </c>
      <c r="F73" s="2" t="s">
        <v>20</v>
      </c>
      <c r="H73" s="47">
        <f>H5+H15+E50+E39+E57</f>
        <v>77</v>
      </c>
      <c r="I73" s="2" t="s">
        <v>46</v>
      </c>
      <c r="K73" s="47">
        <f>B10+E9+H9+B44+E43</f>
        <v>60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8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90</v>
      </c>
      <c r="E75" s="37">
        <f t="shared" si="0"/>
        <v>6</v>
      </c>
      <c r="F75" s="2" t="s">
        <v>21</v>
      </c>
      <c r="H75" s="14">
        <f>H7+E41</f>
        <v>58</v>
      </c>
      <c r="I75" s="2" t="s">
        <v>102</v>
      </c>
      <c r="K75" s="47">
        <f>B28+K54</f>
        <v>17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5</v>
      </c>
      <c r="C77" s="2" t="s">
        <v>15</v>
      </c>
      <c r="D77" s="35">
        <f>E77*10</f>
        <v>480</v>
      </c>
      <c r="E77" s="37">
        <f t="shared" si="0"/>
        <v>48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952</v>
      </c>
      <c r="E81" s="37">
        <f t="shared" si="0"/>
        <v>119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75</v>
      </c>
      <c r="H88" s="21">
        <f>B77</f>
        <v>5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80</v>
      </c>
      <c r="H89" s="29">
        <f>K74</f>
        <v>8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4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464</v>
      </c>
      <c r="H93" s="21">
        <f>H75</f>
        <v>58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2" sqref="O2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45884</v>
      </c>
      <c r="E1" s="95"/>
      <c r="F1" s="95"/>
      <c r="H1" s="63" t="s">
        <v>143</v>
      </c>
      <c r="I1" s="64">
        <f>Mon!D1+49-1</f>
        <v>45928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10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3</v>
      </c>
      <c r="F9" s="2" t="s">
        <v>9</v>
      </c>
      <c r="H9" s="39">
        <v>2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19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6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92</v>
      </c>
      <c r="C21" s="22" t="s">
        <v>35</v>
      </c>
      <c r="E21" s="39">
        <f>SUM(E4:E20)</f>
        <v>42</v>
      </c>
      <c r="F21" s="22" t="s">
        <v>35</v>
      </c>
      <c r="H21" s="39">
        <f>SUM(H4:H20)</f>
        <v>46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30</v>
      </c>
      <c r="L25" s="84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195</v>
      </c>
    </row>
    <row r="27" spans="1:15" ht="12.75" customHeight="1" thickBot="1" x14ac:dyDescent="0.3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8</v>
      </c>
      <c r="C28" s="2" t="s">
        <v>47</v>
      </c>
      <c r="E28" s="39">
        <v>6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5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37</v>
      </c>
      <c r="C30" s="22" t="s">
        <v>35</v>
      </c>
      <c r="E30" s="39">
        <f>SUM(E24:E29)</f>
        <v>37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61</v>
      </c>
      <c r="L31" s="87" t="s">
        <v>44</v>
      </c>
    </row>
    <row r="32" spans="1:15" ht="12.75" customHeight="1" x14ac:dyDescent="0.25">
      <c r="B32" s="2" t="s">
        <v>36</v>
      </c>
      <c r="C32" s="16">
        <v>4877773596</v>
      </c>
      <c r="E32" s="2" t="s">
        <v>36</v>
      </c>
      <c r="F32" s="13">
        <v>4877772934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26</v>
      </c>
      <c r="L44" s="2" t="s">
        <v>9</v>
      </c>
    </row>
    <row r="45" spans="2:15" x14ac:dyDescent="0.25">
      <c r="B45" s="26">
        <f>B5+E5+K5+H5+N5</f>
        <v>45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17</v>
      </c>
      <c r="I45" s="2" t="s">
        <v>46</v>
      </c>
      <c r="K45" s="47">
        <f>B37+B10+B28+E10+K10+H10+N10+E28</f>
        <v>37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12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27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120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74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120</v>
      </c>
      <c r="H61" s="29">
        <f>K46</f>
        <v>12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600</v>
      </c>
      <c r="H64" s="21">
        <f>B48</f>
        <v>120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216</v>
      </c>
      <c r="H65" s="21">
        <f>H47</f>
        <v>27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E24" sqref="E2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34</v>
      </c>
      <c r="D1" s="46"/>
      <c r="E1" s="46"/>
      <c r="F1" s="63" t="s">
        <v>143</v>
      </c>
      <c r="G1" s="64">
        <f>Mon!D1+49-1</f>
        <v>45928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6</v>
      </c>
      <c r="B10" s="39">
        <v>288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25</v>
      </c>
      <c r="B12" s="44">
        <f>SUM(B5:B11)</f>
        <v>1200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144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792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312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33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1776</v>
      </c>
      <c r="P3" s="53">
        <f>O3/125</f>
        <v>14.208</v>
      </c>
      <c r="R3" s="51" t="s">
        <v>117</v>
      </c>
      <c r="S3" s="55">
        <f>12*(D8+J4)</f>
        <v>1812</v>
      </c>
      <c r="T3" s="55">
        <f>15*(A4+D4+G4+J7+J5)+20*D12</f>
        <v>10815</v>
      </c>
      <c r="U3" s="55">
        <f>15*(A5+A9+D5+D9+D10+D11+G5+J6+J8+J10)+20*(A8+D13+G7)</f>
        <v>46155</v>
      </c>
      <c r="V3" s="55">
        <f>15*(A6+J11)</f>
        <v>3135</v>
      </c>
      <c r="W3" s="55">
        <f>15*D6</f>
        <v>0</v>
      </c>
      <c r="X3" s="55">
        <f>15*(A7+D7+G6+J9)</f>
        <v>1260</v>
      </c>
    </row>
    <row r="4" spans="1:24" ht="12.75" customHeight="1" x14ac:dyDescent="0.25">
      <c r="A4" s="31">
        <f>Mon!B70+Tues!B43+Wed!B42+Thurs!B72+Fri!B44+NFLD!A43</f>
        <v>39</v>
      </c>
      <c r="B4" s="2" t="s">
        <v>41</v>
      </c>
      <c r="C4" s="7"/>
      <c r="D4" s="31">
        <f>Mon!E70+Tues!E43+Wed!E42+Thurs!E72+Fri!E44+NFLD!D43</f>
        <v>44</v>
      </c>
      <c r="E4" s="2" t="s">
        <v>19</v>
      </c>
      <c r="F4" s="7"/>
      <c r="G4" s="31">
        <f>Mon!H70+Tues!H43+Wed!H42+Thurs!H72+Fri!H44+NFLD!G43</f>
        <v>15</v>
      </c>
      <c r="H4" s="2" t="s">
        <v>45</v>
      </c>
      <c r="I4" s="7"/>
      <c r="J4" s="31">
        <f>Mon!K70+Tues!K43+Wed!K42+Thurs!K72+Fri!K44+NFLD!J43</f>
        <v>148</v>
      </c>
      <c r="K4" s="2" t="s">
        <v>9</v>
      </c>
      <c r="M4" s="42"/>
      <c r="N4" s="52" t="s">
        <v>7</v>
      </c>
      <c r="O4" s="53">
        <f>J5*10</f>
        <v>4360</v>
      </c>
      <c r="P4" s="53">
        <f>O4/130</f>
        <v>33.53846153846154</v>
      </c>
      <c r="R4" s="51" t="s">
        <v>118</v>
      </c>
      <c r="S4" s="55">
        <f t="shared" ref="S4:X4" si="0">S3/15</f>
        <v>120.8</v>
      </c>
      <c r="T4" s="55">
        <f t="shared" si="0"/>
        <v>721</v>
      </c>
      <c r="U4" s="55">
        <f t="shared" si="0"/>
        <v>3077</v>
      </c>
      <c r="V4" s="55">
        <f t="shared" si="0"/>
        <v>209</v>
      </c>
      <c r="W4" s="55">
        <f t="shared" si="0"/>
        <v>0</v>
      </c>
      <c r="X4" s="55">
        <f t="shared" si="0"/>
        <v>84</v>
      </c>
    </row>
    <row r="5" spans="1:24" ht="12.75" customHeight="1" x14ac:dyDescent="0.25">
      <c r="A5" s="26">
        <f>Mon!B71+Tues!B44+Wed!B43+Thurs!B73+Fri!B45+NFLD!A44</f>
        <v>209</v>
      </c>
      <c r="B5" s="2" t="s">
        <v>42</v>
      </c>
      <c r="C5" s="24"/>
      <c r="D5" s="26">
        <f>Mon!E71+Tues!E44+Wed!E43+Thurs!E73+Fri!E45+NFLD!D44</f>
        <v>90</v>
      </c>
      <c r="E5" s="2" t="s">
        <v>20</v>
      </c>
      <c r="G5" s="26">
        <f>Mon!H71+Tues!H44+Wed!H43+Thurs!H73+Fri!H45+NFLD!G44</f>
        <v>182</v>
      </c>
      <c r="H5" s="2" t="s">
        <v>46</v>
      </c>
      <c r="J5" s="26">
        <f>Mon!K71+Tues!K44+Wed!K43+Thurs!K73+Fri!K45+NFLD!J44</f>
        <v>436</v>
      </c>
      <c r="K5" s="2" t="s">
        <v>7</v>
      </c>
      <c r="M5" s="42"/>
      <c r="N5" s="52" t="s">
        <v>8</v>
      </c>
      <c r="O5" s="53">
        <f>J6*10</f>
        <v>310</v>
      </c>
      <c r="P5" s="53">
        <f t="shared" ref="P5:P25" si="1">O5/130</f>
        <v>2.3846153846153846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31</v>
      </c>
      <c r="K6" s="2" t="s">
        <v>8</v>
      </c>
      <c r="M6" s="42"/>
      <c r="N6" s="52" t="s">
        <v>51</v>
      </c>
      <c r="O6" s="53">
        <f>J7*15</f>
        <v>2805</v>
      </c>
      <c r="P6" s="53">
        <f>O6/150</f>
        <v>18.7</v>
      </c>
    </row>
    <row r="7" spans="1:24" ht="12.75" customHeight="1" x14ac:dyDescent="0.25">
      <c r="A7" s="26">
        <f>Mon!B73+Tues!B46+Wed!B45+Thurs!B75+Fri!B47+NFLD!A46</f>
        <v>38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123</v>
      </c>
      <c r="H7" s="2" t="s">
        <v>102</v>
      </c>
      <c r="J7" s="26">
        <f>Mon!K73+Tues!K46+Wed!K45+Thurs!K75+Fri!K47+NFLD!J46</f>
        <v>187</v>
      </c>
      <c r="K7" s="2" t="s">
        <v>51</v>
      </c>
      <c r="M7" s="42"/>
      <c r="N7" s="52" t="s">
        <v>44</v>
      </c>
      <c r="O7" s="53">
        <f t="shared" ref="O7" si="2">J8*15</f>
        <v>14865</v>
      </c>
      <c r="P7" s="53">
        <f t="shared" ref="P7:P8" si="3">O7/150</f>
        <v>99.1</v>
      </c>
      <c r="R7" s="12" t="s">
        <v>105</v>
      </c>
      <c r="S7" s="60">
        <f>Mon!C2</f>
        <v>33</v>
      </c>
    </row>
    <row r="8" spans="1:24" ht="12.75" customHeight="1" x14ac:dyDescent="0.25">
      <c r="A8" s="26">
        <f>Mon!B74+Tues!B47+Wed!B46+Thurs!B76+Fri!B48+NFLD!A47</f>
        <v>386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991</v>
      </c>
      <c r="K8" s="2" t="s">
        <v>44</v>
      </c>
      <c r="M8" s="42"/>
      <c r="N8" s="52" t="s">
        <v>2</v>
      </c>
      <c r="O8" s="53">
        <f>J9*15</f>
        <v>375</v>
      </c>
      <c r="P8" s="53">
        <f t="shared" si="3"/>
        <v>2.5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7</v>
      </c>
      <c r="B9" s="2" t="s">
        <v>15</v>
      </c>
      <c r="C9" s="24"/>
      <c r="D9" s="26">
        <f>Mon!E75+Tues!E48+Wed!E47+Thurs!E77+Fri!E49+NFLD!D48</f>
        <v>133</v>
      </c>
      <c r="E9" s="2" t="s">
        <v>22</v>
      </c>
      <c r="J9" s="26">
        <f>Mon!K75+Tues!K48+Wed!K47+Thurs!K77+Fri!K49+NFLD!J48</f>
        <v>25</v>
      </c>
      <c r="K9" s="2" t="s">
        <v>2</v>
      </c>
      <c r="M9" s="42"/>
      <c r="N9" s="52" t="s">
        <v>121</v>
      </c>
      <c r="O9" s="53">
        <f>7*(J10+J11)+8*(D12+D13+G7)+5*A9</f>
        <v>7315</v>
      </c>
      <c r="P9" s="53">
        <f>O9/140</f>
        <v>52.25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350</v>
      </c>
      <c r="K10" s="2" t="s">
        <v>1</v>
      </c>
      <c r="M10" s="42"/>
      <c r="N10" s="52" t="s">
        <v>41</v>
      </c>
      <c r="O10" s="53">
        <f>A4*15</f>
        <v>585</v>
      </c>
      <c r="P10" s="53">
        <f>O10/250</f>
        <v>2.34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3135</v>
      </c>
      <c r="P11" s="53">
        <f t="shared" ref="P11:P13" si="5">O11/250</f>
        <v>12.54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304</v>
      </c>
      <c r="E13" s="2" t="s">
        <v>28</v>
      </c>
      <c r="M13" s="42"/>
      <c r="N13" s="52" t="s">
        <v>5</v>
      </c>
      <c r="O13" s="53">
        <f>A7*15</f>
        <v>570</v>
      </c>
      <c r="P13" s="53">
        <f t="shared" si="5"/>
        <v>2.2799999999999998</v>
      </c>
      <c r="S13" s="59"/>
    </row>
    <row r="14" spans="1:24" ht="12.75" customHeight="1" x14ac:dyDescent="0.25">
      <c r="A14" s="7"/>
      <c r="N14" s="52" t="s">
        <v>126</v>
      </c>
      <c r="O14" s="53">
        <f>5*A9</f>
        <v>35</v>
      </c>
      <c r="P14" s="53">
        <f>O14/50</f>
        <v>0.7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105</v>
      </c>
      <c r="P15" s="53">
        <f>O15/250</f>
        <v>0.42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225</v>
      </c>
      <c r="P16" s="53">
        <f t="shared" ref="P16:P18" si="6">O16/250</f>
        <v>0.9</v>
      </c>
    </row>
    <row r="17" spans="1:24" ht="12.75" customHeight="1" x14ac:dyDescent="0.25">
      <c r="A17" s="32">
        <f>Mon!B85+Tues!B58+Wed!B57+Thurs!B87+Fri!B59+NFLD!A58</f>
        <v>1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2730</v>
      </c>
      <c r="P17" s="53">
        <f t="shared" si="6"/>
        <v>10.92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7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31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984</v>
      </c>
      <c r="P19" s="53">
        <f>O19/50</f>
        <v>19.68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38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660</v>
      </c>
      <c r="P20" s="53">
        <f>O20/150</f>
        <v>4.4000000000000004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1350</v>
      </c>
      <c r="P21" s="53">
        <f t="shared" ref="P21:P23" si="9">O21/150</f>
        <v>9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386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123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1330</v>
      </c>
      <c r="P25" s="53">
        <f t="shared" si="1"/>
        <v>10.23076923076923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2432</v>
      </c>
      <c r="P29" s="53">
        <f>O29/50</f>
        <v>48.64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673</v>
      </c>
      <c r="P32" s="51">
        <f>O32/25-24*(G17+G20+G23)</f>
        <v>-21.08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1958</v>
      </c>
      <c r="P33" s="51">
        <f>O33/25-24*(G18+G21+G24)-20*G19</f>
        <v>-209.68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284</v>
      </c>
      <c r="P34" s="51">
        <f t="shared" ref="P34:P36" si="10">O34/25</f>
        <v>11.36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209</v>
      </c>
      <c r="P35" s="51">
        <f t="shared" si="10"/>
        <v>8.36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84</v>
      </c>
      <c r="P36" s="51">
        <f t="shared" si="10"/>
        <v>3.36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304</v>
      </c>
      <c r="P37" s="51">
        <f>O37/20</f>
        <v>15.2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58</v>
      </c>
      <c r="P38" s="51">
        <f>O38/20-13*G22</f>
        <v>-62.1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2025-08-14T13:58:09Z</cp:lastPrinted>
  <dcterms:created xsi:type="dcterms:W3CDTF">2014-06-06T13:58:10Z</dcterms:created>
  <dcterms:modified xsi:type="dcterms:W3CDTF">2025-08-15T18:24:03Z</dcterms:modified>
</cp:coreProperties>
</file>