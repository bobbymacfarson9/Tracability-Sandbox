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455EB2DD-1B9F-4413-8B77-9081BBC54369}" xr6:coauthVersionLast="47" xr6:coauthVersionMax="47" xr10:uidLastSave="{00000000-0000-0000-0000-000000000000}"/>
  <bookViews>
    <workbookView xWindow="0" yWindow="0" windowWidth="28800" windowHeight="1548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P32" i="12" l="1"/>
  <c r="P33" i="12"/>
  <c r="P34" i="12"/>
  <c r="P35" i="12"/>
  <c r="P36" i="12"/>
  <c r="P37" i="12"/>
  <c r="P38" i="12"/>
  <c r="D1" i="7" l="1"/>
  <c r="D1" i="4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G1" i="11"/>
  <c r="S7" i="12"/>
  <c r="K66" i="9" l="1"/>
  <c r="K59" i="9"/>
  <c r="K64" i="9"/>
  <c r="K63" i="9"/>
  <c r="K91" i="8"/>
  <c r="K90" i="8"/>
  <c r="K87" i="8"/>
  <c r="K94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O38" i="12"/>
  <c r="O34" i="12"/>
  <c r="O14" i="12"/>
  <c r="P14" i="12" s="1"/>
  <c r="O15" i="12"/>
  <c r="P15" i="12" s="1"/>
  <c r="O36" i="12"/>
  <c r="O33" i="12"/>
  <c r="O32" i="12"/>
  <c r="W3" i="12"/>
  <c r="W4" i="12" s="1"/>
  <c r="O24" i="12"/>
  <c r="P24" i="12" s="1"/>
  <c r="O37" i="12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<sst xmlns="http://schemas.openxmlformats.org/spreadsheetml/2006/main" count="1138" uniqueCount="195">
  <si>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</si>
  <si>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</si>
  <si>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</si>
  <si>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</si>
  <si>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</si>
  <si>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</si>
  <si>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</si>
  <si>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</si>
  <si>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</si>
  <si>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</si>
  <si>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</si>
  <si>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</si>
  <si>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</si>
  <si>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</si>
  <si>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</si>
  <si>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</si>
  <si>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</si>
  <si>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</si>
  <si>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</si>
  <si>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</si>
  <si>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</si>
  <si>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</si>
  <si>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</si>
  <si>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</si>
  <si>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</si>
  <si>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</si>
  <si>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</si>
  <si>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</si>
  <si>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</si>
  <si>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</si>
  <si>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</si>
  <si>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</si>
  <si>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</si>
  <si>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</si>
  <si>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</si>
  <si>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</si>
  <si>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</si>
  <si>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</si>
  <si>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</si>
  <si>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</si>
  <si>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</si>
  <si>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</si>
  <si>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</si>
  <si>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</si>
  <si>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</si>
  <si>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</si>
  <si>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</si>
  <si>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</si>
  <si>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</si>
  <si>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</si>
  <si>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</si>
  <si>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</si>
  <si>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</si>
  <si>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</si>
  <si>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</si>
  <si>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</si>
  <si>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</si>
  <si>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</si>
  <si>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</si>
  <si>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</si>
  <si>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</si>
  <si>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</si>
  <si>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</si>
  <si>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</si>
  <si>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</si>
  <si>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</si>
  <si>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</si>
  <si>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</si>
  <si>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</si>
  <si>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</si>
  <si>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</si>
  <si>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</si>
  <si>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</si>
  <si>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</si>
  <si>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</si>
  <si>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</si>
  <si>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</si>
  <si>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</si>
  <si>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</si>
  <si>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</si>
  <si>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</si>
  <si>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</si>
  <si>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</si>
  <si>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</si>
  <si>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</si>
  <si>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</si>
  <si>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</si>
  <si>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</si>
  <si>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</si>
  <si>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</si>
  <si>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</si>
  <si>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</si>
  <si>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</si>
  <si>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</si>
  <si>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</si>
  <si>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</si>
  <si>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</si>
  <si>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</si>
  <si>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</si>
  <si>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</si>
  <si>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</si>
  <si>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</si>
  <si>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</si>
  <si>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</si>
  <si>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</si>
  <si>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</si>
  <si>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</si>
  <si>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</si>
  <si>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</si>
  <si>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</si>
  <si>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</si>
  <si>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</si>
  <si>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</si>
  <si>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</si>
  <si>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</si>
  <si>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</si>
  <si>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</si>
  <si>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</si>
  <si>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</si>
  <si>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</si>
  <si>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</si>
  <si>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</si>
  <si>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</si>
  <si>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</si>
  <si>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</si>
  <si>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</si>
  <si>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</si>
  <si>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</si>
  <si>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</si>
  <si>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</si>
  <si>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</si>
  <si>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</si>
  <si>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</si>
  <si>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</si>
  <si>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</si>
  <si>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</si>
  <si>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</si>
  <si>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</si>
  <si>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</si>
  <si>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</si>
  <si>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</si>
  <si>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</si>
  <si>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</si>
  <si>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</si>
  <si>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</si>
  <si>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</si>
  <si>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</si>
  <si>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</si>
  <si>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</si>
  <si>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</si>
  <si>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</si>
  <si>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</si>
  <si>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</si>
  <si>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</si>
  <si>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</si>
  <si>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</si>
  <si>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</si>
  <si>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</si>
  <si>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</si>
  <si>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</si>
  <si>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</si>
  <si>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</si>
  <si>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</si>
  <si>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</si>
  <si>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</si>
  <si>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</si>
  <si>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</si>
  <si>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</si>
  <si>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</si>
  <si>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</si>
  <si>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</si>
  <si>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</si>
  <si>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</si>
  <si>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</si>
  <si>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</si>
  <si>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</si>
  <si>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</si>
  <si>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</si>
  <si>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</si>
  <si>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</si>
  <si>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</si>
  <si>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</si>
  <si>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</si>
  <si>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</si>
  <si>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</si>
  <si>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</si>
  <si>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</si>
  <si>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</si>
  <si>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</si>
  <si>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</si>
  <si>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</si>
  <si>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</si>
  <si>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Ingrahams Rite Stop</t>
  </si>
  <si>
    <t xml:space="preserve">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</si>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</sst>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107</v>
      </c>
      <c r="C1" s="97"/>
      <c r="D1" s="96">
        <f>DATE(2025,1,1)+(C2-1)*7-2</f>
        <v>45712</v>
      </c>
      <c r="E1" s="97"/>
      <c r="F1" s="97"/>
      <c r="H1" s="63" t="s">
        <v>144</v>
      </c>
      <c r="I1" s="64">
        <f>D1+42-1</f>
        <v>45753</v>
      </c>
      <c r="L1" s="19" t="s">
        <v>38</v>
      </c>
    </row>
    <row r="2" spans="1:12" ht="15.75" x14ac:dyDescent="0.25">
      <c r="B2" s="41" t="s">
        <v>106</v>
      </c>
      <c r="C2" s="50">
        <v>9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45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46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104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47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153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152</v>
      </c>
      <c r="E18" s="39"/>
      <c r="F18" s="16" t="s">
        <v>12</v>
      </c>
    </row>
    <row r="19" spans="2:10" x14ac:dyDescent="0.25">
      <c r="B19" s="39"/>
      <c r="C19" s="2" t="s">
        <v>154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107</v>
      </c>
      <c r="C34" s="97"/>
      <c r="D34" s="96">
        <f>D1</f>
        <v>45712</v>
      </c>
      <c r="E34" s="97"/>
      <c r="F34" s="97"/>
      <c r="H34" s="63" t="s">
        <v>144</v>
      </c>
      <c r="I34" s="67">
        <f>I1</f>
        <v>45753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44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153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152</v>
      </c>
      <c r="G50" s="2"/>
    </row>
    <row r="51" spans="2:12" x14ac:dyDescent="0.25">
      <c r="B51" s="39"/>
      <c r="C51" s="2" t="s">
        <v>154</v>
      </c>
    </row>
    <row r="52" spans="2:12" ht="15.75" thickBot="1" x14ac:dyDescent="0.3">
      <c r="B52" s="39"/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51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104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/>
      <c r="I58" s="16" t="s">
        <v>34</v>
      </c>
      <c r="K58" s="17" t="s">
        <v>161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45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46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104</v>
      </c>
      <c r="K73" s="47">
        <f>K53</f>
        <v>0</v>
      </c>
      <c r="L73" s="2" t="s">
        <v>51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50</v>
      </c>
      <c r="K90" s="14">
        <f>D8+G56</f>
        <v>0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107</v>
      </c>
      <c r="C1" s="97"/>
      <c r="D1" s="96">
        <f>DATE(2025,1,1)+(Mon!C2-1)*7-1</f>
        <v>45713</v>
      </c>
      <c r="E1" s="96"/>
      <c r="F1" s="96"/>
      <c r="H1" s="63" t="s">
        <v>144</v>
      </c>
      <c r="I1" s="64">
        <f>Mon!D1+42-1</f>
        <v>45753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8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9</v>
      </c>
      <c r="C13" s="2" t="s">
        <v>15</v>
      </c>
      <c r="E13" s="39">
        <v>3</v>
      </c>
      <c r="F13" s="2" t="s">
        <v>15</v>
      </c>
      <c r="H13" s="39">
        <v>2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6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123</v>
      </c>
      <c r="C21" s="2" t="s">
        <v>35</v>
      </c>
      <c r="E21" s="39">
        <f>SUM(E4:E20)</f>
        <v>37</v>
      </c>
      <c r="F21" s="2" t="s">
        <v>35</v>
      </c>
      <c r="H21" s="39">
        <f>SUM(H4:H20)</f>
        <v>45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9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10</v>
      </c>
      <c r="I27" s="2" t="s">
        <v>35</v>
      </c>
      <c r="K27" s="74">
        <v>28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6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45</v>
      </c>
      <c r="C30" s="2" t="s">
        <v>35</v>
      </c>
      <c r="E30" s="39">
        <f>SUM(E24:E29)</f>
        <v>34</v>
      </c>
      <c r="F30" s="2" t="s">
        <v>35</v>
      </c>
      <c r="H30" s="39">
        <v>3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53</v>
      </c>
      <c r="L31" s="89" t="s">
        <v>44</v>
      </c>
    </row>
    <row r="32" spans="1:18" ht="12.4" customHeight="1" x14ac:dyDescent="0.25">
      <c r="B32" s="2" t="s">
        <v>36</v>
      </c>
      <c r="C32" s="16">
        <v>4874058047</v>
      </c>
      <c r="E32" s="2" t="s">
        <v>36</v>
      </c>
      <c r="F32" s="16">
        <v>4874054015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10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7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18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29</v>
      </c>
      <c r="L43" s="2" t="s">
        <v>9</v>
      </c>
    </row>
    <row r="44" spans="2:12" x14ac:dyDescent="0.25">
      <c r="B44" s="26">
        <f>B5+H5+K5+E5</f>
        <v>12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43</v>
      </c>
      <c r="I44" s="2" t="s">
        <v>46</v>
      </c>
      <c r="K44" s="13">
        <f>B10+B29+H10+K10+E10+E29+B37</f>
        <v>24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56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25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104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76</v>
      </c>
      <c r="L47" s="2" t="s">
        <v>44</v>
      </c>
    </row>
    <row r="48" spans="2:12" x14ac:dyDescent="0.25">
      <c r="B48" s="21">
        <f>B13+H13+E13</f>
        <v>14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210</v>
      </c>
      <c r="H59" s="21">
        <f>B48</f>
        <v>14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560</v>
      </c>
      <c r="H60" s="29">
        <f>K45</f>
        <v>56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520</v>
      </c>
      <c r="H63" s="21">
        <f>B47</f>
        <v>104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200</v>
      </c>
      <c r="H64" s="21">
        <f>H46</f>
        <v>25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2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B36" sqref="B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107</v>
      </c>
      <c r="C1" s="97"/>
      <c r="D1" s="96">
        <f>DATE(2024,1,1)+(Mon!C2-1)*7+2</f>
        <v>45350</v>
      </c>
      <c r="E1" s="96"/>
      <c r="F1" s="96"/>
      <c r="H1" s="63" t="s">
        <v>144</v>
      </c>
      <c r="I1" s="64">
        <f>Mon!D1+49-1</f>
        <v>45760</v>
      </c>
      <c r="K1" s="17" t="s">
        <v>95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8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2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12</v>
      </c>
      <c r="F7" s="2" t="s">
        <v>9</v>
      </c>
      <c r="H7" s="39">
        <v>6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24</v>
      </c>
      <c r="F8" s="16" t="s">
        <v>7</v>
      </c>
      <c r="H8" s="39">
        <f>SUM(H4:H7)</f>
        <v>18</v>
      </c>
      <c r="I8" s="22" t="s">
        <v>35</v>
      </c>
      <c r="K8" s="39">
        <v>4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49</v>
      </c>
      <c r="F9" s="22" t="s">
        <v>35</v>
      </c>
      <c r="K9" s="39">
        <v>3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44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11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4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13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3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36</v>
      </c>
      <c r="F18" s="22" t="s">
        <v>35</v>
      </c>
      <c r="H18" s="39">
        <f>SUM(H12:H17)</f>
        <v>38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21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2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11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x14ac:dyDescent="0.25">
      <c r="B34" s="11" t="s">
        <v>192</v>
      </c>
      <c r="E34" s="39">
        <v>0</v>
      </c>
      <c r="F34" s="16" t="s">
        <v>2</v>
      </c>
      <c r="I34" s="2"/>
    </row>
    <row r="35" spans="2:12" ht="12.75" customHeight="1" thickBot="1" x14ac:dyDescent="0.3">
      <c r="B35">
        <v>0</v>
      </c>
      <c r="C35" t="s">
        <v>193</v>
      </c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4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5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45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19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18</v>
      </c>
      <c r="L45" s="2" t="s">
        <v>51</v>
      </c>
    </row>
    <row r="46" spans="2:12" x14ac:dyDescent="0.25">
      <c r="B46" s="91">
        <f>E15+E26+H7+H15+K5+K18+K18</f>
        <v>45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17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285</v>
      </c>
      <c r="H60" s="26">
        <f>B45</f>
        <v>19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225</v>
      </c>
      <c r="H62" s="21">
        <f>B46</f>
        <v>45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9" sqref="I2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107</v>
      </c>
      <c r="C1" s="97"/>
      <c r="D1" s="96">
        <f>DATE(2024,1,1)+(Mon!C2-1)*7+3</f>
        <v>45351</v>
      </c>
      <c r="E1" s="96"/>
      <c r="F1" s="96"/>
      <c r="G1" s="1"/>
      <c r="H1" s="63" t="s">
        <v>144</v>
      </c>
      <c r="I1" s="64">
        <f>Mon!D1+49-1</f>
        <v>45760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0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26</v>
      </c>
      <c r="C8" s="2" t="s">
        <v>6</v>
      </c>
      <c r="E8" s="39">
        <v>3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3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0</v>
      </c>
      <c r="L9" s="2" t="s">
        <v>22</v>
      </c>
    </row>
    <row r="10" spans="1:12" x14ac:dyDescent="0.25">
      <c r="A10">
        <f>ROUNDDOWN(B10/24,0)</f>
        <v>0</v>
      </c>
      <c r="B10" s="39">
        <v>4</v>
      </c>
      <c r="C10" s="2" t="s">
        <v>7</v>
      </c>
      <c r="E10" s="39">
        <v>0</v>
      </c>
      <c r="F10" s="16" t="s">
        <v>8</v>
      </c>
      <c r="H10" s="39">
        <f>SUM(H4:H9)</f>
        <v>43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2</v>
      </c>
      <c r="B11" s="39">
        <v>48</v>
      </c>
      <c r="C11" s="2" t="s">
        <v>8</v>
      </c>
      <c r="E11" s="39">
        <f>SUM(E4:E10)</f>
        <v>11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4874092794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0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/>
    </row>
    <row r="17" spans="2:10" x14ac:dyDescent="0.25">
      <c r="B17" s="39">
        <v>1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107</v>
      </c>
      <c r="C35" s="97"/>
      <c r="D35" s="96">
        <f>D1</f>
        <v>45351</v>
      </c>
      <c r="E35" s="96"/>
      <c r="F35" s="96"/>
      <c r="H35" s="63" t="s">
        <v>144</v>
      </c>
      <c r="I35" s="64">
        <f>I1</f>
        <v>45760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15</v>
      </c>
      <c r="F38" s="2" t="s">
        <v>32</v>
      </c>
      <c r="H38" s="39">
        <v>8</v>
      </c>
      <c r="I38" s="2" t="s">
        <v>19</v>
      </c>
      <c r="K38" s="39">
        <v>15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4</v>
      </c>
      <c r="E39" s="39">
        <v>96</v>
      </c>
      <c r="F39" s="2" t="s">
        <v>31</v>
      </c>
      <c r="H39" s="39">
        <v>12</v>
      </c>
      <c r="I39" s="2" t="s">
        <v>20</v>
      </c>
      <c r="K39" s="39">
        <v>15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8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4</v>
      </c>
      <c r="E41" s="39">
        <v>52</v>
      </c>
      <c r="F41" s="2" t="s">
        <v>104</v>
      </c>
      <c r="H41" s="39">
        <v>3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15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15</v>
      </c>
      <c r="F43" s="16" t="s">
        <v>7</v>
      </c>
      <c r="H43" s="39">
        <v>23</v>
      </c>
      <c r="I43" s="2" t="s">
        <v>22</v>
      </c>
      <c r="K43" s="39">
        <v>37</v>
      </c>
      <c r="L43" s="2" t="s">
        <v>22</v>
      </c>
    </row>
    <row r="44" spans="1:12" x14ac:dyDescent="0.25">
      <c r="A44">
        <f>ROUNDDOWN(B44/24,0)</f>
        <v>5</v>
      </c>
      <c r="B44" s="39">
        <v>120</v>
      </c>
      <c r="C44" s="2" t="s">
        <v>7</v>
      </c>
      <c r="E44" s="39">
        <f>SUM(E38:E43)</f>
        <v>201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4874092179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36</v>
      </c>
      <c r="I47" s="16" t="s">
        <v>28</v>
      </c>
      <c r="K47" s="39">
        <v>56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82</v>
      </c>
      <c r="I48" s="2" t="s">
        <v>35</v>
      </c>
      <c r="K48" s="39">
        <f>SUM(K38:K47)</f>
        <v>125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60</v>
      </c>
      <c r="F50" s="2" t="s">
        <v>29</v>
      </c>
      <c r="H50" s="2" t="s">
        <v>36</v>
      </c>
      <c r="I50" s="16">
        <v>9638</v>
      </c>
      <c r="K50" s="2" t="s">
        <v>36</v>
      </c>
      <c r="L50" s="16">
        <v>9542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60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163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8</v>
      </c>
      <c r="L56" s="2" t="s">
        <v>35</v>
      </c>
    </row>
    <row r="57" spans="2:12" x14ac:dyDescent="0.25">
      <c r="C57" s="4"/>
      <c r="E57" s="39">
        <v>30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17</v>
      </c>
      <c r="I72" s="2" t="s">
        <v>45</v>
      </c>
      <c r="K72" s="47">
        <f>B9+E8+H8+B43+E42</f>
        <v>36</v>
      </c>
      <c r="L72" s="2" t="s">
        <v>9</v>
      </c>
    </row>
    <row r="73" spans="2:12" x14ac:dyDescent="0.25">
      <c r="B73" s="26">
        <f>B5+E5+B39</f>
        <v>12</v>
      </c>
      <c r="C73" s="2" t="s">
        <v>42</v>
      </c>
      <c r="D73" s="35">
        <f t="shared" ref="D73:D79" si="1">E73*15</f>
        <v>405</v>
      </c>
      <c r="E73" s="37">
        <f t="shared" si="0"/>
        <v>27</v>
      </c>
      <c r="F73" s="2" t="s">
        <v>20</v>
      </c>
      <c r="H73" s="47">
        <f>H5+H15+E50+E39+E57</f>
        <v>210</v>
      </c>
      <c r="I73" s="2" t="s">
        <v>46</v>
      </c>
      <c r="K73" s="47">
        <f>B10+E9+H9+B44+E43</f>
        <v>157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10</v>
      </c>
      <c r="I74" s="2" t="s">
        <v>30</v>
      </c>
      <c r="K74" s="13">
        <f>B11+E10+B45</f>
        <v>48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62</v>
      </c>
      <c r="I75" s="2" t="s">
        <v>103</v>
      </c>
      <c r="K75" s="47">
        <f>B28+K54</f>
        <v>13</v>
      </c>
      <c r="L75" s="2" t="s">
        <v>51</v>
      </c>
    </row>
    <row r="76" spans="2:12" x14ac:dyDescent="0.25">
      <c r="B76" s="26">
        <f>B8+B42</f>
        <v>46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600</v>
      </c>
      <c r="E77" s="37">
        <f t="shared" si="0"/>
        <v>60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736</v>
      </c>
      <c r="E81" s="37">
        <f t="shared" si="0"/>
        <v>92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480</v>
      </c>
      <c r="H89" s="29">
        <f>K74</f>
        <v>48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150</v>
      </c>
      <c r="H91" s="21">
        <f>H74</f>
        <v>10</v>
      </c>
      <c r="I91" s="2" t="s">
        <v>30</v>
      </c>
      <c r="K91" s="14">
        <f>G5+D39</f>
        <v>4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230</v>
      </c>
      <c r="H92" s="21">
        <f>B76</f>
        <v>46</v>
      </c>
      <c r="I92" s="2" t="s">
        <v>50</v>
      </c>
      <c r="K92" s="14">
        <f>G7+D41</f>
        <v>4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496</v>
      </c>
      <c r="H93" s="21">
        <f>H75</f>
        <v>62</v>
      </c>
      <c r="I93" s="2" t="s">
        <v>104</v>
      </c>
      <c r="K93" s="14">
        <f>A10+G9+A44+D43</f>
        <v>5</v>
      </c>
      <c r="L93" s="2" t="s">
        <v>7</v>
      </c>
    </row>
    <row r="94" spans="2:12" x14ac:dyDescent="0.25">
      <c r="B94" s="4"/>
      <c r="C94" s="4"/>
      <c r="J94" s="2"/>
      <c r="K94" s="14">
        <f>A11+A45</f>
        <v>2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107</v>
      </c>
      <c r="C1" s="97"/>
      <c r="D1" s="96">
        <f>DATE(2024,1,1)+(Mon!C2-1)*7+4</f>
        <v>45352</v>
      </c>
      <c r="E1" s="96"/>
      <c r="F1" s="96"/>
      <c r="H1" s="63" t="s">
        <v>144</v>
      </c>
      <c r="I1" s="64">
        <f>Mon!D1+49-1</f>
        <v>45760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3</v>
      </c>
      <c r="C9" s="2" t="s">
        <v>9</v>
      </c>
      <c r="E9" s="39">
        <v>6</v>
      </c>
      <c r="F9" s="2" t="s">
        <v>9</v>
      </c>
      <c r="H9" s="39">
        <v>5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4</v>
      </c>
      <c r="B11" s="39">
        <v>96</v>
      </c>
      <c r="C11" s="2" t="s">
        <v>8</v>
      </c>
      <c r="D11">
        <f>ROUNDDOWN(E11/24,0)</f>
        <v>0</v>
      </c>
      <c r="E11" s="39">
        <v>10</v>
      </c>
      <c r="F11" s="2" t="s">
        <v>8</v>
      </c>
      <c r="G11">
        <f>ROUNDDOWN(H11/24,0)</f>
        <v>4</v>
      </c>
      <c r="H11" s="39">
        <v>96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4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1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1</v>
      </c>
      <c r="F18" s="2" t="s">
        <v>154</v>
      </c>
      <c r="H18" s="39">
        <v>1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134</v>
      </c>
      <c r="C21" s="22" t="s">
        <v>35</v>
      </c>
      <c r="E21" s="39">
        <f>SUM(E4:E20)</f>
        <v>47</v>
      </c>
      <c r="F21" s="22" t="s">
        <v>35</v>
      </c>
      <c r="H21" s="39">
        <f>SUM(H4:H20)</f>
        <v>152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10</v>
      </c>
      <c r="F25" s="2" t="s">
        <v>46</v>
      </c>
      <c r="H25" s="39">
        <v>0</v>
      </c>
      <c r="I25" s="2" t="s">
        <v>30</v>
      </c>
      <c r="K25" s="74">
        <v>25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95">
        <v>1</v>
      </c>
      <c r="L26" s="75" t="s">
        <v>194</v>
      </c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44</v>
      </c>
      <c r="C30" s="22" t="s">
        <v>35</v>
      </c>
      <c r="E30" s="39">
        <f>SUM(E24:E29)</f>
        <v>39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64</v>
      </c>
      <c r="L31" s="87" t="s">
        <v>44</v>
      </c>
    </row>
    <row r="32" spans="1:15" ht="12.75" customHeight="1" x14ac:dyDescent="0.25">
      <c r="B32" s="2" t="s">
        <v>36</v>
      </c>
      <c r="C32" s="16">
        <v>4874114444</v>
      </c>
      <c r="E32" s="2" t="s">
        <v>36</v>
      </c>
      <c r="F32" s="13">
        <v>4874113383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2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22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26</v>
      </c>
      <c r="L44" s="2" t="s">
        <v>9</v>
      </c>
    </row>
    <row r="45" spans="2:15" x14ac:dyDescent="0.25">
      <c r="B45" s="26">
        <f>B5+E5+K5+H5+N5</f>
        <v>13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39</v>
      </c>
      <c r="I45" s="2" t="s">
        <v>46</v>
      </c>
      <c r="K45" s="47">
        <f>B37+B10+B28+E10+K10+H10+N10+E28</f>
        <v>39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202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85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73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2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5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2020</v>
      </c>
      <c r="H61" s="29">
        <f>K46</f>
        <v>202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2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425</v>
      </c>
      <c r="H64" s="21">
        <f>B48</f>
        <v>85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1</v>
      </c>
      <c r="C65" s="2" t="s">
        <v>18</v>
      </c>
      <c r="G65" s="35">
        <f>H65*8</f>
        <v>208</v>
      </c>
      <c r="H65" s="21">
        <f>H47</f>
        <v>26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8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20" sqref="C20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111</v>
      </c>
      <c r="B1" s="97"/>
      <c r="C1" s="45">
        <f>Mon!C2+1</f>
        <v>10</v>
      </c>
      <c r="D1" s="46"/>
      <c r="E1" s="46"/>
      <c r="F1" s="63" t="s">
        <v>144</v>
      </c>
      <c r="G1" s="64">
        <f>Mon!D1+49-1</f>
        <v>45760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5</v>
      </c>
      <c r="B6" s="39">
        <v>240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3.5</v>
      </c>
      <c r="J9" s="39">
        <v>168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11</v>
      </c>
      <c r="B12" s="44">
        <f>SUM(B5:B11)</f>
        <v>528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168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432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M35" sqref="M35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114</v>
      </c>
      <c r="B1" s="97"/>
      <c r="C1" s="45">
        <f>Mon!C2</f>
        <v>9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1380</v>
      </c>
      <c r="P3" s="53">
        <f>O3/125</f>
        <v>11.04</v>
      </c>
      <c r="R3" s="51" t="s">
        <v>118</v>
      </c>
      <c r="S3" s="55">
        <f>12*(D8+J4)</f>
        <v>1380</v>
      </c>
      <c r="T3" s="55">
        <f>15*(A4+D4+G4+J7+J5)+20*D12</f>
        <v>9375</v>
      </c>
      <c r="U3" s="55">
        <f>15*(A5+A9+D5+D9+D10+D11+G5+J6+J8+J10)+20*(A8+D13+G7)</f>
        <v>32410</v>
      </c>
      <c r="V3" s="55">
        <f>15*(A6+J11)</f>
        <v>2340</v>
      </c>
      <c r="W3" s="55">
        <f>15*D6</f>
        <v>0</v>
      </c>
      <c r="X3" s="55">
        <f>15*(A7+D7+G6+J9)</f>
        <v>1260</v>
      </c>
    </row>
    <row r="4" spans="1:24" ht="12.75" customHeight="1" x14ac:dyDescent="0.25">
      <c r="A4" s="31">
        <f>Mon!B70+Tues!B43+Wed!B42+Thurs!B72+Fri!B44+NFLD!A43</f>
        <v>21</v>
      </c>
      <c r="B4" s="2" t="s">
        <v>41</v>
      </c>
      <c r="C4" s="7"/>
      <c r="D4" s="31">
        <f>Mon!E70+Tues!E43+Wed!E42+Thurs!E72+Fri!E44+NFLD!D43</f>
        <v>23</v>
      </c>
      <c r="E4" s="2" t="s">
        <v>19</v>
      </c>
      <c r="F4" s="7"/>
      <c r="G4" s="31">
        <f>Mon!H70+Tues!H43+Wed!H42+Thurs!H72+Fri!H44+NFLD!G43</f>
        <v>21</v>
      </c>
      <c r="H4" s="2" t="s">
        <v>45</v>
      </c>
      <c r="I4" s="7"/>
      <c r="J4" s="31">
        <f>Mon!K70+Tues!K43+Wed!K42+Thurs!K72+Fri!K44+NFLD!J43</f>
        <v>115</v>
      </c>
      <c r="K4" s="2" t="s">
        <v>9</v>
      </c>
      <c r="M4" s="42"/>
      <c r="N4" s="52" t="s">
        <v>7</v>
      </c>
      <c r="O4" s="53">
        <f>J5*10</f>
        <v>4330</v>
      </c>
      <c r="P4" s="53">
        <f>O4/130</f>
        <v>33.307692307692307</v>
      </c>
      <c r="R4" s="51" t="s">
        <v>119</v>
      </c>
      <c r="S4" s="55">
        <f t="shared" ref="S4:X4" si="0">S3/15</f>
        <v>92</v>
      </c>
      <c r="T4" s="55">
        <f t="shared" si="0"/>
        <v>625</v>
      </c>
      <c r="U4" s="55">
        <f t="shared" si="0"/>
        <v>2160.6666666666665</v>
      </c>
      <c r="V4" s="55">
        <f t="shared" si="0"/>
        <v>156</v>
      </c>
      <c r="W4" s="55">
        <f t="shared" si="0"/>
        <v>0</v>
      </c>
      <c r="X4" s="55">
        <f t="shared" si="0"/>
        <v>84</v>
      </c>
    </row>
    <row r="5" spans="1:24" ht="12.75" customHeight="1" x14ac:dyDescent="0.25">
      <c r="A5" s="26">
        <f>Mon!B71+Tues!B44+Wed!B43+Thurs!B73+Fri!B45+NFLD!A44</f>
        <v>83</v>
      </c>
      <c r="B5" s="2" t="s">
        <v>42</v>
      </c>
      <c r="C5" s="24"/>
      <c r="D5" s="26">
        <f>Mon!E71+Tues!E44+Wed!E43+Thurs!E73+Fri!E45+NFLD!D44</f>
        <v>27</v>
      </c>
      <c r="E5" s="2" t="s">
        <v>20</v>
      </c>
      <c r="G5" s="26">
        <f>Mon!H71+Tues!H44+Wed!H43+Thurs!H73+Fri!H45+NFLD!G44</f>
        <v>292</v>
      </c>
      <c r="H5" s="2" t="s">
        <v>46</v>
      </c>
      <c r="J5" s="26">
        <f>Mon!K71+Tues!K44+Wed!K43+Thurs!K73+Fri!K45+NFLD!J44</f>
        <v>433</v>
      </c>
      <c r="K5" s="2" t="s">
        <v>7</v>
      </c>
      <c r="M5" s="42"/>
      <c r="N5" s="52" t="s">
        <v>8</v>
      </c>
      <c r="O5" s="53">
        <f>J6*10</f>
        <v>3060</v>
      </c>
      <c r="P5" s="53">
        <f t="shared" ref="P5:P25" si="1">O5/130</f>
        <v>23.53846153846154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306</v>
      </c>
      <c r="K6" s="2" t="s">
        <v>8</v>
      </c>
      <c r="M6" s="42"/>
      <c r="N6" s="52" t="s">
        <v>51</v>
      </c>
      <c r="O6" s="53">
        <f>J7*15</f>
        <v>1905</v>
      </c>
      <c r="P6" s="53">
        <f>O6/150</f>
        <v>12.7</v>
      </c>
    </row>
    <row r="7" spans="1:24" ht="12.75" customHeight="1" x14ac:dyDescent="0.25">
      <c r="A7" s="26">
        <f>Mon!B73+Tues!B46+Wed!B45+Thurs!B75+Fri!B47+NFLD!A46</f>
        <v>25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113</v>
      </c>
      <c r="H7" s="2" t="s">
        <v>103</v>
      </c>
      <c r="J7" s="26">
        <f>Mon!K73+Tues!K46+Wed!K45+Thurs!K75+Fri!K47+NFLD!J46</f>
        <v>127</v>
      </c>
      <c r="K7" s="2" t="s">
        <v>51</v>
      </c>
      <c r="M7" s="42"/>
      <c r="N7" s="52" t="s">
        <v>44</v>
      </c>
      <c r="O7" s="53">
        <f t="shared" ref="O7" si="2">J8*15</f>
        <v>9060</v>
      </c>
      <c r="P7" s="53">
        <f t="shared" ref="P7:P8" si="3">O7/150</f>
        <v>60.4</v>
      </c>
      <c r="R7" s="12" t="s">
        <v>106</v>
      </c>
      <c r="S7" s="60">
        <f>Mon!C2</f>
        <v>9</v>
      </c>
    </row>
    <row r="8" spans="1:24" ht="12.75" customHeight="1" x14ac:dyDescent="0.25">
      <c r="A8" s="26">
        <f>Mon!B74+Tues!B47+Wed!B46+Thurs!B76+Fri!B48+NFLD!A47</f>
        <v>280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604</v>
      </c>
      <c r="K8" s="2" t="s">
        <v>44</v>
      </c>
      <c r="M8" s="42"/>
      <c r="N8" s="52" t="s">
        <v>2</v>
      </c>
      <c r="O8" s="53">
        <f>J9*15</f>
        <v>615</v>
      </c>
      <c r="P8" s="53">
        <f t="shared" si="3"/>
        <v>4.0999999999999996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17</v>
      </c>
      <c r="B9" s="2" t="s">
        <v>15</v>
      </c>
      <c r="C9" s="24"/>
      <c r="D9" s="26">
        <f>Mon!E75+Tues!E48+Wed!E47+Thurs!E77+Fri!E49+NFLD!D48</f>
        <v>60</v>
      </c>
      <c r="E9" s="2" t="s">
        <v>22</v>
      </c>
      <c r="J9" s="26">
        <f>Mon!K75+Tues!K48+Wed!K47+Thurs!K77+Fri!K49+NFLD!J48</f>
        <v>41</v>
      </c>
      <c r="K9" s="2" t="s">
        <v>2</v>
      </c>
      <c r="M9" s="42"/>
      <c r="N9" s="52" t="s">
        <v>122</v>
      </c>
      <c r="O9" s="53">
        <f>7*(J10+J11)+8*(D12+D13+G7)+5*A9</f>
        <v>3650</v>
      </c>
      <c r="P9" s="53">
        <f>O9/140</f>
        <v>26.071428571428573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125</v>
      </c>
      <c r="K10" s="2" t="s">
        <v>1</v>
      </c>
      <c r="M10" s="42"/>
      <c r="N10" s="52" t="s">
        <v>41</v>
      </c>
      <c r="O10" s="53">
        <f>A4*15</f>
        <v>315</v>
      </c>
      <c r="P10" s="53">
        <f>O10/250</f>
        <v>1.26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150</v>
      </c>
      <c r="K11" s="2" t="s">
        <v>0</v>
      </c>
      <c r="M11" s="42"/>
      <c r="N11" s="52" t="s">
        <v>42</v>
      </c>
      <c r="O11" s="53">
        <f t="shared" ref="O11:O12" si="4">A5*15</f>
        <v>1245</v>
      </c>
      <c r="P11" s="53">
        <f t="shared" ref="P11:P13" si="5">O11/250</f>
        <v>4.9800000000000004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92</v>
      </c>
      <c r="E13" s="2" t="s">
        <v>28</v>
      </c>
      <c r="M13" s="42"/>
      <c r="N13" s="52" t="s">
        <v>5</v>
      </c>
      <c r="O13" s="53">
        <f>A7*15</f>
        <v>375</v>
      </c>
      <c r="P13" s="53">
        <f t="shared" si="5"/>
        <v>1.5</v>
      </c>
      <c r="S13" s="59"/>
    </row>
    <row r="14" spans="1:24" ht="12.75" customHeight="1" x14ac:dyDescent="0.25">
      <c r="A14" s="7"/>
      <c r="N14" s="52" t="s">
        <v>127</v>
      </c>
      <c r="O14" s="53">
        <f>5*A9</f>
        <v>85</v>
      </c>
      <c r="P14" s="53">
        <f>O14/50</f>
        <v>1.7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255</v>
      </c>
      <c r="P15" s="53">
        <f>O15/250</f>
        <v>1.02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315</v>
      </c>
      <c r="P16" s="53">
        <f t="shared" ref="P16:P18" si="6">O16/250</f>
        <v>1.26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4380</v>
      </c>
      <c r="P17" s="53">
        <f t="shared" si="6"/>
        <v>17.52</v>
      </c>
    </row>
    <row r="18" spans="1:24" ht="12.75" customHeight="1" x14ac:dyDescent="0.25">
      <c r="A18" s="26">
        <f>Mon!B86+Tues!B59+Wed!B58+Thurs!B88+Fri!B60+NFLD!A59</f>
        <v>5</v>
      </c>
      <c r="B18" s="2" t="s">
        <v>16</v>
      </c>
      <c r="D18" s="21">
        <f>A9</f>
        <v>17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306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128</v>
      </c>
      <c r="O19" s="53">
        <f>8*G7</f>
        <v>904</v>
      </c>
      <c r="P19" s="53">
        <f>O19/50</f>
        <v>18.079999999999998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345</v>
      </c>
      <c r="P20" s="53">
        <f>O20/150</f>
        <v>2.2999999999999998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6</v>
      </c>
      <c r="H21" s="2" t="s">
        <v>46</v>
      </c>
      <c r="N21" s="52" t="s">
        <v>20</v>
      </c>
      <c r="O21" s="53">
        <f t="shared" ref="O21:O23" si="8">15*D5</f>
        <v>405</v>
      </c>
      <c r="P21" s="53">
        <f t="shared" ref="P21:P23" si="9">O21/150</f>
        <v>2.7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280</v>
      </c>
      <c r="E22" s="2" t="s">
        <v>50</v>
      </c>
      <c r="F22" s="24"/>
      <c r="G22" s="14">
        <f>Mon!K90+Tues!K63+Thurs!K92+Fri!K64</f>
        <v>6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113</v>
      </c>
      <c r="E23" s="2" t="s">
        <v>104</v>
      </c>
      <c r="F23" s="24"/>
      <c r="G23" s="14">
        <f>Mon!K91+Tues!K64+Thurs!K93+Fri!K65</f>
        <v>5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12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600</v>
      </c>
      <c r="P25" s="53">
        <f t="shared" si="1"/>
        <v>4.615384615384615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736</v>
      </c>
      <c r="P29" s="53">
        <f>O29/50</f>
        <v>14.72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505</v>
      </c>
      <c r="P32" s="51">
        <f>O32/25-24*(G17+G20+G23)</f>
        <v>-99.8</v>
      </c>
      <c r="R32" s="98" t="s">
        <v>141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1122</v>
      </c>
      <c r="P33" s="51">
        <f>O33/25-24*(G18+G21+G24)-20*G19</f>
        <v>-567.12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175</v>
      </c>
      <c r="P34" s="51">
        <f t="shared" ref="P34:P36" si="10">O34/25</f>
        <v>7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156</v>
      </c>
      <c r="P35" s="51">
        <f t="shared" si="10"/>
        <v>6.24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84</v>
      </c>
      <c r="P36" s="51">
        <f t="shared" si="10"/>
        <v>3.36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92</v>
      </c>
      <c r="P37" s="51">
        <f>O37/20</f>
        <v>4.5999999999999996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35</v>
      </c>
      <c r="P38" s="51">
        <f>O38/20-13*G22</f>
        <v>-76.25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2025-02-27T19:12:42Z</cp:lastPrinted>
  <dcterms:created xsi:type="dcterms:W3CDTF">2014-06-06T13:58:10Z</dcterms:created>
  <dcterms:modified xsi:type="dcterms:W3CDTF">2025-03-03T12:59:38Z</dcterms:modified>
</cp:coreProperties>
</file>