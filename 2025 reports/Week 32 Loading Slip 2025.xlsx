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707B079A-8251-455B-B379-7A685B97386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P4" i="12" l="1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" i="12"/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92" i="8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J7" i="12"/>
  <c r="O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J8" i="12"/>
  <c r="O7" i="12" s="1"/>
  <c r="D10" i="12"/>
  <c r="O26" i="12" s="1"/>
  <c r="J11" i="12"/>
  <c r="D9" i="12"/>
  <c r="O25" i="12" s="1"/>
  <c r="A20" i="12"/>
  <c r="D7" i="12"/>
  <c r="O23" i="12" s="1"/>
  <c r="J10" i="12"/>
  <c r="D11" i="12"/>
  <c r="O27" i="12" s="1"/>
  <c r="A9" i="12"/>
  <c r="D18" i="12" s="1"/>
  <c r="D4" i="12"/>
  <c r="O20" i="12" s="1"/>
  <c r="D6" i="12"/>
  <c r="O22" i="12" s="1"/>
  <c r="D8" i="12"/>
  <c r="D13" i="12"/>
  <c r="O29" i="12" s="1"/>
  <c r="D5" i="12"/>
  <c r="O21" i="12" s="1"/>
  <c r="A7" i="12"/>
  <c r="J4" i="12"/>
  <c r="O3" i="12" s="1"/>
  <c r="G4" i="12"/>
  <c r="O16" i="12" s="1"/>
  <c r="G5" i="12"/>
  <c r="O17" i="12" s="1"/>
  <c r="J5" i="12"/>
  <c r="O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O15" i="12"/>
  <c r="O36" i="12"/>
  <c r="P36" i="12" s="1"/>
  <c r="O33" i="12"/>
  <c r="P33" i="12" s="1"/>
  <c r="O32" i="12"/>
  <c r="P32" i="12" s="1"/>
  <c r="W3" i="12"/>
  <c r="W4" i="12" s="1"/>
  <c r="O24" i="12"/>
  <c r="O37" i="12"/>
  <c r="P37" i="12" s="1"/>
  <c r="D17" i="12"/>
  <c r="V3" i="12"/>
  <c r="V4" i="12" s="1"/>
  <c r="O12" i="12"/>
  <c r="D21" i="12"/>
  <c r="O18" i="12"/>
  <c r="D20" i="12"/>
  <c r="X3" i="12"/>
  <c r="X4" i="12" s="1"/>
  <c r="O13" i="12"/>
  <c r="D23" i="12"/>
  <c r="O19" i="12"/>
  <c r="O5" i="12"/>
  <c r="T3" i="12"/>
  <c r="T4" i="12" s="1"/>
  <c r="O10" i="12"/>
  <c r="S3" i="12"/>
  <c r="S4" i="12" s="1"/>
  <c r="O9" i="12"/>
  <c r="O11" i="12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<sst xmlns="http://schemas.openxmlformats.org/spreadsheetml/2006/main" count="1138" uniqueCount="194">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</sst>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45873</v>
      </c>
      <c r="E1" s="96"/>
      <c r="F1" s="96"/>
      <c r="H1" s="63" t="s">
        <v>143</v>
      </c>
      <c r="I1" s="64">
        <f>D1+42-1</f>
        <v>45914</v>
      </c>
      <c r="L1" s="19" t="s">
        <v>38</v>
      </c>
    </row>
    <row r="2" spans="1:12" ht="15.75" x14ac:dyDescent="0.25">
      <c r="B2" s="41" t="s">
        <v>105</v>
      </c>
      <c r="C2" s="50">
        <v>32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15</v>
      </c>
      <c r="C10" s="2" t="s">
        <v>9</v>
      </c>
      <c r="D10">
        <f>ROUNDDOWN(E10/24,0)</f>
        <v>0</v>
      </c>
      <c r="E10" s="39">
        <v>11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37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8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4877499508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16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9691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65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45873</v>
      </c>
      <c r="E34" s="96"/>
      <c r="F34" s="96"/>
      <c r="H34" s="63" t="s">
        <v>143</v>
      </c>
      <c r="I34" s="67">
        <f>I1</f>
        <v>45914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14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19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18</v>
      </c>
      <c r="F42" s="2" t="s">
        <v>22</v>
      </c>
      <c r="H42" s="39">
        <v>31</v>
      </c>
      <c r="I42" s="2" t="s">
        <v>22</v>
      </c>
    </row>
    <row r="43" spans="1:12" x14ac:dyDescent="0.25">
      <c r="A43">
        <f>ROUNDDOWN(B43/24,0)</f>
        <v>0</v>
      </c>
      <c r="B43" s="39">
        <v>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35</v>
      </c>
      <c r="F46" s="16" t="s">
        <v>28</v>
      </c>
      <c r="H46" s="39">
        <v>41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78</v>
      </c>
      <c r="F47" s="2" t="s">
        <v>35</v>
      </c>
      <c r="H47" s="39">
        <f>SUM(H37:H46)</f>
        <v>101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9330</v>
      </c>
      <c r="H49" s="2" t="s">
        <v>36</v>
      </c>
      <c r="I49" s="16">
        <v>9316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1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20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34</v>
      </c>
      <c r="I56" s="2" t="s">
        <v>103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5</v>
      </c>
      <c r="I58" s="16" t="s">
        <v>34</v>
      </c>
      <c r="K58" s="17" t="s">
        <v>160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66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1</v>
      </c>
      <c r="F60" s="2" t="s">
        <v>30</v>
      </c>
    </row>
    <row r="61" spans="2:12" x14ac:dyDescent="0.25">
      <c r="E61" s="39">
        <v>1</v>
      </c>
      <c r="F61" s="16" t="s">
        <v>12</v>
      </c>
      <c r="H61" s="2" t="s">
        <v>36</v>
      </c>
      <c r="I61" s="16">
        <v>4877498929</v>
      </c>
    </row>
    <row r="62" spans="2:12" x14ac:dyDescent="0.25">
      <c r="E62" s="39">
        <f>SUM(E59:E61)</f>
        <v>18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315</v>
      </c>
      <c r="E70" s="15">
        <f t="shared" ref="E70:E79" si="0">H5+E37+H37</f>
        <v>21</v>
      </c>
      <c r="F70" s="2" t="s">
        <v>19</v>
      </c>
      <c r="H70" s="13">
        <f>E5+H53</f>
        <v>3</v>
      </c>
      <c r="I70" s="2" t="s">
        <v>45</v>
      </c>
      <c r="K70" s="47">
        <f>B10+E9+B30+B42+H57</f>
        <v>29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555</v>
      </c>
      <c r="E71" s="14">
        <f t="shared" si="0"/>
        <v>37</v>
      </c>
      <c r="F71" s="2" t="s">
        <v>20</v>
      </c>
      <c r="H71" s="14">
        <f>E6+E16+E59+H54+E53</f>
        <v>68</v>
      </c>
      <c r="I71" s="2" t="s">
        <v>46</v>
      </c>
      <c r="K71" s="13">
        <f>B11+E10+B31+B43+H58</f>
        <v>31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8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46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550</v>
      </c>
      <c r="E75" s="14">
        <f t="shared" si="0"/>
        <v>55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608</v>
      </c>
      <c r="E79" s="14">
        <f t="shared" si="0"/>
        <v>76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80</v>
      </c>
      <c r="H87" s="29">
        <f>K72</f>
        <v>8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368</v>
      </c>
      <c r="H91" s="21">
        <f>H73</f>
        <v>46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J35" sqref="J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45874</v>
      </c>
      <c r="E1" s="95"/>
      <c r="F1" s="95"/>
      <c r="H1" s="63" t="s">
        <v>143</v>
      </c>
      <c r="I1" s="64">
        <f>Mon!D1+42-1</f>
        <v>45914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12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11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84</v>
      </c>
      <c r="C21" s="2" t="s">
        <v>35</v>
      </c>
      <c r="E21" s="39">
        <f>SUM(E4:E20)</f>
        <v>39</v>
      </c>
      <c r="F21" s="2" t="s">
        <v>35</v>
      </c>
      <c r="H21" s="39">
        <f>SUM(H4:H20)</f>
        <v>65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10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5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9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42</v>
      </c>
      <c r="C30" s="2" t="s">
        <v>35</v>
      </c>
      <c r="E30" s="39">
        <f>SUM(E24:E29)</f>
        <v>33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4877525056</v>
      </c>
      <c r="E32" s="2" t="s">
        <v>36</v>
      </c>
      <c r="F32" s="16">
        <v>4877525465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28</v>
      </c>
      <c r="L43" s="2" t="s">
        <v>9</v>
      </c>
    </row>
    <row r="44" spans="2:12" x14ac:dyDescent="0.25">
      <c r="B44" s="26">
        <f>B5+H5+K5+E5</f>
        <v>29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19</v>
      </c>
      <c r="I44" s="2" t="s">
        <v>46</v>
      </c>
      <c r="K44" s="13">
        <f>B10+B29+H10+K10+E10+E29+B37</f>
        <v>37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77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2</v>
      </c>
      <c r="C63" s="2" t="s">
        <v>13</v>
      </c>
      <c r="G63" s="35">
        <f>H63*5</f>
        <v>570</v>
      </c>
      <c r="H63" s="21">
        <f>B47</f>
        <v>114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224</v>
      </c>
      <c r="H64" s="21">
        <f>H46</f>
        <v>28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45875</v>
      </c>
      <c r="E1" s="95"/>
      <c r="F1" s="95"/>
      <c r="H1" s="63" t="s">
        <v>143</v>
      </c>
      <c r="I1" s="64">
        <f>Mon!D1+49-1</f>
        <v>45921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55" sqref="I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45876</v>
      </c>
      <c r="E1" s="95"/>
      <c r="F1" s="95"/>
      <c r="G1" s="1"/>
      <c r="H1" s="63" t="s">
        <v>143</v>
      </c>
      <c r="I1" s="64">
        <f>Mon!D1+49-1</f>
        <v>45921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12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12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8</v>
      </c>
      <c r="F8" s="2" t="s">
        <v>9</v>
      </c>
      <c r="H8" s="39">
        <v>8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4</v>
      </c>
      <c r="F9" s="2" t="s">
        <v>7</v>
      </c>
      <c r="G9">
        <f>ROUNDDOWN(H9/24,0)</f>
        <v>0</v>
      </c>
      <c r="H9" s="39">
        <v>13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45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16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4877596680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82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73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11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45876</v>
      </c>
      <c r="E35" s="95"/>
      <c r="F35" s="95"/>
      <c r="H35" s="63" t="s">
        <v>143</v>
      </c>
      <c r="I35" s="64">
        <f>I1</f>
        <v>45921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4</v>
      </c>
      <c r="F38" s="2" t="s">
        <v>32</v>
      </c>
      <c r="H38" s="39">
        <v>2</v>
      </c>
      <c r="I38" s="2" t="s">
        <v>19</v>
      </c>
      <c r="K38" s="39">
        <v>17</v>
      </c>
      <c r="L38" s="2" t="s">
        <v>19</v>
      </c>
    </row>
    <row r="39" spans="1:12" x14ac:dyDescent="0.25">
      <c r="A39">
        <f>ROUNDDOWN(B39/24,0)</f>
        <v>0</v>
      </c>
      <c r="B39" s="39">
        <v>15</v>
      </c>
      <c r="C39" s="2" t="s">
        <v>42</v>
      </c>
      <c r="D39">
        <f>ROUNDDOWN(E39/24,0)</f>
        <v>0</v>
      </c>
      <c r="E39" s="39">
        <v>21</v>
      </c>
      <c r="F39" s="2" t="s">
        <v>31</v>
      </c>
      <c r="H39" s="39">
        <v>24</v>
      </c>
      <c r="I39" s="2" t="s">
        <v>20</v>
      </c>
      <c r="K39" s="39">
        <v>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33</v>
      </c>
      <c r="F41" s="2" t="s">
        <v>103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47</v>
      </c>
      <c r="H42" s="39">
        <v>3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19</v>
      </c>
      <c r="F43" s="16" t="s">
        <v>7</v>
      </c>
      <c r="H43" s="39">
        <v>18</v>
      </c>
      <c r="I43" s="2" t="s">
        <v>22</v>
      </c>
      <c r="K43" s="39">
        <v>26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79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0</v>
      </c>
      <c r="C46" s="2" t="s">
        <v>44</v>
      </c>
      <c r="E46" s="2" t="s">
        <v>36</v>
      </c>
      <c r="F46" s="16">
        <v>4877596923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0</v>
      </c>
      <c r="I47" s="16" t="s">
        <v>28</v>
      </c>
      <c r="K47" s="39">
        <v>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48</v>
      </c>
      <c r="I48" s="2" t="s">
        <v>35</v>
      </c>
      <c r="K48" s="39">
        <f>SUM(K38:K47)</f>
        <v>55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1</v>
      </c>
      <c r="C50" s="2" t="s">
        <v>17</v>
      </c>
      <c r="E50" s="39">
        <v>16</v>
      </c>
      <c r="F50" s="2" t="s">
        <v>29</v>
      </c>
      <c r="H50" s="2" t="s">
        <v>36</v>
      </c>
      <c r="I50" s="16"/>
      <c r="K50" s="2" t="s">
        <v>36</v>
      </c>
      <c r="L50" s="16">
        <v>64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16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72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18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4</v>
      </c>
      <c r="I72" s="2" t="s">
        <v>45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19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63</v>
      </c>
      <c r="I73" s="2" t="s">
        <v>46</v>
      </c>
      <c r="K73" s="47">
        <f>B10+E9+H9+B44+E43</f>
        <v>84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45</v>
      </c>
      <c r="I75" s="2" t="s">
        <v>102</v>
      </c>
      <c r="K75" s="47">
        <f>B28+K54</f>
        <v>16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48</v>
      </c>
      <c r="E76" s="37">
        <f t="shared" si="0"/>
        <v>4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520</v>
      </c>
      <c r="E77" s="37">
        <f t="shared" si="0"/>
        <v>52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360</v>
      </c>
      <c r="H93" s="21">
        <f>H75</f>
        <v>45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3" sqref="O23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45877</v>
      </c>
      <c r="E1" s="95"/>
      <c r="F1" s="95"/>
      <c r="H1" s="63" t="s">
        <v>143</v>
      </c>
      <c r="I1" s="64">
        <f>Mon!D1+49-1</f>
        <v>45921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2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11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10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2</v>
      </c>
      <c r="F9" s="2" t="s">
        <v>9</v>
      </c>
      <c r="H9" s="39">
        <v>8</v>
      </c>
      <c r="I9" s="2" t="s">
        <v>9</v>
      </c>
      <c r="K9" s="39">
        <v>4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5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2</v>
      </c>
      <c r="C13" s="2" t="s">
        <v>15</v>
      </c>
      <c r="E13" s="39">
        <v>1</v>
      </c>
      <c r="F13" s="2" t="s">
        <v>15</v>
      </c>
      <c r="H13" s="39">
        <v>3</v>
      </c>
      <c r="I13" s="2" t="s">
        <v>15</v>
      </c>
      <c r="K13" s="39">
        <f>SUM(K4:K12)</f>
        <v>13</v>
      </c>
      <c r="L13" s="40" t="s">
        <v>35</v>
      </c>
      <c r="N13" s="39">
        <f>SUM(N4:N12)</f>
        <v>53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10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79</v>
      </c>
      <c r="C21" s="22" t="s">
        <v>35</v>
      </c>
      <c r="E21" s="39">
        <f>SUM(E4:E20)</f>
        <v>52</v>
      </c>
      <c r="F21" s="22" t="s">
        <v>35</v>
      </c>
      <c r="H21" s="39">
        <f>SUM(H4:H20)</f>
        <v>64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3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13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>
        <v>0</v>
      </c>
      <c r="I25" s="2" t="s">
        <v>30</v>
      </c>
      <c r="K25" s="74">
        <v>30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12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50</v>
      </c>
      <c r="C30" s="22" t="s">
        <v>35</v>
      </c>
      <c r="E30" s="39">
        <f>SUM(E24:E29)</f>
        <v>32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85</v>
      </c>
      <c r="L31" s="87" t="s">
        <v>44</v>
      </c>
    </row>
    <row r="32" spans="1:15" ht="12.75" customHeight="1" x14ac:dyDescent="0.25">
      <c r="B32" s="2" t="s">
        <v>36</v>
      </c>
      <c r="C32" s="16">
        <v>4877619596</v>
      </c>
      <c r="E32" s="2" t="s">
        <v>36</v>
      </c>
      <c r="F32" s="13">
        <v>4877623251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5</v>
      </c>
      <c r="I44" s="2" t="s">
        <v>45</v>
      </c>
      <c r="K44" s="47">
        <f>B9+E9+B29+K9+E29+H9+N9</f>
        <v>48</v>
      </c>
      <c r="L44" s="2" t="s">
        <v>9</v>
      </c>
    </row>
    <row r="45" spans="2:15" x14ac:dyDescent="0.25">
      <c r="B45" s="26">
        <f>B5+E5+K5+H5+N5</f>
        <v>36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20</v>
      </c>
      <c r="I45" s="2" t="s">
        <v>46</v>
      </c>
      <c r="K45" s="47">
        <f>B37+B10+B28+E10+K10+H10+N10+E28</f>
        <v>44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10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24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160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93</v>
      </c>
      <c r="L48" s="2" t="s">
        <v>44</v>
      </c>
    </row>
    <row r="49" spans="2:12" x14ac:dyDescent="0.25">
      <c r="B49" s="26">
        <f>B13+E13+H13</f>
        <v>6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90</v>
      </c>
      <c r="H60" s="21">
        <f>B49</f>
        <v>6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100</v>
      </c>
      <c r="H61" s="29">
        <f>K46</f>
        <v>10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800</v>
      </c>
      <c r="H64" s="21">
        <f>B48</f>
        <v>160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192</v>
      </c>
      <c r="H65" s="21">
        <f>H47</f>
        <v>24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19" sqref="G19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33</v>
      </c>
      <c r="D1" s="46"/>
      <c r="E1" s="46"/>
      <c r="F1" s="63" t="s">
        <v>143</v>
      </c>
      <c r="G1" s="64">
        <f>Mon!D1+49-1</f>
        <v>45921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>
        <v>0</v>
      </c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</v>
      </c>
      <c r="F6" s="39">
        <v>0</v>
      </c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>
        <v>0</v>
      </c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>
        <v>0</v>
      </c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>
        <v>0</v>
      </c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>
        <v>0</v>
      </c>
      <c r="K10" s="2" t="s">
        <v>1</v>
      </c>
      <c r="M10" s="42"/>
      <c r="N10" s="2"/>
    </row>
    <row r="11" spans="1:14" ht="12.75" customHeight="1" x14ac:dyDescent="0.25">
      <c r="A11" s="35">
        <f t="shared" si="0"/>
        <v>5</v>
      </c>
      <c r="B11" s="39">
        <v>240</v>
      </c>
      <c r="C11" s="16" t="s">
        <v>0</v>
      </c>
      <c r="D11" s="2"/>
      <c r="E11" s="35">
        <f t="shared" si="1"/>
        <v>0</v>
      </c>
      <c r="F11" s="39">
        <v>0</v>
      </c>
      <c r="G11" s="16" t="s">
        <v>0</v>
      </c>
      <c r="I11" s="35">
        <f t="shared" si="2"/>
        <v>0</v>
      </c>
      <c r="J11" s="39">
        <v>0</v>
      </c>
      <c r="K11" s="16" t="s">
        <v>0</v>
      </c>
      <c r="M11" s="42"/>
      <c r="N11" s="2"/>
    </row>
    <row r="12" spans="1:14" ht="12.75" customHeight="1" x14ac:dyDescent="0.25">
      <c r="A12" s="35">
        <f t="shared" si="0"/>
        <v>25</v>
      </c>
      <c r="B12" s="44">
        <f>SUM(B5:B11)</f>
        <v>1200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12</v>
      </c>
      <c r="J12" s="44">
        <f>SUM(J5:J11)</f>
        <v>576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864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240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32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2172</v>
      </c>
      <c r="P3" s="53">
        <f>O3/125</f>
        <v>17.376000000000001</v>
      </c>
      <c r="R3" s="51" t="s">
        <v>117</v>
      </c>
      <c r="S3" s="55">
        <f>12*(D8+J4)</f>
        <v>2244</v>
      </c>
      <c r="T3" s="55">
        <f>15*(A4+D4+G4+J7+J5)+20*D12</f>
        <v>9435</v>
      </c>
      <c r="U3" s="55">
        <f>15*(A5+A9+D5+D9+D10+D11+G5+J6+J8+J10)+20*(A8+D13+G7)</f>
        <v>38570</v>
      </c>
      <c r="V3" s="55">
        <f>15*(A6+J11)</f>
        <v>3825</v>
      </c>
      <c r="W3" s="55">
        <f>15*D6</f>
        <v>0</v>
      </c>
      <c r="X3" s="55">
        <f>15*(A7+D7+G6+J9)</f>
        <v>1980</v>
      </c>
    </row>
    <row r="4" spans="1:24" ht="12.75" customHeight="1" x14ac:dyDescent="0.25">
      <c r="A4" s="31">
        <f>Mon!B70+Tues!B43+Wed!B42+Thurs!B72+Fri!B44+NFLD!A43</f>
        <v>16</v>
      </c>
      <c r="B4" s="2" t="s">
        <v>41</v>
      </c>
      <c r="C4" s="7"/>
      <c r="D4" s="31">
        <f>Mon!E70+Tues!E43+Wed!E42+Thurs!E72+Fri!E44+NFLD!D43</f>
        <v>44</v>
      </c>
      <c r="E4" s="2" t="s">
        <v>19</v>
      </c>
      <c r="F4" s="7"/>
      <c r="G4" s="31">
        <f>Mon!H70+Tues!H43+Wed!H42+Thurs!H72+Fri!H44+NFLD!G43</f>
        <v>16</v>
      </c>
      <c r="H4" s="2" t="s">
        <v>45</v>
      </c>
      <c r="I4" s="7"/>
      <c r="J4" s="31">
        <f>Mon!K70+Tues!K43+Wed!K42+Thurs!K72+Fri!K44+NFLD!J43</f>
        <v>181</v>
      </c>
      <c r="K4" s="2" t="s">
        <v>9</v>
      </c>
      <c r="M4" s="42"/>
      <c r="N4" s="52" t="s">
        <v>7</v>
      </c>
      <c r="O4" s="53">
        <f>J5*10</f>
        <v>4360</v>
      </c>
      <c r="P4" s="53">
        <f t="shared" ref="P4:P29" si="0">O4/125</f>
        <v>34.880000000000003</v>
      </c>
      <c r="R4" s="51" t="s">
        <v>118</v>
      </c>
      <c r="S4" s="55">
        <f t="shared" ref="S4:X4" si="1">S3/15</f>
        <v>149.6</v>
      </c>
      <c r="T4" s="55">
        <f t="shared" si="1"/>
        <v>629</v>
      </c>
      <c r="U4" s="55">
        <f t="shared" si="1"/>
        <v>2571.3333333333335</v>
      </c>
      <c r="V4" s="55">
        <f t="shared" si="1"/>
        <v>255</v>
      </c>
      <c r="W4" s="55">
        <f t="shared" si="1"/>
        <v>0</v>
      </c>
      <c r="X4" s="55">
        <f t="shared" si="1"/>
        <v>132</v>
      </c>
    </row>
    <row r="5" spans="1:24" ht="12.75" customHeight="1" x14ac:dyDescent="0.25">
      <c r="A5" s="26">
        <f>Mon!B71+Tues!B44+Wed!B43+Thurs!B73+Fri!B45+NFLD!A44</f>
        <v>88</v>
      </c>
      <c r="B5" s="2" t="s">
        <v>42</v>
      </c>
      <c r="C5" s="24"/>
      <c r="D5" s="26">
        <f>Mon!E71+Tues!E44+Wed!E43+Thurs!E73+Fri!E45+NFLD!D44</f>
        <v>81</v>
      </c>
      <c r="E5" s="2" t="s">
        <v>20</v>
      </c>
      <c r="G5" s="26">
        <f>Mon!H71+Tues!H44+Wed!H43+Thurs!H73+Fri!H45+NFLD!G44</f>
        <v>170</v>
      </c>
      <c r="H5" s="2" t="s">
        <v>46</v>
      </c>
      <c r="J5" s="26">
        <f>Mon!K71+Tues!K44+Wed!K43+Thurs!K73+Fri!K45+NFLD!J44</f>
        <v>436</v>
      </c>
      <c r="K5" s="2" t="s">
        <v>7</v>
      </c>
      <c r="M5" s="42"/>
      <c r="N5" s="52" t="s">
        <v>8</v>
      </c>
      <c r="O5" s="53">
        <f>J6*10</f>
        <v>310</v>
      </c>
      <c r="P5" s="53">
        <f t="shared" si="0"/>
        <v>2.48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31</v>
      </c>
      <c r="K6" s="2" t="s">
        <v>8</v>
      </c>
      <c r="M6" s="42"/>
      <c r="N6" s="52" t="s">
        <v>51</v>
      </c>
      <c r="O6" s="53">
        <f>J7*15</f>
        <v>1755</v>
      </c>
      <c r="P6" s="53">
        <f t="shared" si="0"/>
        <v>14.04</v>
      </c>
    </row>
    <row r="7" spans="1:24" ht="12.75" customHeight="1" x14ac:dyDescent="0.25">
      <c r="A7" s="26">
        <f>Mon!B73+Tues!B46+Wed!B45+Thurs!B75+Fri!B47+NFLD!A46</f>
        <v>8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143</v>
      </c>
      <c r="H7" s="2" t="s">
        <v>102</v>
      </c>
      <c r="J7" s="26">
        <f>Mon!K73+Tues!K46+Wed!K45+Thurs!K75+Fri!K47+NFLD!J46</f>
        <v>117</v>
      </c>
      <c r="K7" s="2" t="s">
        <v>51</v>
      </c>
      <c r="M7" s="42"/>
      <c r="N7" s="52" t="s">
        <v>44</v>
      </c>
      <c r="O7" s="53">
        <f t="shared" ref="O7" si="2">J8*15</f>
        <v>15600</v>
      </c>
      <c r="P7" s="53">
        <f t="shared" si="0"/>
        <v>124.8</v>
      </c>
      <c r="R7" s="12" t="s">
        <v>105</v>
      </c>
      <c r="S7" s="60">
        <f>Mon!C2</f>
        <v>32</v>
      </c>
    </row>
    <row r="8" spans="1:24" ht="12.75" customHeight="1" x14ac:dyDescent="0.25">
      <c r="A8" s="26">
        <f>Mon!B74+Tues!B47+Wed!B46+Thurs!B76+Fri!B48+NFLD!A47</f>
        <v>364</v>
      </c>
      <c r="B8" s="2" t="s">
        <v>6</v>
      </c>
      <c r="C8" s="24"/>
      <c r="D8" s="26">
        <f>Mon!E74+Tues!E47+Wed!E46+Thurs!E76+Fri!E48+NFLD!D47</f>
        <v>6</v>
      </c>
      <c r="E8" s="2" t="s">
        <v>23</v>
      </c>
      <c r="J8" s="26">
        <f>Mon!K74+Tues!K47+Wed!K46+Thurs!K76+Fri!K48+NFLD!J47</f>
        <v>1040</v>
      </c>
      <c r="K8" s="2" t="s">
        <v>44</v>
      </c>
      <c r="M8" s="42"/>
      <c r="N8" s="52" t="s">
        <v>2</v>
      </c>
      <c r="O8" s="53">
        <f>J9*15</f>
        <v>1560</v>
      </c>
      <c r="P8" s="53">
        <f t="shared" si="0"/>
        <v>12.48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10</v>
      </c>
      <c r="B9" s="2" t="s">
        <v>15</v>
      </c>
      <c r="C9" s="24"/>
      <c r="D9" s="26">
        <f>Mon!E75+Tues!E48+Wed!E47+Thurs!E77+Fri!E49+NFLD!D48</f>
        <v>107</v>
      </c>
      <c r="E9" s="2" t="s">
        <v>22</v>
      </c>
      <c r="J9" s="26">
        <f>Mon!K75+Tues!K48+Wed!K47+Thurs!K77+Fri!K49+NFLD!J48</f>
        <v>104</v>
      </c>
      <c r="K9" s="2" t="s">
        <v>2</v>
      </c>
      <c r="M9" s="42"/>
      <c r="N9" s="52" t="s">
        <v>121</v>
      </c>
      <c r="O9" s="53">
        <f>7*(J10+J11)+8*(D12+D13+G7)+5*A9</f>
        <v>5421</v>
      </c>
      <c r="P9" s="53">
        <f t="shared" si="0"/>
        <v>43.368000000000002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267</v>
      </c>
      <c r="K10" s="2" t="s">
        <v>1</v>
      </c>
      <c r="M10" s="42"/>
      <c r="N10" s="52" t="s">
        <v>41</v>
      </c>
      <c r="O10" s="53">
        <f>A4*15</f>
        <v>240</v>
      </c>
      <c r="P10" s="53">
        <f t="shared" si="0"/>
        <v>1.92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250</v>
      </c>
      <c r="K11" s="2" t="s">
        <v>0</v>
      </c>
      <c r="M11" s="42"/>
      <c r="N11" s="52" t="s">
        <v>42</v>
      </c>
      <c r="O11" s="53">
        <f t="shared" ref="O11:O12" si="3">A5*15</f>
        <v>1320</v>
      </c>
      <c r="P11" s="53">
        <f t="shared" si="0"/>
        <v>10.56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3"/>
        <v>75</v>
      </c>
      <c r="P12" s="53">
        <f t="shared" si="0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76</v>
      </c>
      <c r="E13" s="2" t="s">
        <v>28</v>
      </c>
      <c r="M13" s="42"/>
      <c r="N13" s="52" t="s">
        <v>5</v>
      </c>
      <c r="O13" s="53">
        <f>A7*15</f>
        <v>120</v>
      </c>
      <c r="P13" s="53">
        <f t="shared" si="0"/>
        <v>0.96</v>
      </c>
      <c r="S13" s="59"/>
    </row>
    <row r="14" spans="1:24" ht="12.75" customHeight="1" x14ac:dyDescent="0.25">
      <c r="A14" s="7"/>
      <c r="N14" s="52" t="s">
        <v>126</v>
      </c>
      <c r="O14" s="53">
        <f>5*A9</f>
        <v>50</v>
      </c>
      <c r="P14" s="53">
        <f t="shared" si="0"/>
        <v>0.4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150</v>
      </c>
      <c r="P15" s="53">
        <f t="shared" si="0"/>
        <v>1.2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240</v>
      </c>
      <c r="P16" s="53">
        <f t="shared" si="0"/>
        <v>1.92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4">15*G5</f>
        <v>2550</v>
      </c>
      <c r="P17" s="53">
        <f t="shared" si="0"/>
        <v>20.399999999999999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10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4"/>
        <v>180</v>
      </c>
      <c r="P18" s="53">
        <f t="shared" si="0"/>
        <v>1.44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31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1144</v>
      </c>
      <c r="P19" s="53">
        <f t="shared" si="0"/>
        <v>9.1519999999999992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8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660</v>
      </c>
      <c r="P20" s="53">
        <f t="shared" si="0"/>
        <v>5.28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5">15*D5</f>
        <v>1215</v>
      </c>
      <c r="P21" s="53">
        <f t="shared" si="0"/>
        <v>9.7200000000000006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364</v>
      </c>
      <c r="E22" s="2" t="s">
        <v>50</v>
      </c>
      <c r="F22" s="24"/>
      <c r="G22" s="14">
        <f>Mon!K90+Tues!K63+Thurs!K92+Fri!K64</f>
        <v>6</v>
      </c>
      <c r="H22" s="2" t="s">
        <v>103</v>
      </c>
      <c r="N22" s="52" t="s">
        <v>27</v>
      </c>
      <c r="O22" s="53">
        <f t="shared" si="5"/>
        <v>0</v>
      </c>
      <c r="P22" s="53">
        <f t="shared" si="0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143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5"/>
        <v>120</v>
      </c>
      <c r="P23" s="53">
        <f t="shared" si="0"/>
        <v>0.96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72</v>
      </c>
      <c r="P24" s="53">
        <f t="shared" si="0"/>
        <v>0.57599999999999996</v>
      </c>
    </row>
    <row r="25" spans="1:24" ht="12.75" customHeight="1" x14ac:dyDescent="0.25">
      <c r="F25" s="24"/>
      <c r="N25" s="52" t="s">
        <v>22</v>
      </c>
      <c r="O25" s="53">
        <f>10*D9</f>
        <v>1070</v>
      </c>
      <c r="P25" s="53">
        <f t="shared" si="0"/>
        <v>8.56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 t="shared" si="0"/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 t="shared" si="0"/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 t="shared" si="0"/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608</v>
      </c>
      <c r="P29" s="53">
        <f t="shared" si="0"/>
        <v>4.8639999999999999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581</v>
      </c>
      <c r="P32" s="51">
        <f>O32/25-24*(G17+G20+G23)</f>
        <v>-24.76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1811</v>
      </c>
      <c r="P33" s="51">
        <f>O33/25-24*(G18+G21+G24)-20*G19</f>
        <v>-167.56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294</v>
      </c>
      <c r="P34" s="51">
        <f t="shared" ref="P34:P36" si="6">O34/25</f>
        <v>11.76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255</v>
      </c>
      <c r="P35" s="51">
        <f t="shared" si="6"/>
        <v>10.199999999999999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132</v>
      </c>
      <c r="P36" s="51">
        <f t="shared" si="6"/>
        <v>5.28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76</v>
      </c>
      <c r="P37" s="51">
        <f>O37/20</f>
        <v>3.8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65</v>
      </c>
      <c r="P38" s="51">
        <f>O38/20-13*G22</f>
        <v>-74.75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2025-08-07T15:53:06Z</cp:lastPrinted>
  <dcterms:created xsi:type="dcterms:W3CDTF">2014-06-06T13:58:10Z</dcterms:created>
  <dcterms:modified xsi:type="dcterms:W3CDTF">2025-08-08T12:36:37Z</dcterms:modified>
</cp:coreProperties>
</file>