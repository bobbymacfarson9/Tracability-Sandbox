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F2BBD09E-24FD-402D-8B3F-33E0BED075B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4" i="8"/>
  <c r="K87" i="8"/>
  <c r="K92" i="8"/>
  <c r="K91" i="8"/>
  <c r="K90" i="8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<sst xmlns="http://schemas.openxmlformats.org/spreadsheetml/2006/main" count="1141" uniqueCount="197">
  <si>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</si>
  <si>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</si>
  <si>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</si>
  <si>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</si>
  <si>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</si>
  <si>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</si>
  <si>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</si>
  <si>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</si>
  <si>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</si>
  <si>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</si>
  <si>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</si>
  <si>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</si>
  <si>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</si>
  <si>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</si>
  <si>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</si>
  <si>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</si>
  <si>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</si>
  <si>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</si>
  <si>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</si>
  <si>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</si>
  <si>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</si>
  <si>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</si>
  <si>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</si>
  <si>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</si>
  <si>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</si>
  <si>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</si>
  <si>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</si>
  <si>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</si>
  <si>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</si>
  <si>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</si>
  <si>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</si>
  <si>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</si>
  <si>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</si>
  <si>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</si>
  <si>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</si>
  <si>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</si>
  <si>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</si>
  <si>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</si>
  <si>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</si>
  <si>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</si>
  <si>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</si>
  <si>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</si>
  <si>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</si>
  <si>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</si>
  <si>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</si>
  <si>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</si>
  <si>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</si>
  <si>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</si>
  <si>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</si>
  <si>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</si>
  <si>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</si>
  <si>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</si>
  <si>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</si>
  <si>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</si>
  <si>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</si>
  <si>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</si>
  <si>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</si>
  <si>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</si>
  <si>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</si>
  <si>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</si>
  <si>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</si>
  <si>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</si>
  <si>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</si>
  <si>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</si>
  <si>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</si>
  <si>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</si>
  <si>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</si>
  <si>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</si>
  <si>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</si>
  <si>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</si>
  <si>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</si>
  <si>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</si>
  <si>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</si>
  <si>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</si>
  <si>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</si>
  <si>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</si>
  <si>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</si>
  <si>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</si>
  <si>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</si>
  <si>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</si>
  <si>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</si>
  <si>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</si>
  <si>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</si>
  <si>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</si>
  <si>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</si>
  <si>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</si>
  <si>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</si>
  <si>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</si>
  <si>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</si>
  <si>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</si>
  <si>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</si>
  <si>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</si>
  <si>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</si>
  <si>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</si>
  <si>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</si>
  <si>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</si>
  <si>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</si>
  <si>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</si>
  <si>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</si>
  <si>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</si>
  <si>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</si>
  <si>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</si>
  <si>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</si>
  <si>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</si>
  <si>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</si>
  <si>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</si>
  <si>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</si>
  <si>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</si>
  <si>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</si>
  <si>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</si>
  <si>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</si>
  <si>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</si>
  <si>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</si>
  <si>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</si>
  <si>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</si>
  <si>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</si>
  <si>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</si>
  <si>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</si>
  <si>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</si>
  <si>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</si>
  <si>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</si>
  <si>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</si>
  <si>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</si>
  <si>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</si>
  <si>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</si>
  <si>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</si>
  <si>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</si>
  <si>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</si>
  <si>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</si>
  <si>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</si>
  <si>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</si>
  <si>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</si>
  <si>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</si>
  <si>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</si>
  <si>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</si>
  <si>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</si>
  <si>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</si>
  <si>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</si>
  <si>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</si>
  <si>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</si>
  <si>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</si>
  <si>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</si>
  <si>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</si>
  <si>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</si>
  <si>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</si>
  <si>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</si>
  <si>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</si>
  <si>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</si>
  <si>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</si>
  <si>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</si>
  <si>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</si>
  <si>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</si>
  <si>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</si>
  <si>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</si>
  <si>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</si>
  <si>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</si>
  <si>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</si>
  <si>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</si>
  <si>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</si>
  <si>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</si>
  <si>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</si>
  <si>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</si>
  <si>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</si>
  <si>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</si>
  <si>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</si>
  <si>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</si>
  <si>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</si>
  <si>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</si>
  <si>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</si>
  <si>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</si>
  <si>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</si>
  <si>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</si>
  <si>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</si>
  <si>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</si>
  <si>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</si>
  <si>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</si>
  <si>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</si>
  <si>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</si>
  <si>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</si>
  <si>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</si>
  <si>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</si>
  <si>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</si>
  <si>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</si>
  <si>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</si>
  <si>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</si>
  <si>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</si>
  <si>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</si>
  <si>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</si>
  <si>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</si>
  <si>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</si>
  <si>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</si>
  <si>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</si>
  <si>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</si>
  <si>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4877932632/4877967963/4878021302</t>
  </si>
  <si>
    <t>Midtown Pharm</t>
  </si>
  <si>
    <t xml:space="preserve">15 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</si>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</sst>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45894</v>
      </c>
      <c r="E1" s="96"/>
      <c r="F1" s="96"/>
      <c r="H1" s="63" t="s">
        <v>143</v>
      </c>
      <c r="I1" s="64">
        <f>D1+42-1</f>
        <v>45935</v>
      </c>
      <c r="L1" s="19" t="s">
        <v>38</v>
      </c>
    </row>
    <row r="2" spans="1:12" ht="15.75" x14ac:dyDescent="0.25">
      <c r="B2" s="41" t="s">
        <v>105</v>
      </c>
      <c r="C2" s="50">
        <v>35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2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13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3</v>
      </c>
      <c r="C10" s="2" t="s">
        <v>9</v>
      </c>
      <c r="D10">
        <f>ROUNDDOWN(E10/24,0)</f>
        <v>0</v>
      </c>
      <c r="E10" s="39">
        <v>7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30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4877943076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11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1</v>
      </c>
      <c r="F17" s="2" t="s">
        <v>30</v>
      </c>
      <c r="H17" s="2" t="s">
        <v>36</v>
      </c>
      <c r="I17" s="16">
        <v>8649</v>
      </c>
    </row>
    <row r="18" spans="2:10" x14ac:dyDescent="0.25">
      <c r="B18" s="39">
        <v>0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0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13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45894</v>
      </c>
      <c r="E34" s="96"/>
      <c r="F34" s="96"/>
      <c r="H34" s="63" t="s">
        <v>143</v>
      </c>
      <c r="I34" s="67">
        <f>I1</f>
        <v>45935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14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17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17</v>
      </c>
      <c r="F42" s="2" t="s">
        <v>22</v>
      </c>
      <c r="H42" s="39">
        <v>25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34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3</v>
      </c>
      <c r="C47" s="2" t="s">
        <v>14</v>
      </c>
      <c r="E47" s="39">
        <f>SUM(E37:E46)</f>
        <v>74</v>
      </c>
      <c r="F47" s="2" t="s">
        <v>35</v>
      </c>
      <c r="H47" s="39">
        <f>SUM(H37:H46)</f>
        <v>114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8795</v>
      </c>
      <c r="H49" s="2" t="s">
        <v>36</v>
      </c>
      <c r="I49" s="16">
        <v>8883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39</v>
      </c>
      <c r="I56" s="2" t="s">
        <v>103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93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4877956251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285</v>
      </c>
      <c r="E70" s="15">
        <f t="shared" ref="E70:E79" si="0">H5+E37+H37</f>
        <v>19</v>
      </c>
      <c r="F70" s="2" t="s">
        <v>19</v>
      </c>
      <c r="H70" s="13">
        <f>E5+H53</f>
        <v>4</v>
      </c>
      <c r="I70" s="2" t="s">
        <v>45</v>
      </c>
      <c r="K70" s="47">
        <f>B10+E9+B30+B42+H57</f>
        <v>13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555</v>
      </c>
      <c r="E71" s="14">
        <f t="shared" si="0"/>
        <v>37</v>
      </c>
      <c r="F71" s="2" t="s">
        <v>20</v>
      </c>
      <c r="H71" s="14">
        <f>E6+E16+E59+H54+E53</f>
        <v>78</v>
      </c>
      <c r="I71" s="2" t="s">
        <v>46</v>
      </c>
      <c r="K71" s="13">
        <f>B11+E10+B31+B43+H58</f>
        <v>55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52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15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840</v>
      </c>
      <c r="E79" s="14">
        <f t="shared" si="0"/>
        <v>105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3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4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416</v>
      </c>
      <c r="H91" s="21">
        <f>H73</f>
        <v>52</v>
      </c>
      <c r="I91" s="2" t="s">
        <v>103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H36" sqref="H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45895</v>
      </c>
      <c r="E1" s="95"/>
      <c r="F1" s="95"/>
      <c r="H1" s="63" t="s">
        <v>143</v>
      </c>
      <c r="I1" s="64">
        <f>Mon!D1+42-1</f>
        <v>45935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9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68</v>
      </c>
      <c r="C21" s="2" t="s">
        <v>35</v>
      </c>
      <c r="E21" s="39">
        <f>SUM(E4:E20)</f>
        <v>41</v>
      </c>
      <c r="F21" s="2" t="s">
        <v>35</v>
      </c>
      <c r="H21" s="39">
        <f>SUM(H4:H20)</f>
        <v>63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4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2</v>
      </c>
      <c r="B27" s="39">
        <v>28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3</v>
      </c>
      <c r="I27" s="2" t="s">
        <v>35</v>
      </c>
      <c r="K27" s="74">
        <v>34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92</v>
      </c>
      <c r="C30" s="2" t="s">
        <v>35</v>
      </c>
      <c r="E30" s="39">
        <f>SUM(E24:E29)</f>
        <v>34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59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4878022342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  <c r="K34" s="1" t="s">
        <v>194</v>
      </c>
    </row>
    <row r="35" spans="2:12" ht="12.4" customHeight="1" x14ac:dyDescent="0.25">
      <c r="B35" s="39">
        <v>12</v>
      </c>
      <c r="C35" s="2" t="s">
        <v>49</v>
      </c>
      <c r="E35" s="39">
        <v>15</v>
      </c>
      <c r="F35" t="s">
        <v>44</v>
      </c>
      <c r="H35" s="42"/>
      <c r="K35" t="s">
        <v>195</v>
      </c>
    </row>
    <row r="36" spans="2:12" ht="12.4" customHeight="1" x14ac:dyDescent="0.25">
      <c r="B36" s="39">
        <v>2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24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6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6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14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35</v>
      </c>
      <c r="I44" s="2" t="s">
        <v>46</v>
      </c>
      <c r="K44" s="13">
        <f>B10+B29+H10+K10+E10+E29+B37</f>
        <v>60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5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38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94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75</v>
      </c>
      <c r="H62" s="21">
        <f>H45</f>
        <v>5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550</v>
      </c>
      <c r="H63" s="21">
        <f>B47</f>
        <v>110</v>
      </c>
      <c r="I63" s="2" t="s">
        <v>50</v>
      </c>
      <c r="K63" s="14">
        <f>A27+D27</f>
        <v>2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304</v>
      </c>
      <c r="H64" s="21">
        <f>H46</f>
        <v>38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J38" sqref="J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45896</v>
      </c>
      <c r="E1" s="95"/>
      <c r="F1" s="95"/>
      <c r="H1" s="63" t="s">
        <v>143</v>
      </c>
      <c r="I1" s="64">
        <f>Mon!D1+49-1</f>
        <v>45942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10</v>
      </c>
      <c r="C4" s="28" t="s">
        <v>1</v>
      </c>
      <c r="E4" s="39">
        <v>0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13</v>
      </c>
      <c r="F5" s="2" t="s">
        <v>42</v>
      </c>
      <c r="H5" s="39">
        <v>7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8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19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50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56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4</v>
      </c>
      <c r="F13" s="2" t="s">
        <v>42</v>
      </c>
      <c r="H13" s="39">
        <v>22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11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27</v>
      </c>
      <c r="F18" s="22" t="s">
        <v>35</v>
      </c>
      <c r="H18" s="39">
        <f>SUM(H12:H17)</f>
        <v>59</v>
      </c>
      <c r="I18" s="22" t="s">
        <v>35</v>
      </c>
      <c r="K18" s="39">
        <v>1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29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1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72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56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31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345</v>
      </c>
      <c r="H60" s="26">
        <f>B45</f>
        <v>23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280</v>
      </c>
      <c r="H62" s="21">
        <f>B46</f>
        <v>56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7" sqref="I2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45897</v>
      </c>
      <c r="E1" s="95"/>
      <c r="F1" s="95"/>
      <c r="G1" s="1"/>
      <c r="H1" s="63" t="s">
        <v>143</v>
      </c>
      <c r="I1" s="64">
        <f>Mon!D1+49-1</f>
        <v>45942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6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3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14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10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48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4</v>
      </c>
      <c r="C12" s="2" t="s">
        <v>44</v>
      </c>
      <c r="F12" s="2"/>
      <c r="H12" s="2" t="s">
        <v>36</v>
      </c>
      <c r="I12" s="16">
        <v>4878046651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24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44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690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45897</v>
      </c>
      <c r="E35" s="95"/>
      <c r="F35" s="95"/>
      <c r="H35" s="63" t="s">
        <v>143</v>
      </c>
      <c r="I35" s="64">
        <f>I1</f>
        <v>45942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4</v>
      </c>
      <c r="F38" s="2" t="s">
        <v>32</v>
      </c>
      <c r="H38" s="39">
        <v>5</v>
      </c>
      <c r="I38" s="2" t="s">
        <v>19</v>
      </c>
      <c r="K38" s="39">
        <v>19</v>
      </c>
      <c r="L38" s="2" t="s">
        <v>19</v>
      </c>
    </row>
    <row r="39" spans="1:12" x14ac:dyDescent="0.25">
      <c r="A39">
        <f>ROUNDDOWN(B39/24,0)</f>
        <v>0</v>
      </c>
      <c r="B39" s="39">
        <v>0</v>
      </c>
      <c r="C39" s="2" t="s">
        <v>42</v>
      </c>
      <c r="D39">
        <f>ROUNDDOWN(E39/24,0)</f>
        <v>0</v>
      </c>
      <c r="E39" s="39">
        <v>15</v>
      </c>
      <c r="F39" s="2" t="s">
        <v>31</v>
      </c>
      <c r="H39" s="39">
        <v>30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26</v>
      </c>
      <c r="F41" s="2" t="s">
        <v>103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9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34</v>
      </c>
      <c r="I43" s="2" t="s">
        <v>22</v>
      </c>
      <c r="K43" s="39">
        <v>38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53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4878046868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53</v>
      </c>
      <c r="I47" s="16" t="s">
        <v>28</v>
      </c>
      <c r="K47" s="39">
        <v>75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123</v>
      </c>
      <c r="I48" s="2" t="s">
        <v>35</v>
      </c>
      <c r="K48" s="39">
        <f>SUM(K38:K47)</f>
        <v>155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36</v>
      </c>
      <c r="F50" s="2" t="s">
        <v>29</v>
      </c>
      <c r="H50" s="2" t="s">
        <v>36</v>
      </c>
      <c r="I50" s="16">
        <v>591</v>
      </c>
      <c r="K50" s="2" t="s">
        <v>36</v>
      </c>
      <c r="L50" s="16">
        <v>808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36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61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8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405</v>
      </c>
      <c r="E72" s="36">
        <f t="shared" ref="E72:E81" si="0">K4+H38+K38</f>
        <v>27</v>
      </c>
      <c r="F72" s="2" t="s">
        <v>19</v>
      </c>
      <c r="H72" s="13">
        <f>H4+E38</f>
        <v>5</v>
      </c>
      <c r="I72" s="2" t="s">
        <v>45</v>
      </c>
      <c r="K72" s="47">
        <f>B9+E8+H8+B43+E42</f>
        <v>38</v>
      </c>
      <c r="L72" s="2" t="s">
        <v>9</v>
      </c>
    </row>
    <row r="73" spans="2:12" x14ac:dyDescent="0.25">
      <c r="B73" s="26">
        <f>B5+E5+B39</f>
        <v>12</v>
      </c>
      <c r="C73" s="2" t="s">
        <v>42</v>
      </c>
      <c r="D73" s="35">
        <f t="shared" ref="D73:D79" si="1">E73*15</f>
        <v>885</v>
      </c>
      <c r="E73" s="37">
        <f t="shared" si="0"/>
        <v>59</v>
      </c>
      <c r="F73" s="2" t="s">
        <v>20</v>
      </c>
      <c r="H73" s="47">
        <f>H5+H15+E50+E39+E57</f>
        <v>81</v>
      </c>
      <c r="I73" s="2" t="s">
        <v>46</v>
      </c>
      <c r="K73" s="47">
        <f>B10+E9+H9+B44+E43</f>
        <v>44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40</v>
      </c>
      <c r="I75" s="2" t="s">
        <v>102</v>
      </c>
      <c r="K75" s="47">
        <f>B28+K54</f>
        <v>12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8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780</v>
      </c>
      <c r="E77" s="37">
        <f t="shared" si="0"/>
        <v>78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1216</v>
      </c>
      <c r="E81" s="37">
        <f t="shared" si="0"/>
        <v>152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3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320</v>
      </c>
      <c r="H93" s="21">
        <f>H75</f>
        <v>40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45898</v>
      </c>
      <c r="E1" s="95"/>
      <c r="F1" s="95"/>
      <c r="H1" s="63" t="s">
        <v>143</v>
      </c>
      <c r="I1" s="64">
        <f>Mon!D1+49-1</f>
        <v>45942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3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92</v>
      </c>
      <c r="C21" s="22" t="s">
        <v>35</v>
      </c>
      <c r="E21" s="39">
        <f>SUM(E4:E20)</f>
        <v>38</v>
      </c>
      <c r="F21" s="22" t="s">
        <v>35</v>
      </c>
      <c r="H21" s="39">
        <f>SUM(H4:H20)</f>
        <v>49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196</v>
      </c>
    </row>
    <row r="27" spans="1:15" ht="12.75" customHeight="1" thickBot="1" x14ac:dyDescent="0.3">
      <c r="A27">
        <f>ROUNDDOWN(B27/13,0)</f>
        <v>0</v>
      </c>
      <c r="B27" s="39">
        <v>4</v>
      </c>
      <c r="C27" s="2" t="s">
        <v>103</v>
      </c>
      <c r="D27">
        <f>ROUNDDOWN(E27/13,0)</f>
        <v>1</v>
      </c>
      <c r="E27" s="39">
        <v>15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5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13</v>
      </c>
      <c r="C30" s="22" t="s">
        <v>35</v>
      </c>
      <c r="E30" s="39">
        <f>SUM(E24:E29)</f>
        <v>41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60</v>
      </c>
      <c r="L31" s="87" t="s">
        <v>44</v>
      </c>
    </row>
    <row r="32" spans="1:15" ht="12.75" customHeight="1" x14ac:dyDescent="0.25">
      <c r="B32" s="2" t="s">
        <v>36</v>
      </c>
      <c r="C32" s="16">
        <v>4878071129</v>
      </c>
      <c r="E32" s="2" t="s">
        <v>36</v>
      </c>
      <c r="F32" s="13">
        <v>4878089448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0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18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30</v>
      </c>
      <c r="L44" s="2" t="s">
        <v>9</v>
      </c>
    </row>
    <row r="45" spans="2:15" x14ac:dyDescent="0.25">
      <c r="B45" s="26">
        <f>B5+E5+K5+H5+N5</f>
        <v>35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10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118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72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100</v>
      </c>
      <c r="H61" s="29">
        <f>K46</f>
        <v>10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590</v>
      </c>
      <c r="H64" s="21">
        <f>B48</f>
        <v>118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152</v>
      </c>
      <c r="H65" s="21">
        <f>H47</f>
        <v>19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22" sqref="C2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36</v>
      </c>
      <c r="D1" s="46"/>
      <c r="E1" s="46"/>
      <c r="F1" s="63" t="s">
        <v>143</v>
      </c>
      <c r="G1" s="64">
        <f>Mon!D1+49-1</f>
        <v>45942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552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35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1680</v>
      </c>
      <c r="P3" s="53">
        <f>O3/125</f>
        <v>13.44</v>
      </c>
      <c r="R3" s="51" t="s">
        <v>117</v>
      </c>
      <c r="S3" s="55">
        <f>12*(D8+J4)</f>
        <v>1728</v>
      </c>
      <c r="T3" s="55">
        <f>15*(A4+D4+G4+J7+J5)+20*D12</f>
        <v>8730</v>
      </c>
      <c r="U3" s="55">
        <f>15*(A5+A9+D5+D9+D10+D11+G5+J6+J8+J10)+20*(A8+D13+G7)</f>
        <v>38585</v>
      </c>
      <c r="V3" s="55">
        <f>15*(A6+J11)</f>
        <v>2415</v>
      </c>
      <c r="W3" s="55">
        <f>15*D6</f>
        <v>0</v>
      </c>
      <c r="X3" s="55">
        <f>15*(A7+D7+G6+J9)</f>
        <v>2325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46</v>
      </c>
      <c r="E4" s="2" t="s">
        <v>19</v>
      </c>
      <c r="F4" s="7"/>
      <c r="G4" s="31">
        <f>Mon!H70+Tues!H43+Wed!H42+Thurs!H72+Fri!H44+NFLD!G43</f>
        <v>16</v>
      </c>
      <c r="H4" s="2" t="s">
        <v>45</v>
      </c>
      <c r="I4" s="7"/>
      <c r="J4" s="31">
        <f>Mon!K70+Tues!K43+Wed!K42+Thurs!K72+Fri!K44+NFLD!J43</f>
        <v>140</v>
      </c>
      <c r="K4" s="2" t="s">
        <v>9</v>
      </c>
      <c r="M4" s="42"/>
      <c r="N4" s="52" t="s">
        <v>7</v>
      </c>
      <c r="O4" s="53">
        <f>J5*10</f>
        <v>3850</v>
      </c>
      <c r="P4" s="53">
        <f>O4/130</f>
        <v>29.615384615384617</v>
      </c>
      <c r="R4" s="51" t="s">
        <v>118</v>
      </c>
      <c r="S4" s="55">
        <f t="shared" ref="S4:X4" si="0">S3/15</f>
        <v>115.2</v>
      </c>
      <c r="T4" s="55">
        <f t="shared" si="0"/>
        <v>582</v>
      </c>
      <c r="U4" s="55">
        <f t="shared" si="0"/>
        <v>2572.3333333333335</v>
      </c>
      <c r="V4" s="55">
        <f t="shared" si="0"/>
        <v>161</v>
      </c>
      <c r="W4" s="55">
        <f t="shared" si="0"/>
        <v>0</v>
      </c>
      <c r="X4" s="55">
        <f t="shared" si="0"/>
        <v>155</v>
      </c>
    </row>
    <row r="5" spans="1:24" ht="12.75" customHeight="1" x14ac:dyDescent="0.25">
      <c r="A5" s="26">
        <f>Mon!B71+Tues!B44+Wed!B43+Thurs!B73+Fri!B45+NFLD!A44</f>
        <v>133</v>
      </c>
      <c r="B5" s="2" t="s">
        <v>42</v>
      </c>
      <c r="C5" s="24"/>
      <c r="D5" s="26">
        <f>Mon!E71+Tues!E44+Wed!E43+Thurs!E73+Fri!E45+NFLD!D44</f>
        <v>96</v>
      </c>
      <c r="E5" s="2" t="s">
        <v>20</v>
      </c>
      <c r="G5" s="26">
        <f>Mon!H71+Tues!H44+Wed!H43+Thurs!H73+Fri!H45+NFLD!G44</f>
        <v>206</v>
      </c>
      <c r="H5" s="2" t="s">
        <v>46</v>
      </c>
      <c r="J5" s="26">
        <f>Mon!K71+Tues!K44+Wed!K43+Thurs!K73+Fri!K45+NFLD!J44</f>
        <v>385</v>
      </c>
      <c r="K5" s="2" t="s">
        <v>7</v>
      </c>
      <c r="M5" s="42"/>
      <c r="N5" s="52" t="s">
        <v>8</v>
      </c>
      <c r="O5" s="53">
        <f>J6*10</f>
        <v>200</v>
      </c>
      <c r="P5" s="53">
        <f t="shared" ref="P5:P25" si="1">O5/130</f>
        <v>1.5384615384615385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16</v>
      </c>
      <c r="H6" s="2" t="s">
        <v>30</v>
      </c>
      <c r="J6" s="26">
        <f>Mon!K72+Tues!K45+Wed!K44+Thurs!K74+Fri!K46+NFLD!J45</f>
        <v>20</v>
      </c>
      <c r="K6" s="2" t="s">
        <v>8</v>
      </c>
      <c r="M6" s="42"/>
      <c r="N6" s="52" t="s">
        <v>51</v>
      </c>
      <c r="O6" s="53">
        <f>J7*15</f>
        <v>1605</v>
      </c>
      <c r="P6" s="53">
        <f>O6/150</f>
        <v>10.7</v>
      </c>
    </row>
    <row r="7" spans="1:24" ht="12.75" customHeight="1" x14ac:dyDescent="0.25">
      <c r="A7" s="26">
        <f>Mon!B73+Tues!B46+Wed!B45+Thurs!B75+Fri!B47+NFLD!A46</f>
        <v>35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149</v>
      </c>
      <c r="H7" s="2" t="s">
        <v>102</v>
      </c>
      <c r="J7" s="26">
        <f>Mon!K73+Tues!K46+Wed!K45+Thurs!K75+Fri!K47+NFLD!J46</f>
        <v>107</v>
      </c>
      <c r="K7" s="2" t="s">
        <v>51</v>
      </c>
      <c r="M7" s="42"/>
      <c r="N7" s="52" t="s">
        <v>44</v>
      </c>
      <c r="O7" s="53">
        <f t="shared" ref="O7" si="2">J8*15</f>
        <v>11445</v>
      </c>
      <c r="P7" s="53">
        <f t="shared" ref="P7:P8" si="3">O7/150</f>
        <v>76.3</v>
      </c>
      <c r="R7" s="12" t="s">
        <v>105</v>
      </c>
      <c r="S7" s="60">
        <f>Mon!C2</f>
        <v>35</v>
      </c>
    </row>
    <row r="8" spans="1:24" ht="12.75" customHeight="1" x14ac:dyDescent="0.25">
      <c r="A8" s="26">
        <f>Mon!B74+Tues!B47+Wed!B46+Thurs!B76+Fri!B48+NFLD!A47</f>
        <v>354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763</v>
      </c>
      <c r="K8" s="2" t="s">
        <v>44</v>
      </c>
      <c r="M8" s="42"/>
      <c r="N8" s="52" t="s">
        <v>2</v>
      </c>
      <c r="O8" s="53">
        <f>J9*15</f>
        <v>1440</v>
      </c>
      <c r="P8" s="53">
        <f t="shared" si="3"/>
        <v>9.6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125</v>
      </c>
      <c r="E9" s="2" t="s">
        <v>22</v>
      </c>
      <c r="J9" s="26">
        <f>Mon!K75+Tues!K48+Wed!K47+Thurs!K77+Fri!K49+NFLD!J48</f>
        <v>96</v>
      </c>
      <c r="K9" s="2" t="s">
        <v>2</v>
      </c>
      <c r="M9" s="42"/>
      <c r="N9" s="52" t="s">
        <v>121</v>
      </c>
      <c r="O9" s="53">
        <f>7*(J10+J11)+8*(D12+D13+G7)+5*A9</f>
        <v>5825</v>
      </c>
      <c r="P9" s="53">
        <f>O9/140</f>
        <v>41.607142857142854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213</v>
      </c>
      <c r="K10" s="2" t="s">
        <v>1</v>
      </c>
      <c r="M10" s="42"/>
      <c r="N10" s="52" t="s">
        <v>41</v>
      </c>
      <c r="O10" s="53">
        <f>A4*15</f>
        <v>420</v>
      </c>
      <c r="P10" s="5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153</v>
      </c>
      <c r="K11" s="2" t="s">
        <v>0</v>
      </c>
      <c r="M11" s="42"/>
      <c r="N11" s="52" t="s">
        <v>42</v>
      </c>
      <c r="O11" s="53">
        <f t="shared" ref="O11:O12" si="4">A5*15</f>
        <v>1995</v>
      </c>
      <c r="P11" s="53">
        <f t="shared" ref="P11:P13" si="5">O11/250</f>
        <v>7.98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257</v>
      </c>
      <c r="E13" s="2" t="s">
        <v>28</v>
      </c>
      <c r="M13" s="42"/>
      <c r="N13" s="52" t="s">
        <v>5</v>
      </c>
      <c r="O13" s="53">
        <f>A7*15</f>
        <v>525</v>
      </c>
      <c r="P13" s="53">
        <f t="shared" si="5"/>
        <v>2.1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240</v>
      </c>
      <c r="P16" s="53">
        <f t="shared" ref="P16:P18" si="6">O16/250</f>
        <v>0.96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3090</v>
      </c>
      <c r="P17" s="53">
        <f t="shared" si="6"/>
        <v>12.36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240</v>
      </c>
      <c r="P18" s="53">
        <f t="shared" si="6"/>
        <v>0.96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20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1192</v>
      </c>
      <c r="P19" s="53">
        <f>O19/50</f>
        <v>23.84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690</v>
      </c>
      <c r="P20" s="53">
        <f>O20/150</f>
        <v>4.5999999999999996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16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1440</v>
      </c>
      <c r="P21" s="53">
        <f t="shared" ref="P21:P23" si="9">O21/150</f>
        <v>9.6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354</v>
      </c>
      <c r="E22" s="2" t="s">
        <v>50</v>
      </c>
      <c r="F22" s="24"/>
      <c r="G22" s="14">
        <f>Mon!K90+Tues!K63+Thurs!K92+Fri!K64</f>
        <v>10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149</v>
      </c>
      <c r="E23" s="2" t="s">
        <v>103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1250</v>
      </c>
      <c r="P25" s="53">
        <f t="shared" si="1"/>
        <v>9.615384615384615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2056</v>
      </c>
      <c r="P29" s="53">
        <f>O29/50</f>
        <v>41.12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486</v>
      </c>
      <c r="P32" s="51">
        <f>O32/25-24*(G17+G20+G23)</f>
        <v>-76.56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1496</v>
      </c>
      <c r="P33" s="51">
        <f>O33/25-24*(G18+G21+G24)-20*G19</f>
        <v>-232.16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269</v>
      </c>
      <c r="P34" s="51">
        <f t="shared" ref="P34:P36" si="10">O34/25</f>
        <v>10.76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161</v>
      </c>
      <c r="P35" s="51">
        <f t="shared" si="10"/>
        <v>6.44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155</v>
      </c>
      <c r="P36" s="51">
        <f t="shared" si="10"/>
        <v>6.2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257</v>
      </c>
      <c r="P37" s="51">
        <f>O37/20</f>
        <v>12.85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19</v>
      </c>
      <c r="P38" s="51">
        <f>O38/20-13*G22</f>
        <v>-129.05000000000001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2025-08-28T11:39:52Z</cp:lastPrinted>
  <dcterms:created xsi:type="dcterms:W3CDTF">2014-06-06T13:58:10Z</dcterms:created>
  <dcterms:modified xsi:type="dcterms:W3CDTF">2025-08-28T16:42:43Z</dcterms:modified>
</cp:coreProperties>
</file>