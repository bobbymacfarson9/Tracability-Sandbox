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d6fd4998059ff0f/Eggroom Shipping tool/Reference_Data/"/>
    </mc:Choice>
  </mc:AlternateContent>
  <xr:revisionPtr revIDLastSave="515" documentId="14_{66A500C5-7D28-4146-9F51-DF9899979DD8}" xr6:coauthVersionLast="47" xr6:coauthVersionMax="47" xr10:uidLastSave="{3A6068BF-6C0B-4221-94CD-090082FE622B}"/>
  <bookViews>
    <workbookView xWindow="-19290" yWindow="-10870" windowWidth="19380" windowHeight="20970" activeTab="1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" i="9" l="1"/>
  <c r="C48" i="9"/>
  <c r="C47" i="9"/>
  <c r="C45" i="9"/>
  <c r="C44" i="9"/>
  <c r="B32" i="10"/>
  <c r="K47" i="10" l="1"/>
  <c r="K46" i="10"/>
  <c r="C1" i="11" l="1"/>
  <c r="F1" i="9"/>
  <c r="F1" i="8"/>
  <c r="F35" i="8" s="1"/>
  <c r="D1" i="10"/>
  <c r="F1" i="7"/>
  <c r="F1" i="4"/>
  <c r="I1" i="10" s="1"/>
  <c r="N49" i="7"/>
  <c r="N73" i="4"/>
  <c r="N75" i="4"/>
  <c r="N76" i="4"/>
  <c r="N55" i="4"/>
  <c r="N48" i="7"/>
  <c r="N47" i="7"/>
  <c r="N75" i="8"/>
  <c r="N56" i="8"/>
  <c r="N77" i="8"/>
  <c r="N78" i="8"/>
  <c r="G52" i="7"/>
  <c r="C39" i="7"/>
  <c r="B60" i="10"/>
  <c r="B61" i="10"/>
  <c r="B46" i="10"/>
  <c r="B45" i="10"/>
  <c r="B43" i="10"/>
  <c r="B42" i="10"/>
  <c r="K48" i="10"/>
  <c r="K49" i="10"/>
  <c r="K45" i="10"/>
  <c r="K43" i="10"/>
  <c r="K42" i="10"/>
  <c r="N31" i="7"/>
  <c r="N32" i="7"/>
  <c r="K32" i="4"/>
  <c r="K31" i="4"/>
  <c r="K30" i="4"/>
  <c r="L1" i="7" l="1"/>
  <c r="G1" i="11"/>
  <c r="L1" i="9"/>
  <c r="L1" i="4"/>
  <c r="N44" i="9"/>
  <c r="N45" i="9"/>
  <c r="N73" i="8"/>
  <c r="N72" i="8"/>
  <c r="N43" i="7"/>
  <c r="N70" i="4"/>
  <c r="F29" i="9"/>
  <c r="F27" i="9"/>
  <c r="F25" i="9"/>
  <c r="F24" i="9"/>
  <c r="B29" i="9"/>
  <c r="B27" i="9"/>
  <c r="B25" i="9"/>
  <c r="B24" i="9"/>
  <c r="G40" i="9"/>
  <c r="J11" i="9"/>
  <c r="J10" i="9"/>
  <c r="J8" i="9"/>
  <c r="J5" i="9"/>
  <c r="J4" i="9"/>
  <c r="F11" i="9"/>
  <c r="F10" i="9"/>
  <c r="F8" i="9"/>
  <c r="F5" i="9"/>
  <c r="F4" i="9"/>
  <c r="B11" i="9"/>
  <c r="B10" i="9"/>
  <c r="B8" i="9"/>
  <c r="B5" i="9"/>
  <c r="B4" i="9"/>
  <c r="F43" i="8"/>
  <c r="F41" i="8"/>
  <c r="F39" i="8"/>
  <c r="F38" i="8"/>
  <c r="B45" i="8"/>
  <c r="B44" i="8"/>
  <c r="B42" i="8"/>
  <c r="B39" i="8"/>
  <c r="B38" i="8"/>
  <c r="J9" i="8"/>
  <c r="J7" i="8"/>
  <c r="J5" i="8"/>
  <c r="J4" i="8"/>
  <c r="B11" i="8"/>
  <c r="B10" i="8"/>
  <c r="B8" i="8"/>
  <c r="B5" i="8"/>
  <c r="B4" i="8"/>
  <c r="B29" i="7"/>
  <c r="B27" i="7"/>
  <c r="B25" i="7"/>
  <c r="B24" i="7"/>
  <c r="F29" i="7"/>
  <c r="F27" i="7"/>
  <c r="F25" i="7"/>
  <c r="F24" i="7"/>
  <c r="K21" i="7"/>
  <c r="J11" i="7"/>
  <c r="J10" i="7"/>
  <c r="J8" i="7"/>
  <c r="J5" i="7"/>
  <c r="J4" i="7"/>
  <c r="F11" i="7"/>
  <c r="F10" i="7"/>
  <c r="F8" i="7"/>
  <c r="F5" i="7"/>
  <c r="F4" i="7"/>
  <c r="B11" i="7"/>
  <c r="B10" i="7"/>
  <c r="B8" i="7"/>
  <c r="B5" i="7"/>
  <c r="B4" i="7"/>
  <c r="F10" i="4"/>
  <c r="B41" i="4"/>
  <c r="J58" i="4"/>
  <c r="J56" i="4"/>
  <c r="J54" i="4"/>
  <c r="J53" i="4"/>
  <c r="F5" i="4"/>
  <c r="F8" i="4"/>
  <c r="B9" i="4"/>
  <c r="B44" i="4"/>
  <c r="B43" i="4"/>
  <c r="B37" i="4"/>
  <c r="B5" i="4"/>
  <c r="B38" i="4"/>
  <c r="F6" i="4"/>
  <c r="B12" i="4"/>
  <c r="B11" i="4"/>
  <c r="B6" i="4"/>
  <c r="N31" i="9"/>
  <c r="K73" i="8"/>
  <c r="N48" i="8"/>
  <c r="S7" i="12"/>
  <c r="N59" i="9" l="1"/>
  <c r="N88" i="4"/>
  <c r="N90" i="4"/>
  <c r="N64" i="9"/>
  <c r="N91" i="8"/>
  <c r="N66" i="9"/>
  <c r="N63" i="9"/>
  <c r="N62" i="9"/>
  <c r="N87" i="8"/>
  <c r="N94" i="8"/>
  <c r="N92" i="8"/>
  <c r="N90" i="8"/>
  <c r="N61" i="7"/>
  <c r="N85" i="4"/>
  <c r="N89" i="4"/>
  <c r="N62" i="7"/>
  <c r="N63" i="7"/>
  <c r="N91" i="4"/>
  <c r="N87" i="4"/>
  <c r="N86" i="4"/>
  <c r="N92" i="4"/>
  <c r="N60" i="9"/>
  <c r="N61" i="9"/>
  <c r="N65" i="9"/>
  <c r="N93" i="8"/>
  <c r="N88" i="8"/>
  <c r="N89" i="8"/>
  <c r="N58" i="7"/>
  <c r="N59" i="7"/>
  <c r="N60" i="7"/>
  <c r="N65" i="7"/>
  <c r="N64" i="7"/>
  <c r="L34" i="4"/>
  <c r="L1" i="8"/>
  <c r="L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F60" i="11" s="1"/>
  <c r="G61" i="11"/>
  <c r="G62" i="11"/>
  <c r="F62" i="11" s="1"/>
  <c r="G63" i="11"/>
  <c r="F63" i="11" s="1"/>
  <c r="G64" i="11"/>
  <c r="F64" i="11" s="1"/>
  <c r="C52" i="11"/>
  <c r="C51" i="11"/>
  <c r="C50" i="11"/>
  <c r="C49" i="11"/>
  <c r="C48" i="11"/>
  <c r="C47" i="11"/>
  <c r="C46" i="11"/>
  <c r="F61" i="11"/>
  <c r="C45" i="11"/>
  <c r="C44" i="11"/>
  <c r="C43" i="11"/>
  <c r="F34" i="4"/>
  <c r="N51" i="9"/>
  <c r="N50" i="9"/>
  <c r="N49" i="9"/>
  <c r="N48" i="9"/>
  <c r="N46" i="9"/>
  <c r="K61" i="9" s="1"/>
  <c r="J61" i="9" s="1"/>
  <c r="K47" i="9"/>
  <c r="K65" i="9" s="1"/>
  <c r="J65" i="9" s="1"/>
  <c r="K46" i="9"/>
  <c r="K63" i="9" s="1"/>
  <c r="J63" i="9" s="1"/>
  <c r="K45" i="9"/>
  <c r="K44" i="9"/>
  <c r="C63" i="9"/>
  <c r="C65" i="9"/>
  <c r="C60" i="9"/>
  <c r="C61" i="9"/>
  <c r="C62" i="9"/>
  <c r="C64" i="9"/>
  <c r="C59" i="9"/>
  <c r="K60" i="9"/>
  <c r="J60" i="9" s="1"/>
  <c r="K64" i="9"/>
  <c r="J64" i="9" s="1"/>
  <c r="K62" i="9"/>
  <c r="J62" i="9" s="1"/>
  <c r="C46" i="9"/>
  <c r="K59" i="9" s="1"/>
  <c r="J59" i="9" s="1"/>
  <c r="H63" i="10"/>
  <c r="G63" i="10" s="1"/>
  <c r="K75" i="8"/>
  <c r="K93" i="8" s="1"/>
  <c r="J93" i="8" s="1"/>
  <c r="K46" i="7"/>
  <c r="K64" i="7" s="1"/>
  <c r="J64" i="7" s="1"/>
  <c r="K73" i="4"/>
  <c r="K91" i="4" s="1"/>
  <c r="J91" i="4" s="1"/>
  <c r="H61" i="10"/>
  <c r="G61" i="10" s="1"/>
  <c r="E35" i="10"/>
  <c r="N74" i="4"/>
  <c r="C70" i="4"/>
  <c r="N74" i="8"/>
  <c r="K89" i="8" s="1"/>
  <c r="J89" i="8" s="1"/>
  <c r="N76" i="8"/>
  <c r="C91" i="8"/>
  <c r="C90" i="8"/>
  <c r="C93" i="8"/>
  <c r="C88" i="8"/>
  <c r="C89" i="8"/>
  <c r="C92" i="8"/>
  <c r="C87" i="8"/>
  <c r="K74" i="8"/>
  <c r="K91" i="8" s="1"/>
  <c r="J91" i="8" s="1"/>
  <c r="K72" i="8"/>
  <c r="G81" i="8"/>
  <c r="F81" i="8" s="1"/>
  <c r="G80" i="8"/>
  <c r="F80" i="8" s="1"/>
  <c r="G79" i="8"/>
  <c r="F79" i="8" s="1"/>
  <c r="G78" i="8"/>
  <c r="F78" i="8" s="1"/>
  <c r="G77" i="8"/>
  <c r="F77" i="8" s="1"/>
  <c r="G76" i="8"/>
  <c r="F76" i="8" s="1"/>
  <c r="G75" i="8"/>
  <c r="F75" i="8" s="1"/>
  <c r="G74" i="8"/>
  <c r="F74" i="8" s="1"/>
  <c r="G73" i="8"/>
  <c r="F73" i="8" s="1"/>
  <c r="G72" i="8"/>
  <c r="C77" i="8"/>
  <c r="K88" i="8" s="1"/>
  <c r="J88" i="8" s="1"/>
  <c r="C76" i="8"/>
  <c r="K92" i="8" s="1"/>
  <c r="J92" i="8" s="1"/>
  <c r="C75" i="8"/>
  <c r="K90" i="8" s="1"/>
  <c r="J90" i="8" s="1"/>
  <c r="C74" i="8"/>
  <c r="K87" i="8" s="1"/>
  <c r="J87" i="8" s="1"/>
  <c r="C73" i="8"/>
  <c r="C72" i="8"/>
  <c r="H58" i="10"/>
  <c r="G58" i="10" s="1"/>
  <c r="H59" i="10"/>
  <c r="G59" i="10" s="1"/>
  <c r="H57" i="10"/>
  <c r="G57" i="10" s="1"/>
  <c r="H62" i="10"/>
  <c r="G62" i="10" s="1"/>
  <c r="H60" i="10"/>
  <c r="G60" i="10" s="1"/>
  <c r="F53" i="9"/>
  <c r="F52" i="9"/>
  <c r="F51" i="9"/>
  <c r="F50" i="9"/>
  <c r="F49" i="9"/>
  <c r="F48" i="9"/>
  <c r="F47" i="9"/>
  <c r="F46" i="9"/>
  <c r="F45" i="9"/>
  <c r="F44" i="9"/>
  <c r="D51" i="10"/>
  <c r="D50" i="10"/>
  <c r="D49" i="10"/>
  <c r="D48" i="10"/>
  <c r="D47" i="10"/>
  <c r="D46" i="10"/>
  <c r="D45" i="10"/>
  <c r="D44" i="10"/>
  <c r="D43" i="10"/>
  <c r="D42" i="10"/>
  <c r="F47" i="7"/>
  <c r="F48" i="7"/>
  <c r="F43" i="7"/>
  <c r="F52" i="7"/>
  <c r="F51" i="7"/>
  <c r="F50" i="7"/>
  <c r="F49" i="7"/>
  <c r="F46" i="7"/>
  <c r="F45" i="7"/>
  <c r="F44" i="7"/>
  <c r="C48" i="7"/>
  <c r="K59" i="7" s="1"/>
  <c r="J59" i="7" s="1"/>
  <c r="N45" i="7"/>
  <c r="K60" i="7" s="1"/>
  <c r="J60" i="7" s="1"/>
  <c r="N44" i="7"/>
  <c r="K45" i="7"/>
  <c r="K62" i="7" s="1"/>
  <c r="J62" i="7" s="1"/>
  <c r="K44" i="7"/>
  <c r="K43" i="7"/>
  <c r="C62" i="7"/>
  <c r="C59" i="7"/>
  <c r="C60" i="7"/>
  <c r="C61" i="7"/>
  <c r="C63" i="7"/>
  <c r="C64" i="7"/>
  <c r="C58" i="7"/>
  <c r="C75" i="4"/>
  <c r="K86" i="4" s="1"/>
  <c r="J86" i="4" s="1"/>
  <c r="C47" i="7"/>
  <c r="K63" i="7" s="1"/>
  <c r="J63" i="7" s="1"/>
  <c r="C44" i="7"/>
  <c r="C45" i="7"/>
  <c r="K58" i="7" s="1"/>
  <c r="J58" i="7" s="1"/>
  <c r="C46" i="7"/>
  <c r="K61" i="7" s="1"/>
  <c r="J61" i="7" s="1"/>
  <c r="C43" i="7"/>
  <c r="N77" i="4"/>
  <c r="N72" i="4"/>
  <c r="N71" i="4"/>
  <c r="K59" i="4"/>
  <c r="K72" i="4"/>
  <c r="K89" i="4" s="1"/>
  <c r="J89" i="4" s="1"/>
  <c r="K71" i="4"/>
  <c r="K70" i="4"/>
  <c r="G75" i="4"/>
  <c r="F75" i="4" s="1"/>
  <c r="G71" i="4"/>
  <c r="F71" i="4" s="1"/>
  <c r="G72" i="4"/>
  <c r="F72" i="4" s="1"/>
  <c r="G73" i="4"/>
  <c r="F73" i="4" s="1"/>
  <c r="G74" i="4"/>
  <c r="F74" i="4" s="1"/>
  <c r="G76" i="4"/>
  <c r="F76" i="4" s="1"/>
  <c r="G77" i="4"/>
  <c r="F77" i="4" s="1"/>
  <c r="G78" i="4"/>
  <c r="F78" i="4" s="1"/>
  <c r="G79" i="4"/>
  <c r="F79" i="4" s="1"/>
  <c r="G70" i="4"/>
  <c r="F70" i="4" s="1"/>
  <c r="C89" i="4"/>
  <c r="C86" i="4"/>
  <c r="C87" i="4"/>
  <c r="C88" i="4"/>
  <c r="C90" i="4"/>
  <c r="C91" i="4"/>
  <c r="C85" i="4"/>
  <c r="C73" i="4"/>
  <c r="K88" i="4" s="1"/>
  <c r="J88" i="4" s="1"/>
  <c r="C74" i="4"/>
  <c r="K90" i="4" s="1"/>
  <c r="J90" i="4" s="1"/>
  <c r="C71" i="4"/>
  <c r="C72" i="4"/>
  <c r="K85" i="4" s="1"/>
  <c r="J85" i="4" s="1"/>
  <c r="K38" i="10"/>
  <c r="K21" i="10"/>
  <c r="K27" i="10"/>
  <c r="K33" i="10"/>
  <c r="K12" i="10"/>
  <c r="H27" i="10"/>
  <c r="H18" i="10"/>
  <c r="H8" i="10"/>
  <c r="E29" i="10"/>
  <c r="E18" i="10"/>
  <c r="B27" i="10"/>
  <c r="E9" i="10"/>
  <c r="Q13" i="9"/>
  <c r="G21" i="9"/>
  <c r="G30" i="9"/>
  <c r="C38" i="9"/>
  <c r="K27" i="9"/>
  <c r="K21" i="9"/>
  <c r="C21" i="9"/>
  <c r="K37" i="9"/>
  <c r="N13" i="9"/>
  <c r="C30" i="9"/>
  <c r="N14" i="8"/>
  <c r="G11" i="8"/>
  <c r="C21" i="8"/>
  <c r="K18" i="8"/>
  <c r="K10" i="8"/>
  <c r="G60" i="8"/>
  <c r="G44" i="8"/>
  <c r="K48" i="8"/>
  <c r="G53" i="8"/>
  <c r="G30" i="7"/>
  <c r="N13" i="7"/>
  <c r="K27" i="7"/>
  <c r="G21" i="7"/>
  <c r="G11" i="4"/>
  <c r="C30" i="7"/>
  <c r="G37" i="7"/>
  <c r="C21" i="7"/>
  <c r="K15" i="4"/>
  <c r="G19" i="4"/>
  <c r="C33" i="4"/>
  <c r="C22" i="4"/>
  <c r="K47" i="4"/>
  <c r="G62" i="4"/>
  <c r="G56" i="4"/>
  <c r="G47" i="4"/>
  <c r="C54" i="4"/>
  <c r="A4" i="12" l="1"/>
  <c r="F72" i="8"/>
  <c r="D4" i="12"/>
  <c r="O20" i="12" s="1"/>
  <c r="P20" i="12" s="1"/>
  <c r="K87" i="4"/>
  <c r="J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<sst xmlns="http://schemas.openxmlformats.org/spreadsheetml/2006/main" count="1228" uniqueCount="192">
  <si>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</si>
  <si>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</si>
  <si>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</si>
  <si>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</si>
  <si>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</si>
  <si>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</si>
  <si>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</si>
  <si>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</si>
  <si>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</si>
  <si>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</si>
  <si>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</si>
  <si>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</si>
  <si>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</si>
  <si>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</si>
  <si>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</si>
  <si>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</si>
  <si>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</si>
  <si>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</si>
  <si>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</si>
  <si>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</si>
  <si>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</si>
  <si>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</si>
  <si>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</si>
  <si>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</si>
  <si>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</si>
  <si>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</si>
  <si>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</si>
  <si>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</si>
  <si>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</si>
  <si>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</si>
  <si>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</si>
  <si>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</si>
  <si>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</si>
  <si>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</si>
  <si>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</si>
  <si>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</si>
  <si>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</si>
  <si>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</si>
  <si>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</si>
  <si>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</si>
  <si>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</si>
  <si>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</si>
  <si>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</si>
  <si>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</si>
  <si>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</si>
  <si>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</si>
  <si>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</si>
  <si>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</si>
  <si>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</si>
  <si>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</si>
  <si>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</si>
  <si>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</si>
  <si>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</si>
  <si>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</si>
  <si>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</si>
  <si>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</si>
  <si>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</si>
  <si>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</si>
  <si>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</si>
  <si>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</si>
  <si>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</si>
  <si>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</si>
  <si>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</si>
  <si>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</si>
  <si>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</si>
  <si>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</si>
  <si>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</si>
  <si>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</si>
  <si>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</si>
  <si>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</si>
  <si>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</si>
  <si>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</si>
  <si>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</si>
  <si>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</si>
  <si>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</si>
  <si>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</si>
  <si>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</si>
  <si>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</si>
  <si>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</si>
  <si>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</si>
  <si>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</si>
  <si>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</si>
  <si>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</si>
  <si>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</si>
  <si>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</si>
  <si>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</si>
  <si>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</si>
  <si>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</si>
  <si>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</si>
  <si>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</si>
  <si>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</si>
  <si>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</si>
  <si>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</si>
  <si>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</si>
  <si>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</si>
  <si>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</si>
  <si>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</si>
  <si>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</si>
  <si>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</si>
  <si>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</si>
  <si>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</si>
  <si>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</si>
  <si>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</si>
  <si>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</si>
  <si>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</si>
  <si>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</si>
  <si>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</si>
  <si>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</si>
  <si>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</si>
  <si>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</si>
  <si>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</si>
  <si>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</si>
  <si>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</si>
  <si>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</si>
  <si>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</si>
  <si>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</si>
  <si>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</si>
  <si>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</si>
  <si>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</si>
  <si>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</si>
  <si>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</si>
  <si>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</si>
  <si>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</si>
  <si>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</si>
  <si>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</si>
  <si>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</si>
  <si>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</si>
  <si>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</si>
  <si>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</si>
  <si>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</si>
  <si>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</si>
  <si>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</si>
  <si>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</si>
  <si>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</si>
  <si>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</si>
  <si>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</si>
  <si>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</si>
  <si>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</si>
  <si>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</si>
  <si>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</si>
  <si>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</si>
  <si>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</si>
  <si>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</si>
  <si>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</si>
  <si>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</si>
  <si>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</si>
  <si>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</si>
  <si>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</si>
  <si>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</si>
  <si>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</si>
  <si>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</si>
  <si>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</si>
  <si>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</si>
  <si>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</si>
  <si>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</si>
  <si>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</si>
  <si>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</si>
  <si>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</si>
  <si>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</si>
  <si>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</si>
  <si>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</si>
  <si>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</si>
  <si>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</si>
  <si>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</si>
  <si>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</si>
  <si>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</si>
  <si>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</si>
  <si>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</si>
  <si>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</si>
  <si>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</si>
  <si>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</si>
  <si>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</si>
  <si>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</si>
  <si>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</si>
  <si>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</si>
  <si>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</si>
  <si>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</si>
  <si>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</si>
  <si>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</si>
  <si>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</si>
  <si>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</si>
  <si>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</si>
  <si>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</si>
  <si>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</si>
  <si>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</si>
  <si>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</si>
  <si>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</si>
  <si>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</si>
  <si>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</si>
  <si>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</si>
  <si>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</si>
  <si>
    <t>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</si>
</sst>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dashDot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10" fillId="0" borderId="15" xfId="0" applyFont="1" applyBorder="1"/>
    <xf numFmtId="0" fontId="0" fillId="0" borderId="16" xfId="0" applyBorder="1"/>
    <xf numFmtId="1" fontId="12" fillId="0" borderId="17" xfId="0" applyNumberFormat="1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10" fillId="0" borderId="20" xfId="0" applyFont="1" applyBorder="1"/>
    <xf numFmtId="0" fontId="0" fillId="0" borderId="21" xfId="0" applyBorder="1"/>
    <xf numFmtId="0" fontId="0" fillId="3" borderId="21" xfId="0" applyFill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4" fillId="0" borderId="21" xfId="0" applyFont="1" applyBorder="1"/>
    <xf numFmtId="0" fontId="4" fillId="0" borderId="18" xfId="0" applyFont="1" applyBorder="1"/>
    <xf numFmtId="0" fontId="10" fillId="3" borderId="20" xfId="0" applyFont="1" applyFill="1" applyBorder="1"/>
    <xf numFmtId="0" fontId="4" fillId="3" borderId="24" xfId="0" applyFont="1" applyFill="1" applyBorder="1"/>
    <xf numFmtId="0" fontId="4" fillId="3" borderId="25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6" xfId="0" applyBorder="1"/>
    <xf numFmtId="0" fontId="11" fillId="0" borderId="1" xfId="0" applyFont="1" applyBorder="1" applyAlignment="1">
      <alignment horizontal="left"/>
    </xf>
    <xf numFmtId="0" fontId="10" fillId="0" borderId="11" xfId="0" applyFont="1" applyBorder="1"/>
    <xf numFmtId="0" fontId="3" fillId="0" borderId="11" xfId="0" applyFont="1" applyBorder="1" applyAlignment="1">
      <alignment horizontal="center"/>
    </xf>
    <xf numFmtId="0" fontId="7" fillId="0" borderId="11" xfId="0" applyFont="1" applyBorder="1"/>
    <xf numFmtId="164" fontId="11" fillId="0" borderId="0" xfId="0" applyNumberFormat="1" applyFont="1" applyAlignment="1">
      <alignment horizontal="left"/>
    </xf>
    <xf numFmtId="0" fontId="0" fillId="0" borderId="28" xfId="0" applyBorder="1" applyAlignment="1">
      <alignment horizontal="center"/>
    </xf>
    <xf numFmtId="0" fontId="1" fillId="0" borderId="27" xfId="0" applyFont="1" applyBorder="1"/>
    <xf numFmtId="1" fontId="12" fillId="3" borderId="29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/>
    </xf>
    <xf numFmtId="165" fontId="16" fillId="0" borderId="30" xfId="0" applyNumberFormat="1" applyFont="1" applyBorder="1" applyAlignment="1">
      <alignment horizontal="center"/>
    </xf>
    <xf numFmtId="0" fontId="3" fillId="0" borderId="0" xfId="0" applyFont="1"/>
    <xf numFmtId="0" fontId="11" fillId="0" borderId="1" xfId="0" applyFont="1" applyBorder="1" applyAlignment="1">
      <alignment horizontal="left"/>
    </xf>
    <xf numFmtId="164" fontId="11" fillId="0" borderId="1" xfId="0" applyNumberFormat="1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O92"/>
  <sheetViews>
    <sheetView view="pageLayout" zoomScale="70" zoomScaleNormal="100" zoomScalePageLayoutView="70" workbookViewId="0">
      <selection activeCell="L53" sqref="L53"/>
    </sheetView>
  </sheetViews>
  <sheetFormatPr defaultRowHeight="14.5" x14ac:dyDescent="0.35"/>
  <cols>
    <col min="1" max="1" width="3.453125" bestFit="1" customWidth="1"/>
    <col min="2" max="2" width="5.1796875" customWidth="1"/>
    <col min="3" max="3" width="6.26953125" customWidth="1"/>
    <col min="4" max="4" width="19.54296875" customWidth="1"/>
    <col min="5" max="5" width="3.453125" bestFit="1" customWidth="1"/>
    <col min="6" max="6" width="7.7265625" customWidth="1"/>
    <col min="7" max="7" width="5" customWidth="1"/>
    <col min="8" max="8" width="19.26953125" customWidth="1"/>
    <col min="9" max="9" width="3.453125" bestFit="1" customWidth="1"/>
    <col min="10" max="10" width="3.81640625" bestFit="1" customWidth="1"/>
    <col min="11" max="11" width="5.7265625" customWidth="1"/>
    <col min="12" max="12" width="12.54296875" customWidth="1"/>
    <col min="13" max="13" width="4.26953125" customWidth="1"/>
    <col min="14" max="14" width="5.1796875" customWidth="1"/>
    <col min="15" max="15" width="15.81640625" customWidth="1"/>
  </cols>
  <sheetData>
    <row r="1" spans="1:15" ht="21.5" thickBot="1" x14ac:dyDescent="0.55000000000000004">
      <c r="C1" s="103" t="s">
        <v>74</v>
      </c>
      <c r="D1" s="103"/>
      <c r="E1" s="100"/>
      <c r="F1" s="104">
        <f>DATE(2024,12,30)+(D2-1)*7</f>
        <v>46076</v>
      </c>
      <c r="G1" s="103"/>
      <c r="H1" s="103"/>
      <c r="I1" s="100"/>
      <c r="K1" s="63" t="s">
        <v>110</v>
      </c>
      <c r="L1" s="64">
        <f>F1+42-1</f>
        <v>46117</v>
      </c>
      <c r="O1" s="19" t="s">
        <v>38</v>
      </c>
    </row>
    <row r="2" spans="1:15" ht="15.5" x14ac:dyDescent="0.35">
      <c r="C2" s="41" t="s">
        <v>73</v>
      </c>
      <c r="D2" s="50">
        <v>61</v>
      </c>
      <c r="E2" s="50"/>
    </row>
    <row r="4" spans="1:15" ht="15" thickBot="1" x14ac:dyDescent="0.4">
      <c r="A4" s="56" t="s">
        <v>191</v>
      </c>
      <c r="C4" s="17" t="s">
        <v>62</v>
      </c>
      <c r="D4" s="17"/>
      <c r="E4" s="56" t="s">
        <v>191</v>
      </c>
      <c r="G4" s="20" t="s">
        <v>122</v>
      </c>
      <c r="H4" s="5"/>
      <c r="I4" s="56" t="s">
        <v>191</v>
      </c>
      <c r="K4" s="20" t="s">
        <v>121</v>
      </c>
      <c r="L4" s="5"/>
    </row>
    <row r="5" spans="1:15" x14ac:dyDescent="0.35">
      <c r="A5" s="51"/>
      <c r="B5">
        <f>ROUNDDOWN(C5/24,0)</f>
        <v>0</v>
      </c>
      <c r="C5" s="39">
        <v>0</v>
      </c>
      <c r="D5" s="2" t="s">
        <v>41</v>
      </c>
      <c r="E5" s="52"/>
      <c r="F5">
        <f>ROUNDDOWN(G5/24,0)</f>
        <v>0</v>
      </c>
      <c r="G5" s="39">
        <v>2</v>
      </c>
      <c r="H5" s="2" t="s">
        <v>44</v>
      </c>
      <c r="I5" s="51"/>
      <c r="K5" s="39">
        <v>0</v>
      </c>
      <c r="L5" s="2" t="s">
        <v>19</v>
      </c>
    </row>
    <row r="6" spans="1:15" x14ac:dyDescent="0.35">
      <c r="A6" s="51"/>
      <c r="B6">
        <f>ROUNDDOWN(C6/24,0)</f>
        <v>0</v>
      </c>
      <c r="C6" s="39">
        <v>8</v>
      </c>
      <c r="D6" s="2" t="s">
        <v>42</v>
      </c>
      <c r="E6" s="52"/>
      <c r="F6">
        <f>ROUNDDOWN(G6/24,0)</f>
        <v>0</v>
      </c>
      <c r="G6" s="39">
        <v>5</v>
      </c>
      <c r="H6" s="2" t="s">
        <v>45</v>
      </c>
      <c r="I6" s="51"/>
      <c r="K6" s="39">
        <v>0</v>
      </c>
      <c r="L6" s="2" t="s">
        <v>20</v>
      </c>
    </row>
    <row r="7" spans="1:15" x14ac:dyDescent="0.35">
      <c r="A7" s="51"/>
      <c r="C7" s="39">
        <v>0</v>
      </c>
      <c r="D7" s="2" t="s">
        <v>4</v>
      </c>
      <c r="E7" s="52"/>
      <c r="G7" s="39">
        <v>2</v>
      </c>
      <c r="H7" s="2" t="s">
        <v>30</v>
      </c>
      <c r="I7" s="51"/>
      <c r="K7" s="39">
        <v>0</v>
      </c>
      <c r="L7" s="2" t="s">
        <v>27</v>
      </c>
    </row>
    <row r="8" spans="1:15" x14ac:dyDescent="0.35">
      <c r="A8" s="51"/>
      <c r="C8" s="39">
        <v>1</v>
      </c>
      <c r="D8" s="2" t="s">
        <v>5</v>
      </c>
      <c r="E8" s="52"/>
      <c r="F8">
        <f>ROUNDDOWN(G8/13,0)</f>
        <v>1</v>
      </c>
      <c r="G8" s="39">
        <v>16</v>
      </c>
      <c r="H8" s="2" t="s">
        <v>71</v>
      </c>
      <c r="I8" s="51"/>
      <c r="K8" s="39">
        <v>0</v>
      </c>
      <c r="L8" s="2" t="s">
        <v>21</v>
      </c>
    </row>
    <row r="9" spans="1:15" x14ac:dyDescent="0.35">
      <c r="A9" s="51"/>
      <c r="B9">
        <f>ROUNDDOWN(C9/20,0)</f>
        <v>0</v>
      </c>
      <c r="C9" s="39">
        <v>10</v>
      </c>
      <c r="D9" s="2" t="s">
        <v>6</v>
      </c>
      <c r="E9" s="52"/>
      <c r="G9" s="39">
        <v>8</v>
      </c>
      <c r="H9" s="2" t="s">
        <v>46</v>
      </c>
      <c r="I9" s="51"/>
      <c r="K9" s="39">
        <v>0</v>
      </c>
      <c r="L9" s="2" t="s">
        <v>23</v>
      </c>
    </row>
    <row r="10" spans="1:15" x14ac:dyDescent="0.35">
      <c r="A10" s="51"/>
      <c r="C10" s="39">
        <v>5</v>
      </c>
      <c r="D10" s="2" t="s">
        <v>9</v>
      </c>
      <c r="E10" s="52"/>
      <c r="F10">
        <f>ROUNDDOWN(G10/24,0)</f>
        <v>0</v>
      </c>
      <c r="G10" s="39">
        <v>13</v>
      </c>
      <c r="H10" s="16" t="s">
        <v>7</v>
      </c>
      <c r="I10" s="51"/>
      <c r="K10" s="39">
        <v>0</v>
      </c>
      <c r="L10" s="2" t="s">
        <v>22</v>
      </c>
    </row>
    <row r="11" spans="1:15" x14ac:dyDescent="0.35">
      <c r="A11" s="51">
        <v>4</v>
      </c>
      <c r="B11">
        <f>ROUNDDOWN(C11/24,0)</f>
        <v>0</v>
      </c>
      <c r="C11" s="39">
        <v>4</v>
      </c>
      <c r="D11" s="2" t="s">
        <v>7</v>
      </c>
      <c r="E11" s="2"/>
      <c r="G11" s="39">
        <f>SUM(G5:G10)</f>
        <v>46</v>
      </c>
      <c r="H11" s="2" t="s">
        <v>35</v>
      </c>
      <c r="I11" s="51"/>
      <c r="K11" s="39">
        <v>0</v>
      </c>
      <c r="L11" s="2" t="s">
        <v>24</v>
      </c>
    </row>
    <row r="12" spans="1:15" x14ac:dyDescent="0.35">
      <c r="A12" s="51"/>
      <c r="B12">
        <f>ROUNDDOWN(C12/24,0)</f>
        <v>0</v>
      </c>
      <c r="C12" s="39">
        <v>6</v>
      </c>
      <c r="D12" s="2" t="s">
        <v>8</v>
      </c>
      <c r="E12" s="2"/>
      <c r="I12" s="51"/>
      <c r="K12" s="39">
        <v>0</v>
      </c>
      <c r="L12" s="2" t="s">
        <v>25</v>
      </c>
    </row>
    <row r="13" spans="1:15" x14ac:dyDescent="0.35">
      <c r="A13" s="51"/>
      <c r="C13" s="39">
        <v>1</v>
      </c>
      <c r="D13" s="2" t="s">
        <v>43</v>
      </c>
      <c r="E13" s="2"/>
      <c r="G13" s="2" t="s">
        <v>36</v>
      </c>
      <c r="H13" s="16">
        <v>4881750450</v>
      </c>
      <c r="I13" s="51"/>
      <c r="K13" s="39">
        <v>0</v>
      </c>
      <c r="L13" s="2" t="s">
        <v>26</v>
      </c>
    </row>
    <row r="14" spans="1:15" x14ac:dyDescent="0.35">
      <c r="A14" s="51"/>
      <c r="C14" s="39">
        <v>2</v>
      </c>
      <c r="D14" s="2" t="s">
        <v>15</v>
      </c>
      <c r="E14" s="2"/>
      <c r="I14" s="51"/>
      <c r="K14" s="39">
        <v>0</v>
      </c>
      <c r="L14" s="16" t="s">
        <v>28</v>
      </c>
    </row>
    <row r="15" spans="1:15" ht="15" thickBot="1" x14ac:dyDescent="0.4">
      <c r="A15" s="51"/>
      <c r="C15" s="39">
        <v>1</v>
      </c>
      <c r="D15" s="2" t="s">
        <v>14</v>
      </c>
      <c r="E15" s="56" t="s">
        <v>191</v>
      </c>
      <c r="G15" s="17" t="s">
        <v>131</v>
      </c>
      <c r="H15" s="17"/>
      <c r="K15" s="39">
        <f>SUM(K5:K14)</f>
        <v>0</v>
      </c>
      <c r="L15" s="2" t="s">
        <v>35</v>
      </c>
    </row>
    <row r="16" spans="1:15" x14ac:dyDescent="0.35">
      <c r="A16" s="51"/>
      <c r="C16" s="39">
        <v>0</v>
      </c>
      <c r="D16" s="2" t="s">
        <v>16</v>
      </c>
      <c r="E16" s="52"/>
      <c r="G16" s="39">
        <v>12</v>
      </c>
      <c r="H16" s="2" t="s">
        <v>29</v>
      </c>
      <c r="I16" s="3"/>
      <c r="L16" s="2"/>
    </row>
    <row r="17" spans="1:13" x14ac:dyDescent="0.35">
      <c r="A17" s="51"/>
      <c r="C17" s="39">
        <v>0</v>
      </c>
      <c r="D17" s="2" t="s">
        <v>115</v>
      </c>
      <c r="E17" s="52"/>
      <c r="G17" s="39">
        <v>0</v>
      </c>
      <c r="H17" s="2" t="s">
        <v>30</v>
      </c>
      <c r="K17" s="2" t="s">
        <v>36</v>
      </c>
      <c r="L17" s="16"/>
    </row>
    <row r="18" spans="1:13" x14ac:dyDescent="0.35">
      <c r="A18" s="51"/>
      <c r="C18" s="39">
        <v>0</v>
      </c>
      <c r="D18" s="2" t="s">
        <v>114</v>
      </c>
      <c r="E18" s="52"/>
      <c r="G18" s="39">
        <v>1</v>
      </c>
      <c r="H18" s="16" t="s">
        <v>12</v>
      </c>
    </row>
    <row r="19" spans="1:13" x14ac:dyDescent="0.35">
      <c r="A19" s="51"/>
      <c r="C19" s="39">
        <v>0</v>
      </c>
      <c r="D19" s="2" t="s">
        <v>116</v>
      </c>
      <c r="E19" s="2"/>
      <c r="G19" s="39">
        <f>SUM(G16:G18)</f>
        <v>13</v>
      </c>
      <c r="H19" s="2" t="s">
        <v>35</v>
      </c>
      <c r="M19" s="4"/>
    </row>
    <row r="20" spans="1:13" x14ac:dyDescent="0.35">
      <c r="A20" s="51"/>
      <c r="C20" s="39">
        <v>0</v>
      </c>
      <c r="D20" s="2" t="s">
        <v>13</v>
      </c>
      <c r="E20" s="2"/>
      <c r="M20" s="4"/>
    </row>
    <row r="21" spans="1:13" ht="15" thickBot="1" x14ac:dyDescent="0.4">
      <c r="A21" s="51"/>
      <c r="C21" s="39">
        <v>0</v>
      </c>
      <c r="D21" s="16" t="s">
        <v>18</v>
      </c>
      <c r="E21" s="56" t="s">
        <v>191</v>
      </c>
      <c r="G21" s="69" t="s">
        <v>128</v>
      </c>
      <c r="H21" s="70"/>
      <c r="I21" s="56" t="s">
        <v>191</v>
      </c>
      <c r="K21" s="71" t="s">
        <v>130</v>
      </c>
      <c r="L21" s="70"/>
      <c r="M21" s="91"/>
    </row>
    <row r="22" spans="1:13" x14ac:dyDescent="0.35">
      <c r="C22" s="39">
        <f>SUM(C5:C21)</f>
        <v>38</v>
      </c>
      <c r="D22" s="2" t="s">
        <v>35</v>
      </c>
      <c r="E22" s="52"/>
      <c r="G22" s="73">
        <v>0</v>
      </c>
      <c r="H22" t="s">
        <v>1</v>
      </c>
      <c r="I22" s="52"/>
      <c r="K22" s="39">
        <v>0</v>
      </c>
      <c r="L22" t="s">
        <v>1</v>
      </c>
      <c r="M22" s="74"/>
    </row>
    <row r="23" spans="1:13" x14ac:dyDescent="0.35">
      <c r="G23" s="75"/>
      <c r="I23" s="2"/>
      <c r="M23" s="74"/>
    </row>
    <row r="24" spans="1:13" ht="15" thickBot="1" x14ac:dyDescent="0.4">
      <c r="E24" s="56" t="s">
        <v>191</v>
      </c>
      <c r="G24" s="76" t="s">
        <v>129</v>
      </c>
      <c r="H24" s="5"/>
      <c r="I24" s="56" t="s">
        <v>191</v>
      </c>
      <c r="K24" s="17" t="s">
        <v>123</v>
      </c>
      <c r="L24" s="5"/>
      <c r="M24" s="74"/>
    </row>
    <row r="25" spans="1:13" ht="15" thickBot="1" x14ac:dyDescent="0.4">
      <c r="A25" s="56" t="s">
        <v>191</v>
      </c>
      <c r="C25" s="20" t="s">
        <v>138</v>
      </c>
      <c r="D25" s="5"/>
      <c r="E25" s="51"/>
      <c r="F25" s="4"/>
      <c r="G25" s="73">
        <v>2</v>
      </c>
      <c r="H25" t="s">
        <v>1</v>
      </c>
      <c r="I25" s="95"/>
      <c r="K25" s="39">
        <v>3</v>
      </c>
      <c r="L25" t="s">
        <v>43</v>
      </c>
      <c r="M25" s="74"/>
    </row>
    <row r="26" spans="1:13" x14ac:dyDescent="0.35">
      <c r="A26" s="51"/>
      <c r="C26" s="39">
        <v>0</v>
      </c>
      <c r="D26" s="2" t="s">
        <v>3</v>
      </c>
      <c r="E26" s="2"/>
      <c r="F26" s="4"/>
      <c r="G26" s="75"/>
      <c r="I26" s="2"/>
      <c r="M26" s="74"/>
    </row>
    <row r="27" spans="1:13" ht="15" thickBot="1" x14ac:dyDescent="0.4">
      <c r="A27" s="51"/>
      <c r="C27" s="39">
        <v>0</v>
      </c>
      <c r="D27" s="2" t="s">
        <v>40</v>
      </c>
      <c r="E27" s="56" t="s">
        <v>191</v>
      </c>
      <c r="F27" s="9"/>
      <c r="G27" s="76" t="s">
        <v>127</v>
      </c>
      <c r="H27" s="5"/>
      <c r="I27" s="2"/>
      <c r="M27" s="74"/>
    </row>
    <row r="28" spans="1:13" x14ac:dyDescent="0.35">
      <c r="A28" s="51"/>
      <c r="C28" s="39">
        <v>0</v>
      </c>
      <c r="D28" s="2" t="s">
        <v>4</v>
      </c>
      <c r="E28" s="2"/>
      <c r="F28" s="10"/>
      <c r="G28" s="73">
        <v>2</v>
      </c>
      <c r="H28" t="s">
        <v>0</v>
      </c>
      <c r="I28" s="2"/>
      <c r="M28" s="74"/>
    </row>
    <row r="29" spans="1:13" ht="15" thickBot="1" x14ac:dyDescent="0.4">
      <c r="A29" s="51"/>
      <c r="C29" s="39">
        <v>0</v>
      </c>
      <c r="D29" s="2" t="s">
        <v>5</v>
      </c>
      <c r="E29" s="2"/>
      <c r="F29" s="10"/>
      <c r="G29" s="75"/>
      <c r="I29" s="56" t="s">
        <v>191</v>
      </c>
      <c r="K29" s="65" t="s">
        <v>117</v>
      </c>
      <c r="L29" s="89"/>
      <c r="M29" s="74"/>
    </row>
    <row r="30" spans="1:13" x14ac:dyDescent="0.35">
      <c r="A30" s="51"/>
      <c r="C30" s="39">
        <v>0</v>
      </c>
      <c r="D30" s="2" t="s">
        <v>9</v>
      </c>
      <c r="E30" s="2"/>
      <c r="G30" s="75"/>
      <c r="I30" s="95">
        <v>2</v>
      </c>
      <c r="K30" s="68">
        <f>G22+G25+K22</f>
        <v>2</v>
      </c>
      <c r="L30" s="90" t="s">
        <v>1</v>
      </c>
      <c r="M30" s="74"/>
    </row>
    <row r="31" spans="1:13" x14ac:dyDescent="0.35">
      <c r="A31" s="51"/>
      <c r="C31" s="39">
        <v>0</v>
      </c>
      <c r="D31" s="2" t="s">
        <v>7</v>
      </c>
      <c r="E31" s="2"/>
      <c r="G31" s="75"/>
      <c r="I31" s="51">
        <v>2</v>
      </c>
      <c r="K31" s="66">
        <f>G28</f>
        <v>2</v>
      </c>
      <c r="L31" s="90" t="s">
        <v>0</v>
      </c>
      <c r="M31" s="74"/>
    </row>
    <row r="32" spans="1:13" x14ac:dyDescent="0.35">
      <c r="A32" s="51"/>
      <c r="C32" s="39">
        <v>0</v>
      </c>
      <c r="D32" s="16" t="s">
        <v>8</v>
      </c>
      <c r="E32" s="2"/>
      <c r="G32" s="75"/>
      <c r="I32" s="51"/>
      <c r="K32" s="66">
        <f>K25</f>
        <v>3</v>
      </c>
      <c r="L32" s="90" t="s">
        <v>43</v>
      </c>
      <c r="M32" s="74"/>
    </row>
    <row r="33" spans="1:15" x14ac:dyDescent="0.35">
      <c r="A33" s="51"/>
      <c r="C33" s="39">
        <f>SUM(C26:C32)</f>
        <v>0</v>
      </c>
      <c r="D33" s="2" t="s">
        <v>35</v>
      </c>
      <c r="E33" s="2"/>
      <c r="G33" s="79"/>
      <c r="H33" s="80"/>
      <c r="K33" s="80"/>
      <c r="L33" s="80"/>
      <c r="M33" s="81"/>
    </row>
    <row r="34" spans="1:15" ht="21.5" thickBot="1" x14ac:dyDescent="0.55000000000000004">
      <c r="C34" s="103" t="s">
        <v>74</v>
      </c>
      <c r="D34" s="103"/>
      <c r="E34" s="100"/>
      <c r="F34" s="104">
        <f>F1</f>
        <v>46076</v>
      </c>
      <c r="G34" s="103"/>
      <c r="H34" s="103"/>
      <c r="I34" s="100"/>
      <c r="K34" s="63" t="s">
        <v>110</v>
      </c>
      <c r="L34" s="67">
        <f>L1</f>
        <v>46117</v>
      </c>
      <c r="O34" s="19" t="s">
        <v>37</v>
      </c>
    </row>
    <row r="36" spans="1:15" ht="15" thickBot="1" x14ac:dyDescent="0.4">
      <c r="A36" s="56" t="s">
        <v>191</v>
      </c>
      <c r="C36" s="17" t="s">
        <v>63</v>
      </c>
      <c r="D36" s="17"/>
      <c r="E36" s="56" t="s">
        <v>191</v>
      </c>
      <c r="G36" s="17" t="s">
        <v>111</v>
      </c>
      <c r="H36" s="17"/>
      <c r="I36" s="56" t="s">
        <v>191</v>
      </c>
      <c r="K36" s="18" t="s">
        <v>133</v>
      </c>
      <c r="L36" s="5"/>
    </row>
    <row r="37" spans="1:15" x14ac:dyDescent="0.35">
      <c r="A37" s="51"/>
      <c r="B37">
        <f>ROUNDDOWN(C37/24,0)</f>
        <v>0</v>
      </c>
      <c r="C37" s="39">
        <v>2</v>
      </c>
      <c r="D37" s="2" t="s">
        <v>41</v>
      </c>
      <c r="E37" s="52"/>
      <c r="G37" s="39">
        <v>1</v>
      </c>
      <c r="H37" s="2" t="s">
        <v>19</v>
      </c>
      <c r="I37" s="2"/>
      <c r="K37" s="39">
        <v>3</v>
      </c>
      <c r="L37" s="2" t="s">
        <v>19</v>
      </c>
    </row>
    <row r="38" spans="1:15" x14ac:dyDescent="0.35">
      <c r="A38" s="51"/>
      <c r="B38">
        <f>ROUNDDOWN(C38/24,0)</f>
        <v>0</v>
      </c>
      <c r="C38" s="39">
        <v>4</v>
      </c>
      <c r="D38" s="2" t="s">
        <v>42</v>
      </c>
      <c r="E38" s="52"/>
      <c r="G38" s="39">
        <v>17</v>
      </c>
      <c r="H38" s="2" t="s">
        <v>20</v>
      </c>
      <c r="I38" s="2"/>
      <c r="K38" s="39">
        <v>17</v>
      </c>
      <c r="L38" s="2" t="s">
        <v>20</v>
      </c>
    </row>
    <row r="39" spans="1:15" x14ac:dyDescent="0.35">
      <c r="A39" s="51"/>
      <c r="C39" s="39">
        <v>1</v>
      </c>
      <c r="D39" s="2" t="s">
        <v>4</v>
      </c>
      <c r="E39" s="52"/>
      <c r="G39" s="39">
        <v>0</v>
      </c>
      <c r="H39" s="2" t="s">
        <v>27</v>
      </c>
      <c r="I39" s="2"/>
      <c r="K39" s="39">
        <v>0</v>
      </c>
      <c r="L39" s="2" t="s">
        <v>27</v>
      </c>
    </row>
    <row r="40" spans="1:15" x14ac:dyDescent="0.35">
      <c r="A40" s="51"/>
      <c r="C40" s="39">
        <v>1</v>
      </c>
      <c r="D40" s="2" t="s">
        <v>5</v>
      </c>
      <c r="E40" s="52"/>
      <c r="G40" s="39">
        <v>1</v>
      </c>
      <c r="H40" s="2" t="s">
        <v>21</v>
      </c>
      <c r="I40" s="2"/>
      <c r="K40" s="39">
        <v>1</v>
      </c>
      <c r="L40" s="2" t="s">
        <v>21</v>
      </c>
    </row>
    <row r="41" spans="1:15" x14ac:dyDescent="0.35">
      <c r="A41" s="51"/>
      <c r="B41">
        <f>ROUNDDOWN(C41/20,0)</f>
        <v>1</v>
      </c>
      <c r="C41" s="39">
        <v>20</v>
      </c>
      <c r="D41" s="2" t="s">
        <v>6</v>
      </c>
      <c r="E41" s="52"/>
      <c r="G41" s="39">
        <v>1</v>
      </c>
      <c r="H41" s="2" t="s">
        <v>23</v>
      </c>
      <c r="I41" s="2"/>
      <c r="K41" s="39">
        <v>1</v>
      </c>
      <c r="L41" s="2" t="s">
        <v>23</v>
      </c>
    </row>
    <row r="42" spans="1:15" x14ac:dyDescent="0.35">
      <c r="A42" s="51"/>
      <c r="C42" s="39">
        <v>4</v>
      </c>
      <c r="D42" s="2" t="s">
        <v>9</v>
      </c>
      <c r="E42" s="52"/>
      <c r="G42" s="39">
        <v>11</v>
      </c>
      <c r="H42" s="2" t="s">
        <v>22</v>
      </c>
      <c r="I42" s="2"/>
      <c r="K42" s="39">
        <v>13</v>
      </c>
      <c r="L42" s="2" t="s">
        <v>22</v>
      </c>
    </row>
    <row r="43" spans="1:15" x14ac:dyDescent="0.35">
      <c r="A43" s="51"/>
      <c r="B43">
        <f>ROUNDDOWN(C43/24,0)</f>
        <v>0</v>
      </c>
      <c r="C43" s="39">
        <v>0</v>
      </c>
      <c r="D43" s="2" t="s">
        <v>7</v>
      </c>
      <c r="E43" s="52"/>
      <c r="G43" s="39">
        <v>0</v>
      </c>
      <c r="H43" s="2" t="s">
        <v>24</v>
      </c>
      <c r="I43" s="2"/>
      <c r="K43" s="39">
        <v>0</v>
      </c>
      <c r="L43" s="2" t="s">
        <v>24</v>
      </c>
    </row>
    <row r="44" spans="1:15" x14ac:dyDescent="0.35">
      <c r="A44" s="51"/>
      <c r="B44">
        <f>ROUNDDOWN(C44/24,0)</f>
        <v>0</v>
      </c>
      <c r="C44" s="39">
        <v>0</v>
      </c>
      <c r="D44" s="2" t="s">
        <v>8</v>
      </c>
      <c r="E44" s="52"/>
      <c r="G44" s="39">
        <v>0</v>
      </c>
      <c r="H44" s="2" t="s">
        <v>25</v>
      </c>
      <c r="I44" s="2"/>
      <c r="K44" s="39">
        <v>0</v>
      </c>
      <c r="L44" s="2" t="s">
        <v>25</v>
      </c>
    </row>
    <row r="45" spans="1:15" x14ac:dyDescent="0.35">
      <c r="A45" s="51"/>
      <c r="C45" s="39">
        <v>4</v>
      </c>
      <c r="D45" s="2" t="s">
        <v>43</v>
      </c>
      <c r="E45" s="52"/>
      <c r="G45" s="39">
        <v>0</v>
      </c>
      <c r="H45" s="2" t="s">
        <v>26</v>
      </c>
      <c r="I45" s="2"/>
      <c r="K45" s="39">
        <v>0</v>
      </c>
      <c r="L45" s="2" t="s">
        <v>26</v>
      </c>
    </row>
    <row r="46" spans="1:15" x14ac:dyDescent="0.35">
      <c r="A46" s="51"/>
      <c r="C46" s="39">
        <v>0</v>
      </c>
      <c r="D46" s="2" t="s">
        <v>15</v>
      </c>
      <c r="E46" s="52"/>
      <c r="G46" s="39">
        <v>17</v>
      </c>
      <c r="H46" s="16" t="s">
        <v>28</v>
      </c>
      <c r="I46" s="2"/>
      <c r="K46" s="39">
        <v>120</v>
      </c>
      <c r="L46" s="16" t="s">
        <v>28</v>
      </c>
    </row>
    <row r="47" spans="1:15" x14ac:dyDescent="0.35">
      <c r="A47" s="51"/>
      <c r="C47" s="39">
        <v>1</v>
      </c>
      <c r="D47" s="2" t="s">
        <v>14</v>
      </c>
      <c r="E47" s="2"/>
      <c r="G47" s="39">
        <f>SUM(G37:G46)</f>
        <v>48</v>
      </c>
      <c r="H47" s="2" t="s">
        <v>35</v>
      </c>
      <c r="I47" s="2"/>
      <c r="K47" s="39">
        <f>SUM(K37:K46)</f>
        <v>155</v>
      </c>
      <c r="L47" s="2" t="s">
        <v>35</v>
      </c>
    </row>
    <row r="48" spans="1:15" x14ac:dyDescent="0.35">
      <c r="A48" s="51"/>
      <c r="C48" s="39">
        <v>0</v>
      </c>
      <c r="D48" s="2" t="s">
        <v>16</v>
      </c>
      <c r="E48" s="2"/>
      <c r="H48" s="2"/>
      <c r="I48" s="2"/>
      <c r="L48" s="2"/>
    </row>
    <row r="49" spans="1:15" x14ac:dyDescent="0.35">
      <c r="A49" s="51"/>
      <c r="C49" s="39">
        <v>0</v>
      </c>
      <c r="D49" s="2" t="s">
        <v>115</v>
      </c>
      <c r="E49" s="2"/>
      <c r="G49" s="2" t="s">
        <v>36</v>
      </c>
      <c r="H49" s="16">
        <v>575</v>
      </c>
      <c r="I49" s="2"/>
      <c r="K49" s="2" t="s">
        <v>36</v>
      </c>
      <c r="L49" s="16">
        <v>586</v>
      </c>
    </row>
    <row r="50" spans="1:15" x14ac:dyDescent="0.35">
      <c r="A50" s="51"/>
      <c r="C50" s="39">
        <v>0</v>
      </c>
      <c r="D50" s="2" t="s">
        <v>114</v>
      </c>
      <c r="E50" s="2"/>
      <c r="J50" s="2"/>
    </row>
    <row r="51" spans="1:15" x14ac:dyDescent="0.35">
      <c r="A51" s="51"/>
      <c r="C51" s="39">
        <v>0</v>
      </c>
      <c r="D51" s="2" t="s">
        <v>116</v>
      </c>
      <c r="E51" s="2"/>
    </row>
    <row r="52" spans="1:15" ht="15" thickBot="1" x14ac:dyDescent="0.4">
      <c r="A52" s="51"/>
      <c r="C52" s="39">
        <v>0</v>
      </c>
      <c r="D52" s="2" t="s">
        <v>13</v>
      </c>
      <c r="E52" s="56" t="s">
        <v>191</v>
      </c>
      <c r="G52" s="17" t="s">
        <v>132</v>
      </c>
      <c r="H52" s="17"/>
      <c r="I52" s="56" t="s">
        <v>191</v>
      </c>
      <c r="K52" s="17" t="s">
        <v>134</v>
      </c>
      <c r="L52" s="17"/>
      <c r="M52" s="56" t="s">
        <v>191</v>
      </c>
      <c r="N52" s="17" t="s">
        <v>136</v>
      </c>
      <c r="O52" s="5"/>
    </row>
    <row r="53" spans="1:15" x14ac:dyDescent="0.35">
      <c r="A53" s="51"/>
      <c r="C53" s="39">
        <v>0</v>
      </c>
      <c r="D53" s="16" t="s">
        <v>18</v>
      </c>
      <c r="E53" s="52"/>
      <c r="G53" s="39">
        <v>12</v>
      </c>
      <c r="H53" s="2" t="s">
        <v>29</v>
      </c>
      <c r="I53" s="52"/>
      <c r="J53">
        <f>ROUNDDOWN(K53/24,0)</f>
        <v>0</v>
      </c>
      <c r="K53" s="39">
        <v>1</v>
      </c>
      <c r="L53" s="2" t="s">
        <v>32</v>
      </c>
      <c r="M53" s="51">
        <v>5</v>
      </c>
      <c r="N53" s="39">
        <v>5</v>
      </c>
      <c r="O53" t="s">
        <v>49</v>
      </c>
    </row>
    <row r="54" spans="1:15" x14ac:dyDescent="0.35">
      <c r="C54" s="39">
        <f>SUM(C37:C53)</f>
        <v>37</v>
      </c>
      <c r="D54" s="2" t="s">
        <v>35</v>
      </c>
      <c r="E54" s="52"/>
      <c r="G54" s="39">
        <v>1</v>
      </c>
      <c r="H54" s="2" t="s">
        <v>30</v>
      </c>
      <c r="I54" s="52"/>
      <c r="J54">
        <f>ROUNDDOWN(K54/24,0)</f>
        <v>0</v>
      </c>
      <c r="K54" s="39">
        <v>18</v>
      </c>
      <c r="L54" s="2" t="s">
        <v>31</v>
      </c>
      <c r="M54" s="51"/>
      <c r="N54" s="39">
        <v>4</v>
      </c>
      <c r="O54" s="16" t="s">
        <v>2</v>
      </c>
    </row>
    <row r="55" spans="1:15" x14ac:dyDescent="0.35">
      <c r="E55" s="51"/>
      <c r="G55" s="39">
        <v>1</v>
      </c>
      <c r="H55" s="16" t="s">
        <v>12</v>
      </c>
      <c r="I55" s="52"/>
      <c r="K55" s="39">
        <v>1</v>
      </c>
      <c r="L55" s="2" t="s">
        <v>33</v>
      </c>
      <c r="N55" s="39">
        <f>SUM(N53:N54)</f>
        <v>9</v>
      </c>
      <c r="O55" s="2" t="s">
        <v>35</v>
      </c>
    </row>
    <row r="56" spans="1:15" x14ac:dyDescent="0.35">
      <c r="D56" s="4"/>
      <c r="E56" s="4"/>
      <c r="G56" s="39">
        <f>SUM(G53:G55)</f>
        <v>14</v>
      </c>
      <c r="H56" s="2" t="s">
        <v>35</v>
      </c>
      <c r="I56" s="52"/>
      <c r="J56">
        <f>ROUNDDOWN(K56/13,0)</f>
        <v>3</v>
      </c>
      <c r="K56" s="39">
        <v>42</v>
      </c>
      <c r="L56" s="2" t="s">
        <v>71</v>
      </c>
    </row>
    <row r="57" spans="1:15" x14ac:dyDescent="0.35">
      <c r="I57" s="51"/>
      <c r="K57" s="39">
        <v>4</v>
      </c>
      <c r="L57" s="2" t="s">
        <v>9</v>
      </c>
    </row>
    <row r="58" spans="1:15" ht="15" thickBot="1" x14ac:dyDescent="0.4">
      <c r="E58" s="56" t="s">
        <v>191</v>
      </c>
      <c r="G58" s="17" t="s">
        <v>135</v>
      </c>
      <c r="H58" s="17"/>
      <c r="I58" s="93">
        <v>12</v>
      </c>
      <c r="J58">
        <f>ROUNDDOWN(K58/24,0)</f>
        <v>0</v>
      </c>
      <c r="K58" s="39">
        <v>12</v>
      </c>
      <c r="L58" s="16" t="s">
        <v>34</v>
      </c>
      <c r="M58" s="56" t="s">
        <v>191</v>
      </c>
      <c r="N58" s="17" t="s">
        <v>137</v>
      </c>
      <c r="O58" s="5"/>
    </row>
    <row r="59" spans="1:15" x14ac:dyDescent="0.35">
      <c r="E59" s="51"/>
      <c r="G59" s="39">
        <v>0</v>
      </c>
      <c r="H59" s="2" t="s">
        <v>29</v>
      </c>
      <c r="I59" s="2"/>
      <c r="K59" s="39">
        <f>SUM(K53:K58)</f>
        <v>78</v>
      </c>
      <c r="L59" s="2" t="s">
        <v>35</v>
      </c>
      <c r="M59" s="51">
        <v>2</v>
      </c>
      <c r="N59" s="39">
        <v>2</v>
      </c>
      <c r="O59" t="s">
        <v>1</v>
      </c>
    </row>
    <row r="60" spans="1:15" x14ac:dyDescent="0.35">
      <c r="E60" s="51"/>
      <c r="G60" s="39">
        <v>0</v>
      </c>
      <c r="H60" s="2" t="s">
        <v>30</v>
      </c>
      <c r="I60" s="2"/>
    </row>
    <row r="61" spans="1:15" x14ac:dyDescent="0.35">
      <c r="E61" s="51"/>
      <c r="G61" s="39">
        <v>0</v>
      </c>
      <c r="H61" s="16" t="s">
        <v>12</v>
      </c>
      <c r="I61" s="2"/>
      <c r="K61" s="2" t="s">
        <v>36</v>
      </c>
      <c r="L61" s="16">
        <v>4881761204</v>
      </c>
    </row>
    <row r="62" spans="1:15" x14ac:dyDescent="0.35">
      <c r="G62" s="39">
        <f>SUM(G59:G61)</f>
        <v>0</v>
      </c>
      <c r="H62" s="2" t="s">
        <v>35</v>
      </c>
      <c r="I62" s="2"/>
    </row>
    <row r="63" spans="1:15" x14ac:dyDescent="0.35">
      <c r="C63" s="4"/>
      <c r="D63" s="4"/>
      <c r="E63" s="4"/>
      <c r="M63" s="2"/>
    </row>
    <row r="64" spans="1:15" x14ac:dyDescent="0.35">
      <c r="C64" s="4"/>
      <c r="D64" s="4"/>
      <c r="E64" s="4"/>
      <c r="M64" s="2"/>
    </row>
    <row r="65" spans="3:15" x14ac:dyDescent="0.35">
      <c r="C65" s="9"/>
      <c r="D65" s="7"/>
      <c r="E65" s="7"/>
      <c r="M65" s="2"/>
    </row>
    <row r="66" spans="3:15" x14ac:dyDescent="0.35">
      <c r="M66" s="2"/>
    </row>
    <row r="67" spans="3:15" ht="21" x14ac:dyDescent="0.5">
      <c r="C67" s="19" t="s">
        <v>60</v>
      </c>
    </row>
    <row r="69" spans="3:15" ht="15" thickBot="1" x14ac:dyDescent="0.4">
      <c r="C69" s="30" t="s">
        <v>55</v>
      </c>
      <c r="D69" s="5"/>
      <c r="F69" s="34" t="s">
        <v>72</v>
      </c>
      <c r="G69" s="30" t="s">
        <v>56</v>
      </c>
      <c r="H69" s="5"/>
      <c r="K69" s="30" t="s">
        <v>57</v>
      </c>
      <c r="L69" s="5"/>
      <c r="N69" s="30" t="s">
        <v>58</v>
      </c>
      <c r="O69" s="5"/>
    </row>
    <row r="70" spans="3:15" x14ac:dyDescent="0.35">
      <c r="C70" s="31">
        <f>C5+C26+C37</f>
        <v>2</v>
      </c>
      <c r="D70" s="2" t="s">
        <v>41</v>
      </c>
      <c r="E70" s="2"/>
      <c r="F70" s="35">
        <f>G70*15</f>
        <v>60</v>
      </c>
      <c r="G70" s="15">
        <f t="shared" ref="G70:G79" si="0">K5+G37+K37</f>
        <v>4</v>
      </c>
      <c r="H70" s="2" t="s">
        <v>19</v>
      </c>
      <c r="I70" s="2"/>
      <c r="K70" s="13">
        <f>G5+K53</f>
        <v>3</v>
      </c>
      <c r="L70" s="2" t="s">
        <v>44</v>
      </c>
      <c r="N70" s="47">
        <f>C10+G9+C30+C42+K57</f>
        <v>21</v>
      </c>
      <c r="O70" s="2" t="s">
        <v>9</v>
      </c>
    </row>
    <row r="71" spans="3:15" x14ac:dyDescent="0.35">
      <c r="C71" s="26">
        <f>C6+C27+C38</f>
        <v>12</v>
      </c>
      <c r="D71" s="2" t="s">
        <v>42</v>
      </c>
      <c r="E71" s="2"/>
      <c r="F71" s="35">
        <f t="shared" ref="F71:F77" si="1">G71*15</f>
        <v>510</v>
      </c>
      <c r="G71" s="14">
        <f t="shared" si="0"/>
        <v>34</v>
      </c>
      <c r="H71" s="2" t="s">
        <v>20</v>
      </c>
      <c r="I71" s="2"/>
      <c r="K71" s="14">
        <f>G6+G16+G59+K54+G53</f>
        <v>47</v>
      </c>
      <c r="L71" s="2" t="s">
        <v>45</v>
      </c>
      <c r="N71" s="13">
        <f>C11+G10+C31+C43+K58</f>
        <v>29</v>
      </c>
      <c r="O71" s="2" t="s">
        <v>7</v>
      </c>
    </row>
    <row r="72" spans="3:15" x14ac:dyDescent="0.35">
      <c r="C72" s="26">
        <f>C7+C28+C39</f>
        <v>1</v>
      </c>
      <c r="D72" s="2" t="s">
        <v>4</v>
      </c>
      <c r="E72" s="2"/>
      <c r="F72" s="35">
        <f t="shared" si="1"/>
        <v>0</v>
      </c>
      <c r="G72" s="14">
        <f t="shared" si="0"/>
        <v>0</v>
      </c>
      <c r="H72" s="2" t="s">
        <v>27</v>
      </c>
      <c r="I72" s="2"/>
      <c r="K72" s="14">
        <f>G7+G17+G60+K55+G54</f>
        <v>4</v>
      </c>
      <c r="L72" s="2" t="s">
        <v>30</v>
      </c>
      <c r="N72" s="13">
        <f>C12+C32+C44</f>
        <v>6</v>
      </c>
      <c r="O72" s="2" t="s">
        <v>8</v>
      </c>
    </row>
    <row r="73" spans="3:15" x14ac:dyDescent="0.35">
      <c r="C73" s="26">
        <f>C8+C29+C40</f>
        <v>2</v>
      </c>
      <c r="D73" s="2" t="s">
        <v>5</v>
      </c>
      <c r="E73" s="2"/>
      <c r="F73" s="35">
        <f t="shared" si="1"/>
        <v>30</v>
      </c>
      <c r="G73" s="14">
        <f t="shared" si="0"/>
        <v>2</v>
      </c>
      <c r="H73" s="2" t="s">
        <v>21</v>
      </c>
      <c r="I73" s="2"/>
      <c r="K73" s="14">
        <f>G8+K56</f>
        <v>58</v>
      </c>
      <c r="L73" s="2" t="s">
        <v>71</v>
      </c>
      <c r="N73" s="47">
        <f>N53</f>
        <v>5</v>
      </c>
      <c r="O73" s="2" t="s">
        <v>49</v>
      </c>
    </row>
    <row r="74" spans="3:15" x14ac:dyDescent="0.35">
      <c r="C74" s="26">
        <f>C9+C41</f>
        <v>30</v>
      </c>
      <c r="D74" s="2" t="s">
        <v>6</v>
      </c>
      <c r="E74" s="2"/>
      <c r="F74" s="35">
        <f>G74*12</f>
        <v>24</v>
      </c>
      <c r="G74" s="14">
        <f t="shared" si="0"/>
        <v>2</v>
      </c>
      <c r="H74" s="2" t="s">
        <v>23</v>
      </c>
      <c r="I74" s="2"/>
      <c r="N74" s="13">
        <f>C13+K25+C45</f>
        <v>8</v>
      </c>
      <c r="O74" s="2" t="s">
        <v>43</v>
      </c>
    </row>
    <row r="75" spans="3:15" x14ac:dyDescent="0.35">
      <c r="C75" s="21">
        <f>C14+C46</f>
        <v>2</v>
      </c>
      <c r="D75" s="2" t="s">
        <v>15</v>
      </c>
      <c r="E75" s="2"/>
      <c r="F75" s="35">
        <f>G75*10</f>
        <v>240</v>
      </c>
      <c r="G75" s="14">
        <f t="shared" si="0"/>
        <v>24</v>
      </c>
      <c r="H75" s="2" t="s">
        <v>22</v>
      </c>
      <c r="I75" s="2"/>
      <c r="N75" s="47">
        <f>N54</f>
        <v>4</v>
      </c>
      <c r="O75" s="2" t="s">
        <v>2</v>
      </c>
    </row>
    <row r="76" spans="3:15" x14ac:dyDescent="0.35">
      <c r="D76" s="2"/>
      <c r="E76" s="2"/>
      <c r="F76" s="35">
        <f t="shared" si="1"/>
        <v>0</v>
      </c>
      <c r="G76" s="14">
        <f t="shared" si="0"/>
        <v>0</v>
      </c>
      <c r="H76" s="2" t="s">
        <v>24</v>
      </c>
      <c r="I76" s="2"/>
      <c r="N76" s="48">
        <f>G22+G25+K22+N59</f>
        <v>4</v>
      </c>
      <c r="O76" s="2" t="s">
        <v>1</v>
      </c>
    </row>
    <row r="77" spans="3:15" x14ac:dyDescent="0.35">
      <c r="D77" s="2"/>
      <c r="E77" s="2"/>
      <c r="F77" s="35">
        <f t="shared" si="1"/>
        <v>0</v>
      </c>
      <c r="G77" s="14">
        <f t="shared" si="0"/>
        <v>0</v>
      </c>
      <c r="H77" s="2" t="s">
        <v>25</v>
      </c>
      <c r="I77" s="2"/>
      <c r="N77" s="14">
        <f>G28</f>
        <v>2</v>
      </c>
      <c r="O77" s="2" t="s">
        <v>0</v>
      </c>
    </row>
    <row r="78" spans="3:15" x14ac:dyDescent="0.35">
      <c r="D78" s="2"/>
      <c r="E78" s="2"/>
      <c r="F78" s="35">
        <f>G78*8</f>
        <v>0</v>
      </c>
      <c r="G78" s="14">
        <f t="shared" si="0"/>
        <v>0</v>
      </c>
      <c r="H78" s="2" t="s">
        <v>26</v>
      </c>
      <c r="I78" s="2"/>
    </row>
    <row r="79" spans="3:15" x14ac:dyDescent="0.35">
      <c r="F79" s="35">
        <f>G79*8</f>
        <v>1096</v>
      </c>
      <c r="G79" s="14">
        <f t="shared" si="0"/>
        <v>137</v>
      </c>
      <c r="H79" s="2" t="s">
        <v>28</v>
      </c>
      <c r="I79" s="2"/>
    </row>
    <row r="84" spans="3:15" ht="15" thickBot="1" x14ac:dyDescent="0.4">
      <c r="C84" s="30" t="s">
        <v>59</v>
      </c>
      <c r="D84" s="5"/>
      <c r="J84" s="24" t="s">
        <v>72</v>
      </c>
      <c r="K84" s="30" t="s">
        <v>61</v>
      </c>
      <c r="L84" s="5"/>
      <c r="N84" s="5" t="s">
        <v>104</v>
      </c>
      <c r="O84" s="30" t="s">
        <v>103</v>
      </c>
    </row>
    <row r="85" spans="3:15" x14ac:dyDescent="0.35">
      <c r="C85" s="13">
        <f>C15+C47</f>
        <v>2</v>
      </c>
      <c r="D85" s="2" t="s">
        <v>14</v>
      </c>
      <c r="E85" s="2"/>
      <c r="J85" s="24">
        <f>K85*15</f>
        <v>15</v>
      </c>
      <c r="K85" s="26">
        <f>C72</f>
        <v>1</v>
      </c>
      <c r="L85" s="2" t="s">
        <v>4</v>
      </c>
      <c r="N85" s="15">
        <f>B5+B37</f>
        <v>0</v>
      </c>
      <c r="O85" t="s">
        <v>41</v>
      </c>
    </row>
    <row r="86" spans="3:15" x14ac:dyDescent="0.35">
      <c r="C86" s="14">
        <f>C16+C48</f>
        <v>0</v>
      </c>
      <c r="D86" s="2" t="s">
        <v>16</v>
      </c>
      <c r="E86" s="2"/>
      <c r="J86" s="24">
        <f t="shared" ref="J86:J89" si="2">K86*15</f>
        <v>30</v>
      </c>
      <c r="K86" s="21">
        <f>C75</f>
        <v>2</v>
      </c>
      <c r="L86" s="2" t="s">
        <v>15</v>
      </c>
      <c r="N86" s="14">
        <f>B6+B38</f>
        <v>0</v>
      </c>
      <c r="O86" t="s">
        <v>42</v>
      </c>
    </row>
    <row r="87" spans="3:15" x14ac:dyDescent="0.35">
      <c r="C87" s="14">
        <f>C17+C49</f>
        <v>0</v>
      </c>
      <c r="D87" s="2" t="s">
        <v>17</v>
      </c>
      <c r="E87" s="2"/>
      <c r="J87" s="24">
        <f>K87*10</f>
        <v>60</v>
      </c>
      <c r="K87" s="29">
        <f>N72</f>
        <v>6</v>
      </c>
      <c r="L87" s="2" t="s">
        <v>8</v>
      </c>
      <c r="N87" s="14">
        <f>B9+B41</f>
        <v>1</v>
      </c>
      <c r="O87" s="2" t="s">
        <v>6</v>
      </c>
    </row>
    <row r="88" spans="3:15" x14ac:dyDescent="0.35">
      <c r="C88" s="14">
        <f>C18+C50</f>
        <v>0</v>
      </c>
      <c r="D88" s="2" t="s">
        <v>11</v>
      </c>
      <c r="E88" s="2"/>
      <c r="J88" s="24">
        <f t="shared" si="2"/>
        <v>30</v>
      </c>
      <c r="K88" s="26">
        <f>C73</f>
        <v>2</v>
      </c>
      <c r="L88" s="2" t="s">
        <v>5</v>
      </c>
      <c r="N88" s="14">
        <f>F5+J53</f>
        <v>0</v>
      </c>
      <c r="O88" s="2" t="s">
        <v>44</v>
      </c>
    </row>
    <row r="89" spans="3:15" x14ac:dyDescent="0.35">
      <c r="C89" s="14">
        <f>C19+C51+G18+G55+G61</f>
        <v>2</v>
      </c>
      <c r="D89" s="2" t="s">
        <v>12</v>
      </c>
      <c r="E89" s="2"/>
      <c r="J89" s="24">
        <f t="shared" si="2"/>
        <v>60</v>
      </c>
      <c r="K89" s="21">
        <f>K72</f>
        <v>4</v>
      </c>
      <c r="L89" s="2" t="s">
        <v>30</v>
      </c>
      <c r="N89" s="14">
        <f>F6+J54</f>
        <v>0</v>
      </c>
      <c r="O89" s="2" t="s">
        <v>45</v>
      </c>
    </row>
    <row r="90" spans="3:15" x14ac:dyDescent="0.35">
      <c r="C90" s="14">
        <f>C20+C52</f>
        <v>0</v>
      </c>
      <c r="D90" s="2" t="s">
        <v>13</v>
      </c>
      <c r="E90" s="2"/>
      <c r="J90" s="24">
        <f>K90*5</f>
        <v>150</v>
      </c>
      <c r="K90" s="21">
        <f>C74</f>
        <v>30</v>
      </c>
      <c r="L90" s="2" t="s">
        <v>48</v>
      </c>
      <c r="N90" s="14">
        <f>F8+J56</f>
        <v>4</v>
      </c>
      <c r="O90" s="2" t="s">
        <v>71</v>
      </c>
    </row>
    <row r="91" spans="3:15" x14ac:dyDescent="0.35">
      <c r="C91" s="14">
        <f>C21+C53</f>
        <v>0</v>
      </c>
      <c r="D91" s="2" t="s">
        <v>18</v>
      </c>
      <c r="E91" s="2"/>
      <c r="J91" s="24">
        <f>K91*8</f>
        <v>464</v>
      </c>
      <c r="K91" s="21">
        <f>K73</f>
        <v>58</v>
      </c>
      <c r="L91" s="2" t="s">
        <v>71</v>
      </c>
      <c r="N91" s="14">
        <f>B11+F10+B43+J58</f>
        <v>0</v>
      </c>
      <c r="O91" s="2" t="s">
        <v>7</v>
      </c>
    </row>
    <row r="92" spans="3:15" x14ac:dyDescent="0.35">
      <c r="N92" s="14">
        <f>B12+B44</f>
        <v>0</v>
      </c>
      <c r="O92" s="2" t="s">
        <v>8</v>
      </c>
    </row>
  </sheetData>
  <mergeCells count="4">
    <mergeCell ref="F1:H1"/>
    <mergeCell ref="C1:D1"/>
    <mergeCell ref="C34:D34"/>
    <mergeCell ref="F34:H34"/>
  </mergeCells>
  <conditionalFormatting sqref="C5:C6">
    <cfRule type="cellIs" dxfId="53" priority="11" operator="greaterThan">
      <formula>23</formula>
    </cfRule>
  </conditionalFormatting>
  <conditionalFormatting sqref="C9">
    <cfRule type="cellIs" dxfId="52" priority="9" operator="greaterThan">
      <formula>19</formula>
    </cfRule>
  </conditionalFormatting>
  <conditionalFormatting sqref="C11:C12">
    <cfRule type="cellIs" dxfId="51" priority="14" operator="greaterThan">
      <formula>23</formula>
    </cfRule>
  </conditionalFormatting>
  <conditionalFormatting sqref="C37:C38">
    <cfRule type="cellIs" dxfId="50" priority="12" operator="greaterThan">
      <formula>23</formula>
    </cfRule>
  </conditionalFormatting>
  <conditionalFormatting sqref="C41">
    <cfRule type="cellIs" dxfId="49" priority="2" operator="greaterThan">
      <formula>19</formula>
    </cfRule>
  </conditionalFormatting>
  <conditionalFormatting sqref="C43:C44">
    <cfRule type="cellIs" dxfId="48" priority="10" operator="greaterThan">
      <formula>23</formula>
    </cfRule>
  </conditionalFormatting>
  <conditionalFormatting sqref="G5:G6">
    <cfRule type="cellIs" dxfId="47" priority="7" operator="greaterThan">
      <formula>23</formula>
    </cfRule>
  </conditionalFormatting>
  <conditionalFormatting sqref="G8">
    <cfRule type="cellIs" dxfId="46" priority="8" operator="greaterThan">
      <formula>12</formula>
    </cfRule>
  </conditionalFormatting>
  <conditionalFormatting sqref="G10">
    <cfRule type="cellIs" dxfId="45" priority="1" operator="greaterThan">
      <formula>23</formula>
    </cfRule>
  </conditionalFormatting>
  <conditionalFormatting sqref="K53:K54">
    <cfRule type="cellIs" dxfId="44" priority="5" operator="greaterThan">
      <formula>23</formula>
    </cfRule>
  </conditionalFormatting>
  <conditionalFormatting sqref="K56">
    <cfRule type="cellIs" dxfId="43" priority="4" operator="greaterThan">
      <formula>12</formula>
    </cfRule>
  </conditionalFormatting>
  <conditionalFormatting sqref="K58">
    <cfRule type="cellIs" dxfId="42" priority="3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U78"/>
  <sheetViews>
    <sheetView tabSelected="1" view="pageLayout" zoomScale="70" zoomScaleNormal="100" zoomScalePageLayoutView="70" workbookViewId="0">
      <selection activeCell="I17" sqref="I17"/>
    </sheetView>
  </sheetViews>
  <sheetFormatPr defaultRowHeight="14.5" x14ac:dyDescent="0.35"/>
  <cols>
    <col min="1" max="1" width="3.453125" bestFit="1" customWidth="1"/>
    <col min="2" max="2" width="3.7265625" customWidth="1"/>
    <col min="3" max="3" width="6.26953125" customWidth="1"/>
    <col min="4" max="4" width="19.54296875" customWidth="1"/>
    <col min="5" max="5" width="3.453125" bestFit="1" customWidth="1"/>
    <col min="6" max="6" width="7.7265625" customWidth="1"/>
    <col min="7" max="7" width="5" customWidth="1"/>
    <col min="8" max="8" width="15.81640625" customWidth="1"/>
    <col min="9" max="9" width="3.81640625" customWidth="1"/>
    <col min="10" max="10" width="3.81640625" bestFit="1" customWidth="1"/>
    <col min="11" max="11" width="5.26953125" customWidth="1"/>
    <col min="12" max="12" width="17.26953125" customWidth="1"/>
    <col min="13" max="13" width="4.26953125" customWidth="1"/>
    <col min="14" max="14" width="5.1796875" customWidth="1"/>
    <col min="15" max="15" width="17.54296875" customWidth="1"/>
  </cols>
  <sheetData>
    <row r="1" spans="1:15" ht="23.65" customHeight="1" thickBot="1" x14ac:dyDescent="0.55000000000000004">
      <c r="C1" s="103" t="s">
        <v>74</v>
      </c>
      <c r="D1" s="103"/>
      <c r="E1" s="100"/>
      <c r="F1" s="104">
        <f>DATE(2024,12,30)+(Mon!D2-1)*7+1</f>
        <v>46077</v>
      </c>
      <c r="G1" s="104"/>
      <c r="H1" s="104"/>
      <c r="I1" s="96"/>
      <c r="K1" s="63" t="s">
        <v>110</v>
      </c>
      <c r="L1" s="101">
        <f>Mon!F1+42-1</f>
        <v>46117</v>
      </c>
    </row>
    <row r="2" spans="1:15" ht="12.4" customHeight="1" x14ac:dyDescent="0.35"/>
    <row r="3" spans="1:15" ht="12.4" customHeight="1" thickBot="1" x14ac:dyDescent="0.4">
      <c r="A3" s="56" t="s">
        <v>191</v>
      </c>
      <c r="C3" s="17" t="s">
        <v>141</v>
      </c>
      <c r="D3" s="17"/>
      <c r="E3" s="56" t="s">
        <v>191</v>
      </c>
      <c r="G3" s="17" t="s">
        <v>67</v>
      </c>
      <c r="H3" s="17"/>
      <c r="I3" s="56" t="s">
        <v>191</v>
      </c>
      <c r="K3" s="17" t="s">
        <v>147</v>
      </c>
      <c r="L3" s="17"/>
      <c r="M3" s="56" t="s">
        <v>191</v>
      </c>
      <c r="N3" s="22" t="s">
        <v>124</v>
      </c>
      <c r="O3" s="27"/>
    </row>
    <row r="4" spans="1:15" ht="12.4" customHeight="1" x14ac:dyDescent="0.35">
      <c r="A4" s="51">
        <v>2</v>
      </c>
      <c r="B4">
        <f>ROUNDDOWN(C4/24,0)</f>
        <v>0</v>
      </c>
      <c r="C4" s="39">
        <v>2</v>
      </c>
      <c r="D4" s="2" t="s">
        <v>41</v>
      </c>
      <c r="E4" s="51">
        <v>2</v>
      </c>
      <c r="F4">
        <f>ROUNDDOWN(G4/24,0)</f>
        <v>0</v>
      </c>
      <c r="G4" s="39">
        <v>2</v>
      </c>
      <c r="H4" s="2" t="s">
        <v>41</v>
      </c>
      <c r="I4" s="51">
        <v>1</v>
      </c>
      <c r="J4">
        <f>ROUNDDOWN(K4/24,0)</f>
        <v>0</v>
      </c>
      <c r="K4" s="39">
        <v>1</v>
      </c>
      <c r="L4" s="2" t="s">
        <v>41</v>
      </c>
      <c r="M4" s="51"/>
      <c r="N4" s="39">
        <v>0</v>
      </c>
      <c r="O4" s="2" t="s">
        <v>41</v>
      </c>
    </row>
    <row r="5" spans="1:15" ht="12.4" customHeight="1" x14ac:dyDescent="0.35">
      <c r="A5" s="51"/>
      <c r="B5">
        <f>ROUNDDOWN(C5/24,0)</f>
        <v>1</v>
      </c>
      <c r="C5" s="39">
        <v>24</v>
      </c>
      <c r="D5" s="2" t="s">
        <v>42</v>
      </c>
      <c r="E5" s="51">
        <v>8</v>
      </c>
      <c r="F5">
        <f>ROUNDDOWN(G5/24,0)</f>
        <v>0</v>
      </c>
      <c r="G5" s="39">
        <v>8</v>
      </c>
      <c r="H5" s="2" t="s">
        <v>42</v>
      </c>
      <c r="I5" s="51">
        <v>6</v>
      </c>
      <c r="J5">
        <f>ROUNDDOWN(K5/24,0)</f>
        <v>0</v>
      </c>
      <c r="K5" s="39">
        <v>6</v>
      </c>
      <c r="L5" s="2" t="s">
        <v>42</v>
      </c>
      <c r="M5" s="51"/>
      <c r="N5" s="39">
        <v>0</v>
      </c>
      <c r="O5" s="2" t="s">
        <v>42</v>
      </c>
    </row>
    <row r="6" spans="1:15" ht="12.4" customHeight="1" x14ac:dyDescent="0.35">
      <c r="A6" s="51">
        <v>2</v>
      </c>
      <c r="C6" s="39">
        <v>2</v>
      </c>
      <c r="D6" s="2" t="s">
        <v>4</v>
      </c>
      <c r="E6" s="51"/>
      <c r="G6" s="39">
        <v>0</v>
      </c>
      <c r="H6" s="2" t="s">
        <v>4</v>
      </c>
      <c r="I6" s="51"/>
      <c r="K6" s="39">
        <v>0</v>
      </c>
      <c r="L6" s="2" t="s">
        <v>4</v>
      </c>
      <c r="M6" s="51"/>
      <c r="N6" s="39">
        <v>0</v>
      </c>
      <c r="O6" s="2" t="s">
        <v>4</v>
      </c>
    </row>
    <row r="7" spans="1:15" ht="12.4" customHeight="1" x14ac:dyDescent="0.35">
      <c r="A7" s="51">
        <v>2</v>
      </c>
      <c r="C7" s="39">
        <v>2</v>
      </c>
      <c r="D7" s="2" t="s">
        <v>5</v>
      </c>
      <c r="E7" s="51">
        <v>1</v>
      </c>
      <c r="G7" s="39">
        <v>1</v>
      </c>
      <c r="H7" s="2" t="s">
        <v>5</v>
      </c>
      <c r="I7" s="51"/>
      <c r="K7" s="39">
        <v>0</v>
      </c>
      <c r="L7" s="2" t="s">
        <v>5</v>
      </c>
      <c r="M7" s="51"/>
      <c r="N7" s="39">
        <v>0</v>
      </c>
      <c r="O7" s="2" t="s">
        <v>5</v>
      </c>
    </row>
    <row r="8" spans="1:15" ht="12.4" customHeight="1" x14ac:dyDescent="0.35">
      <c r="A8" s="51"/>
      <c r="B8">
        <f>ROUNDDOWN(C8/20,0)</f>
        <v>3</v>
      </c>
      <c r="C8" s="39">
        <v>60</v>
      </c>
      <c r="D8" s="2" t="s">
        <v>6</v>
      </c>
      <c r="E8" s="51">
        <v>28</v>
      </c>
      <c r="F8">
        <f>ROUNDDOWN(G8/20,0)</f>
        <v>1</v>
      </c>
      <c r="G8" s="39">
        <v>28</v>
      </c>
      <c r="H8" s="2" t="s">
        <v>6</v>
      </c>
      <c r="I8" s="51">
        <v>4</v>
      </c>
      <c r="J8">
        <f>ROUNDDOWN(K8/20,0)</f>
        <v>1</v>
      </c>
      <c r="K8" s="39">
        <v>24</v>
      </c>
      <c r="L8" s="2" t="s">
        <v>6</v>
      </c>
      <c r="M8" s="51"/>
      <c r="N8" s="39">
        <v>0</v>
      </c>
      <c r="O8" s="2" t="s">
        <v>6</v>
      </c>
    </row>
    <row r="9" spans="1:15" ht="12.4" customHeight="1" x14ac:dyDescent="0.35">
      <c r="A9" s="51">
        <v>8</v>
      </c>
      <c r="C9" s="39">
        <v>8</v>
      </c>
      <c r="D9" s="2" t="s">
        <v>9</v>
      </c>
      <c r="E9" s="51">
        <v>4</v>
      </c>
      <c r="G9" s="39">
        <v>4</v>
      </c>
      <c r="H9" s="2" t="s">
        <v>9</v>
      </c>
      <c r="I9" s="51">
        <v>5</v>
      </c>
      <c r="K9" s="39">
        <v>5</v>
      </c>
      <c r="L9" s="2" t="s">
        <v>9</v>
      </c>
      <c r="M9" s="51"/>
      <c r="N9" s="39">
        <v>0</v>
      </c>
      <c r="O9" s="2" t="s">
        <v>9</v>
      </c>
    </row>
    <row r="10" spans="1:15" ht="12.4" customHeight="1" x14ac:dyDescent="0.35">
      <c r="A10" s="51">
        <v>6</v>
      </c>
      <c r="B10">
        <f>ROUNDDOWN(C10/24,0)</f>
        <v>0</v>
      </c>
      <c r="C10" s="39">
        <v>8</v>
      </c>
      <c r="D10" s="2" t="s">
        <v>7</v>
      </c>
      <c r="E10" s="51">
        <v>3</v>
      </c>
      <c r="F10">
        <f>ROUNDDOWN(G10/24,0)</f>
        <v>0</v>
      </c>
      <c r="G10" s="39">
        <v>3</v>
      </c>
      <c r="H10" s="2" t="s">
        <v>7</v>
      </c>
      <c r="I10" s="51">
        <v>6</v>
      </c>
      <c r="J10">
        <f>ROUNDDOWN(K10/24,0)</f>
        <v>0</v>
      </c>
      <c r="K10" s="39">
        <v>6</v>
      </c>
      <c r="L10" s="2" t="s">
        <v>7</v>
      </c>
      <c r="M10" s="51"/>
      <c r="N10" s="39">
        <v>0</v>
      </c>
      <c r="O10" s="2" t="s">
        <v>7</v>
      </c>
    </row>
    <row r="11" spans="1:15" ht="12.4" customHeight="1" x14ac:dyDescent="0.35">
      <c r="A11" s="51">
        <v>8</v>
      </c>
      <c r="B11">
        <f>ROUNDDOWN(C11/24,0)</f>
        <v>0</v>
      </c>
      <c r="C11" s="39">
        <v>8</v>
      </c>
      <c r="D11" s="2" t="s">
        <v>8</v>
      </c>
      <c r="E11" s="51">
        <v>2</v>
      </c>
      <c r="F11">
        <f>ROUNDDOWN(G11/24,0)</f>
        <v>0</v>
      </c>
      <c r="G11" s="39">
        <v>2</v>
      </c>
      <c r="H11" s="2" t="s">
        <v>8</v>
      </c>
      <c r="I11" s="51">
        <v>2</v>
      </c>
      <c r="J11">
        <f>ROUNDDOWN(K11/24,0)</f>
        <v>0</v>
      </c>
      <c r="K11" s="39">
        <v>2</v>
      </c>
      <c r="L11" s="2" t="s">
        <v>8</v>
      </c>
      <c r="M11" s="51"/>
      <c r="N11" s="39">
        <v>0</v>
      </c>
      <c r="O11" s="2" t="s">
        <v>8</v>
      </c>
    </row>
    <row r="12" spans="1:15" ht="12.4" customHeight="1" x14ac:dyDescent="0.35">
      <c r="A12" s="51">
        <v>3</v>
      </c>
      <c r="C12" s="39">
        <v>3</v>
      </c>
      <c r="D12" s="2" t="s">
        <v>43</v>
      </c>
      <c r="E12" s="51"/>
      <c r="G12" s="39">
        <v>0</v>
      </c>
      <c r="H12" s="2" t="s">
        <v>43</v>
      </c>
      <c r="I12" s="51">
        <v>2</v>
      </c>
      <c r="K12" s="39">
        <v>2</v>
      </c>
      <c r="L12" s="2" t="s">
        <v>43</v>
      </c>
      <c r="M12" s="51"/>
      <c r="N12" s="39">
        <v>0</v>
      </c>
      <c r="O12" s="16" t="s">
        <v>43</v>
      </c>
    </row>
    <row r="13" spans="1:15" ht="12.4" customHeight="1" x14ac:dyDescent="0.35">
      <c r="A13" s="51"/>
      <c r="C13" s="39">
        <v>4</v>
      </c>
      <c r="D13" s="2" t="s">
        <v>15</v>
      </c>
      <c r="E13" s="51"/>
      <c r="G13" s="39">
        <v>0</v>
      </c>
      <c r="H13" s="2" t="s">
        <v>15</v>
      </c>
      <c r="I13" s="51"/>
      <c r="K13" s="39">
        <v>2</v>
      </c>
      <c r="L13" s="2" t="s">
        <v>15</v>
      </c>
      <c r="N13" s="39">
        <f>SUM(N4:N12)</f>
        <v>0</v>
      </c>
      <c r="O13" s="3" t="s">
        <v>35</v>
      </c>
    </row>
    <row r="14" spans="1:15" ht="12.4" customHeight="1" x14ac:dyDescent="0.35">
      <c r="A14" s="51"/>
      <c r="C14" s="39">
        <v>2</v>
      </c>
      <c r="D14" s="2" t="s">
        <v>14</v>
      </c>
      <c r="E14" s="51"/>
      <c r="G14" s="39">
        <v>0</v>
      </c>
      <c r="H14" s="2" t="s">
        <v>14</v>
      </c>
      <c r="I14" s="51"/>
      <c r="K14" s="39">
        <v>0</v>
      </c>
      <c r="L14" s="2" t="s">
        <v>14</v>
      </c>
    </row>
    <row r="15" spans="1:15" ht="12.4" customHeight="1" x14ac:dyDescent="0.35">
      <c r="A15" s="51"/>
      <c r="C15" s="39">
        <v>1</v>
      </c>
      <c r="D15" s="2" t="s">
        <v>16</v>
      </c>
      <c r="E15" s="51"/>
      <c r="G15" s="39">
        <v>0</v>
      </c>
      <c r="H15" s="2" t="s">
        <v>16</v>
      </c>
      <c r="I15" s="51"/>
      <c r="K15" s="39">
        <v>0</v>
      </c>
      <c r="L15" s="2" t="s">
        <v>16</v>
      </c>
    </row>
    <row r="16" spans="1:15" ht="12.4" customHeight="1" thickBot="1" x14ac:dyDescent="0.4">
      <c r="A16" s="51"/>
      <c r="C16" s="39">
        <v>1</v>
      </c>
      <c r="D16" s="2" t="s">
        <v>115</v>
      </c>
      <c r="E16" s="51"/>
      <c r="G16" s="39">
        <v>0</v>
      </c>
      <c r="H16" s="2" t="s">
        <v>115</v>
      </c>
      <c r="I16" s="51"/>
      <c r="K16" s="39">
        <v>0</v>
      </c>
      <c r="L16" s="2" t="s">
        <v>115</v>
      </c>
      <c r="M16" s="56" t="s">
        <v>191</v>
      </c>
      <c r="N16" s="71" t="s">
        <v>144</v>
      </c>
      <c r="O16" s="72"/>
    </row>
    <row r="17" spans="1:21" ht="12.4" customHeight="1" x14ac:dyDescent="0.35">
      <c r="A17" s="51"/>
      <c r="C17" s="39">
        <v>1</v>
      </c>
      <c r="D17" s="2" t="s">
        <v>114</v>
      </c>
      <c r="E17" s="51"/>
      <c r="G17" s="39">
        <v>0</v>
      </c>
      <c r="H17" s="2" t="s">
        <v>114</v>
      </c>
      <c r="I17" s="51"/>
      <c r="J17" s="2"/>
      <c r="K17" s="39">
        <v>0</v>
      </c>
      <c r="L17" s="2" t="s">
        <v>114</v>
      </c>
      <c r="M17" s="51">
        <v>5</v>
      </c>
      <c r="N17" s="39">
        <v>6</v>
      </c>
      <c r="O17" s="74" t="s">
        <v>43</v>
      </c>
    </row>
    <row r="18" spans="1:21" ht="12.4" customHeight="1" x14ac:dyDescent="0.35">
      <c r="A18" s="51"/>
      <c r="C18" s="39">
        <v>1</v>
      </c>
      <c r="D18" s="2" t="s">
        <v>116</v>
      </c>
      <c r="E18" s="51"/>
      <c r="G18" s="39">
        <v>0</v>
      </c>
      <c r="H18" s="2" t="s">
        <v>116</v>
      </c>
      <c r="I18" s="51"/>
      <c r="K18" s="39">
        <v>1</v>
      </c>
      <c r="L18" s="2" t="s">
        <v>116</v>
      </c>
      <c r="O18" s="74"/>
    </row>
    <row r="19" spans="1:21" ht="12.4" customHeight="1" thickBot="1" x14ac:dyDescent="0.4">
      <c r="A19" s="51"/>
      <c r="C19" s="39">
        <v>1</v>
      </c>
      <c r="D19" s="2" t="s">
        <v>13</v>
      </c>
      <c r="E19" s="51"/>
      <c r="G19" s="39">
        <v>0</v>
      </c>
      <c r="H19" s="2" t="s">
        <v>13</v>
      </c>
      <c r="I19" s="51"/>
      <c r="K19" s="39">
        <v>0</v>
      </c>
      <c r="L19" s="2" t="s">
        <v>13</v>
      </c>
      <c r="M19" s="56" t="s">
        <v>191</v>
      </c>
      <c r="N19" s="17" t="s">
        <v>145</v>
      </c>
      <c r="O19" s="77"/>
    </row>
    <row r="20" spans="1:21" ht="12.4" customHeight="1" x14ac:dyDescent="0.35">
      <c r="A20" s="51"/>
      <c r="C20" s="39">
        <v>1</v>
      </c>
      <c r="D20" s="16" t="s">
        <v>18</v>
      </c>
      <c r="E20" s="51"/>
      <c r="G20" s="39">
        <v>0</v>
      </c>
      <c r="H20" s="16" t="s">
        <v>18</v>
      </c>
      <c r="I20" s="51"/>
      <c r="K20" s="39">
        <v>0</v>
      </c>
      <c r="L20" s="16" t="s">
        <v>18</v>
      </c>
      <c r="M20" s="51">
        <v>5</v>
      </c>
      <c r="N20" s="39">
        <v>5</v>
      </c>
      <c r="O20" s="74" t="s">
        <v>43</v>
      </c>
    </row>
    <row r="21" spans="1:21" ht="12.4" customHeight="1" x14ac:dyDescent="0.35">
      <c r="C21" s="39">
        <f>SUM(C4:C20)</f>
        <v>129</v>
      </c>
      <c r="D21" s="2" t="s">
        <v>35</v>
      </c>
      <c r="G21" s="39">
        <f>SUM(G4:G20)</f>
        <v>48</v>
      </c>
      <c r="H21" s="2" t="s">
        <v>35</v>
      </c>
      <c r="K21" s="39">
        <f>SUM(K4:K20)</f>
        <v>49</v>
      </c>
      <c r="L21" s="2" t="s">
        <v>35</v>
      </c>
      <c r="O21" s="74"/>
    </row>
    <row r="22" spans="1:21" ht="12.4" customHeight="1" x14ac:dyDescent="0.35">
      <c r="O22" s="74"/>
    </row>
    <row r="23" spans="1:21" ht="12.4" customHeight="1" thickBot="1" x14ac:dyDescent="0.4">
      <c r="A23" s="56" t="s">
        <v>191</v>
      </c>
      <c r="C23" s="20" t="s">
        <v>139</v>
      </c>
      <c r="D23" s="5"/>
      <c r="E23" s="56" t="s">
        <v>191</v>
      </c>
      <c r="G23" s="20" t="s">
        <v>148</v>
      </c>
      <c r="H23" s="5"/>
      <c r="I23" s="56" t="s">
        <v>191</v>
      </c>
      <c r="K23" s="17" t="s">
        <v>125</v>
      </c>
      <c r="L23" s="17"/>
      <c r="M23" s="56" t="s">
        <v>191</v>
      </c>
      <c r="N23" s="17" t="s">
        <v>120</v>
      </c>
      <c r="O23" s="77"/>
    </row>
    <row r="24" spans="1:21" ht="12.4" customHeight="1" x14ac:dyDescent="0.35">
      <c r="A24" s="51"/>
      <c r="B24">
        <f>ROUNDDOWN(C24/24,0)</f>
        <v>0</v>
      </c>
      <c r="C24" s="39">
        <v>0</v>
      </c>
      <c r="D24" s="2" t="s">
        <v>44</v>
      </c>
      <c r="E24" s="51">
        <v>2</v>
      </c>
      <c r="F24">
        <f>ROUNDDOWN(G24/24,0)</f>
        <v>0</v>
      </c>
      <c r="G24" s="39">
        <v>0</v>
      </c>
      <c r="H24" s="2" t="s">
        <v>44</v>
      </c>
      <c r="I24" s="51">
        <v>3</v>
      </c>
      <c r="K24" s="39">
        <v>3</v>
      </c>
      <c r="L24" s="2" t="s">
        <v>29</v>
      </c>
      <c r="M24" s="51">
        <v>25</v>
      </c>
      <c r="N24" s="39">
        <v>25</v>
      </c>
      <c r="O24" s="83" t="s">
        <v>43</v>
      </c>
    </row>
    <row r="25" spans="1:21" ht="12.4" customHeight="1" x14ac:dyDescent="0.35">
      <c r="A25" s="51">
        <v>5</v>
      </c>
      <c r="B25">
        <f>ROUNDDOWN(C25/24,0)</f>
        <v>0</v>
      </c>
      <c r="C25" s="39">
        <v>5</v>
      </c>
      <c r="D25" s="2" t="s">
        <v>45</v>
      </c>
      <c r="E25" s="51">
        <v>10</v>
      </c>
      <c r="F25">
        <f>ROUNDDOWN(G25/24,0)</f>
        <v>0</v>
      </c>
      <c r="G25" s="39">
        <v>10</v>
      </c>
      <c r="H25" s="2" t="s">
        <v>45</v>
      </c>
      <c r="I25" s="51"/>
      <c r="K25" s="39">
        <v>0</v>
      </c>
      <c r="L25" s="2" t="s">
        <v>30</v>
      </c>
      <c r="O25" s="74"/>
    </row>
    <row r="26" spans="1:21" ht="12.4" customHeight="1" thickBot="1" x14ac:dyDescent="0.4">
      <c r="A26" s="51">
        <v>1</v>
      </c>
      <c r="C26" s="39">
        <v>1</v>
      </c>
      <c r="D26" s="2" t="s">
        <v>30</v>
      </c>
      <c r="E26" s="51"/>
      <c r="G26" s="39">
        <v>1</v>
      </c>
      <c r="H26" s="2" t="s">
        <v>30</v>
      </c>
      <c r="I26" s="51"/>
      <c r="K26" s="39">
        <v>0</v>
      </c>
      <c r="L26" s="16" t="s">
        <v>12</v>
      </c>
      <c r="M26" s="56" t="s">
        <v>191</v>
      </c>
      <c r="N26" s="17" t="s">
        <v>146</v>
      </c>
      <c r="O26" s="82"/>
    </row>
    <row r="27" spans="1:21" ht="12.4" customHeight="1" x14ac:dyDescent="0.35">
      <c r="A27" s="51"/>
      <c r="B27">
        <f>ROUNDDOWN(C27/13,0)</f>
        <v>0</v>
      </c>
      <c r="C27" s="39">
        <v>10</v>
      </c>
      <c r="D27" s="2" t="s">
        <v>71</v>
      </c>
      <c r="E27" s="51">
        <v>11</v>
      </c>
      <c r="F27">
        <f>ROUNDDOWN(G27/13,0)</f>
        <v>0</v>
      </c>
      <c r="G27" s="39">
        <v>12</v>
      </c>
      <c r="H27" s="2" t="s">
        <v>71</v>
      </c>
      <c r="K27" s="39">
        <f>SUM(K24:K26)</f>
        <v>3</v>
      </c>
      <c r="L27" s="2" t="s">
        <v>35</v>
      </c>
      <c r="M27" s="51">
        <v>25</v>
      </c>
      <c r="N27" s="39">
        <v>25</v>
      </c>
      <c r="O27" s="83" t="s">
        <v>43</v>
      </c>
      <c r="U27" s="3"/>
    </row>
    <row r="28" spans="1:21" ht="12.4" customHeight="1" x14ac:dyDescent="0.35">
      <c r="A28" s="51">
        <v>4</v>
      </c>
      <c r="C28" s="39">
        <v>4</v>
      </c>
      <c r="D28" s="2" t="s">
        <v>46</v>
      </c>
      <c r="E28" s="51">
        <v>5</v>
      </c>
      <c r="G28" s="39">
        <v>6</v>
      </c>
      <c r="H28" s="2" t="s">
        <v>46</v>
      </c>
      <c r="M28" s="51"/>
      <c r="N28" s="39">
        <v>0</v>
      </c>
      <c r="O28" s="83" t="s">
        <v>2</v>
      </c>
    </row>
    <row r="29" spans="1:21" ht="12.4" customHeight="1" thickBot="1" x14ac:dyDescent="0.4">
      <c r="A29" s="51">
        <v>10</v>
      </c>
      <c r="B29">
        <f>ROUNDDOWN(C29/24,0)</f>
        <v>0</v>
      </c>
      <c r="C29" s="39">
        <v>10</v>
      </c>
      <c r="D29" s="16" t="s">
        <v>54</v>
      </c>
      <c r="E29" s="51">
        <v>8</v>
      </c>
      <c r="F29">
        <f>ROUNDDOWN(G29/24,0)</f>
        <v>0</v>
      </c>
      <c r="G29" s="39">
        <v>8</v>
      </c>
      <c r="H29" s="16" t="s">
        <v>54</v>
      </c>
      <c r="I29" s="56" t="s">
        <v>191</v>
      </c>
      <c r="K29" s="17" t="s">
        <v>140</v>
      </c>
      <c r="L29" s="5"/>
      <c r="O29" s="74"/>
    </row>
    <row r="30" spans="1:21" ht="12.4" customHeight="1" thickBot="1" x14ac:dyDescent="0.4">
      <c r="C30" s="39">
        <f>SUM(C24:C29)</f>
        <v>30</v>
      </c>
      <c r="D30" s="2" t="s">
        <v>35</v>
      </c>
      <c r="G30" s="39">
        <f>SUM(G24:G29)</f>
        <v>37</v>
      </c>
      <c r="H30" s="2" t="s">
        <v>35</v>
      </c>
      <c r="I30" s="51">
        <v>3</v>
      </c>
      <c r="K30" s="39">
        <v>3</v>
      </c>
      <c r="L30" t="s">
        <v>1</v>
      </c>
      <c r="M30" s="56" t="s">
        <v>191</v>
      </c>
      <c r="N30" s="65" t="s">
        <v>113</v>
      </c>
      <c r="O30" s="78"/>
    </row>
    <row r="31" spans="1:21" ht="12.4" customHeight="1" x14ac:dyDescent="0.35">
      <c r="M31" s="51">
        <v>61</v>
      </c>
      <c r="N31" s="99">
        <f>N17+N20+N24+N27</f>
        <v>61</v>
      </c>
      <c r="O31" s="86" t="s">
        <v>43</v>
      </c>
    </row>
    <row r="32" spans="1:21" ht="12.4" customHeight="1" x14ac:dyDescent="0.35">
      <c r="C32" s="2" t="s">
        <v>36</v>
      </c>
      <c r="D32" s="16">
        <v>4881772595</v>
      </c>
      <c r="G32" s="2" t="s">
        <v>36</v>
      </c>
      <c r="H32" s="16">
        <v>4881826615</v>
      </c>
      <c r="M32" s="51"/>
      <c r="N32" s="99">
        <f>N28</f>
        <v>0</v>
      </c>
      <c r="O32" s="85" t="s">
        <v>2</v>
      </c>
    </row>
    <row r="33" spans="1:15" ht="12.4" customHeight="1" x14ac:dyDescent="0.35">
      <c r="K33" s="22"/>
    </row>
    <row r="34" spans="1:15" ht="12.4" customHeight="1" thickBot="1" x14ac:dyDescent="0.4">
      <c r="A34" s="56" t="s">
        <v>191</v>
      </c>
      <c r="C34" s="17" t="s">
        <v>142</v>
      </c>
      <c r="D34" s="17"/>
      <c r="E34" s="56" t="s">
        <v>191</v>
      </c>
      <c r="G34" s="17" t="s">
        <v>143</v>
      </c>
      <c r="H34" s="5"/>
      <c r="K34" s="22"/>
    </row>
    <row r="35" spans="1:15" ht="12.4" customHeight="1" x14ac:dyDescent="0.35">
      <c r="A35" s="51">
        <v>8</v>
      </c>
      <c r="C35" s="39">
        <v>8</v>
      </c>
      <c r="D35" s="2" t="s">
        <v>47</v>
      </c>
      <c r="E35" s="51">
        <v>20</v>
      </c>
      <c r="G35" s="39">
        <v>20</v>
      </c>
      <c r="H35" t="s">
        <v>43</v>
      </c>
      <c r="K35" s="42"/>
    </row>
    <row r="36" spans="1:15" ht="12.4" customHeight="1" x14ac:dyDescent="0.35">
      <c r="A36" s="51"/>
      <c r="C36" s="39">
        <v>0</v>
      </c>
      <c r="D36" s="2" t="s">
        <v>2</v>
      </c>
      <c r="E36" s="51">
        <v>20</v>
      </c>
      <c r="F36" s="23"/>
      <c r="G36" s="39">
        <v>20</v>
      </c>
      <c r="H36" s="16" t="s">
        <v>48</v>
      </c>
      <c r="K36" s="42"/>
      <c r="L36" s="2"/>
    </row>
    <row r="37" spans="1:15" ht="12.4" customHeight="1" x14ac:dyDescent="0.35">
      <c r="A37" s="51">
        <v>14</v>
      </c>
      <c r="C37" s="39">
        <v>14</v>
      </c>
      <c r="D37" s="2" t="s">
        <v>7</v>
      </c>
      <c r="G37" s="39">
        <f>SUM(G35:G36)</f>
        <v>40</v>
      </c>
      <c r="H37" s="2" t="s">
        <v>35</v>
      </c>
      <c r="J37" s="1"/>
    </row>
    <row r="38" spans="1:15" ht="12.4" customHeight="1" x14ac:dyDescent="0.35">
      <c r="A38" s="51"/>
      <c r="C38" s="42">
        <v>0</v>
      </c>
      <c r="D38" s="16" t="s">
        <v>28</v>
      </c>
    </row>
    <row r="39" spans="1:15" x14ac:dyDescent="0.35">
      <c r="C39" s="39">
        <f>SUM(C35:C38)</f>
        <v>22</v>
      </c>
      <c r="D39" s="2" t="s">
        <v>35</v>
      </c>
    </row>
    <row r="40" spans="1:15" ht="21" x14ac:dyDescent="0.5">
      <c r="C40" s="19" t="s">
        <v>60</v>
      </c>
    </row>
    <row r="42" spans="1:15" ht="15" thickBot="1" x14ac:dyDescent="0.4">
      <c r="C42" s="30" t="s">
        <v>55</v>
      </c>
      <c r="D42" s="5"/>
      <c r="F42" s="34" t="s">
        <v>72</v>
      </c>
      <c r="G42" s="30" t="s">
        <v>56</v>
      </c>
      <c r="H42" s="5"/>
      <c r="K42" s="30" t="s">
        <v>57</v>
      </c>
      <c r="L42" s="5"/>
      <c r="N42" s="30" t="s">
        <v>58</v>
      </c>
      <c r="O42" s="5"/>
    </row>
    <row r="43" spans="1:15" x14ac:dyDescent="0.35">
      <c r="C43" s="31">
        <f>C4+K4+N4+G4</f>
        <v>5</v>
      </c>
      <c r="D43" s="2" t="s">
        <v>41</v>
      </c>
      <c r="F43" s="35">
        <f>G43*15</f>
        <v>0</v>
      </c>
      <c r="G43" s="15"/>
      <c r="H43" s="2" t="s">
        <v>19</v>
      </c>
      <c r="K43" s="13">
        <f>C24+G24</f>
        <v>0</v>
      </c>
      <c r="L43" s="2" t="s">
        <v>44</v>
      </c>
      <c r="N43" s="47">
        <f>C9+C28+K9+N9+G9+G28</f>
        <v>27</v>
      </c>
      <c r="O43" s="2" t="s">
        <v>9</v>
      </c>
    </row>
    <row r="44" spans="1:15" x14ac:dyDescent="0.35">
      <c r="C44" s="26">
        <f>C5+K5+N5+G5</f>
        <v>38</v>
      </c>
      <c r="D44" s="2" t="s">
        <v>42</v>
      </c>
      <c r="F44" s="35">
        <f t="shared" ref="F44:F50" si="0">G44*15</f>
        <v>0</v>
      </c>
      <c r="G44" s="14"/>
      <c r="H44" s="2" t="s">
        <v>20</v>
      </c>
      <c r="K44" s="13">
        <f>C25+G25+K24</f>
        <v>18</v>
      </c>
      <c r="L44" s="2" t="s">
        <v>45</v>
      </c>
      <c r="N44" s="13">
        <f>C10+C29+K10+N10+G10+G29+C37</f>
        <v>49</v>
      </c>
      <c r="O44" s="2" t="s">
        <v>7</v>
      </c>
    </row>
    <row r="45" spans="1:15" x14ac:dyDescent="0.35">
      <c r="C45" s="26">
        <f>C6+K6+N6+G6</f>
        <v>2</v>
      </c>
      <c r="D45" s="2" t="s">
        <v>4</v>
      </c>
      <c r="F45" s="35">
        <f t="shared" si="0"/>
        <v>0</v>
      </c>
      <c r="G45" s="14"/>
      <c r="H45" s="2" t="s">
        <v>27</v>
      </c>
      <c r="K45" s="13">
        <f>C26+G26+K25</f>
        <v>2</v>
      </c>
      <c r="L45" s="2" t="s">
        <v>30</v>
      </c>
      <c r="N45" s="13">
        <f>C11+K11+N11+G11</f>
        <v>12</v>
      </c>
      <c r="O45" s="2" t="s">
        <v>8</v>
      </c>
    </row>
    <row r="46" spans="1:15" x14ac:dyDescent="0.35">
      <c r="C46" s="26">
        <f>C7+K7+N7+G7</f>
        <v>3</v>
      </c>
      <c r="D46" s="2" t="s">
        <v>5</v>
      </c>
      <c r="F46" s="35">
        <f t="shared" si="0"/>
        <v>0</v>
      </c>
      <c r="G46" s="14"/>
      <c r="H46" s="2" t="s">
        <v>21</v>
      </c>
      <c r="K46" s="14">
        <f>C27+G27</f>
        <v>22</v>
      </c>
      <c r="L46" s="2" t="s">
        <v>70</v>
      </c>
      <c r="N46" s="13"/>
      <c r="O46" s="2" t="s">
        <v>49</v>
      </c>
    </row>
    <row r="47" spans="1:15" x14ac:dyDescent="0.35">
      <c r="C47" s="26">
        <f>C8+K8+N8+G8+G36</f>
        <v>132</v>
      </c>
      <c r="D47" s="2" t="s">
        <v>6</v>
      </c>
      <c r="F47" s="35">
        <f>G47*12</f>
        <v>0</v>
      </c>
      <c r="G47" s="14"/>
      <c r="H47" s="2" t="s">
        <v>23</v>
      </c>
      <c r="N47" s="47">
        <f>C12+N20+K12+N12+C35+G12+G35+N27+N24+N17</f>
        <v>94</v>
      </c>
      <c r="O47" s="2" t="s">
        <v>43</v>
      </c>
    </row>
    <row r="48" spans="1:15" x14ac:dyDescent="0.35">
      <c r="C48" s="21">
        <f>C13+K13+G13</f>
        <v>6</v>
      </c>
      <c r="D48" s="2" t="s">
        <v>15</v>
      </c>
      <c r="F48" s="35">
        <f>G48*10</f>
        <v>0</v>
      </c>
      <c r="G48" s="14"/>
      <c r="H48" s="2" t="s">
        <v>22</v>
      </c>
      <c r="N48" s="47">
        <f>C36</f>
        <v>0</v>
      </c>
      <c r="O48" s="2" t="s">
        <v>2</v>
      </c>
    </row>
    <row r="49" spans="3:15" x14ac:dyDescent="0.35">
      <c r="D49" s="2"/>
      <c r="F49" s="35">
        <f t="shared" si="0"/>
        <v>0</v>
      </c>
      <c r="G49" s="14"/>
      <c r="H49" s="2" t="s">
        <v>24</v>
      </c>
      <c r="N49" s="48">
        <f>K30</f>
        <v>3</v>
      </c>
      <c r="O49" s="2" t="s">
        <v>1</v>
      </c>
    </row>
    <row r="50" spans="3:15" x14ac:dyDescent="0.35">
      <c r="D50" s="2"/>
      <c r="F50" s="35">
        <f t="shared" si="0"/>
        <v>0</v>
      </c>
      <c r="G50" s="14"/>
      <c r="H50" s="2" t="s">
        <v>25</v>
      </c>
      <c r="N50" s="14"/>
      <c r="O50" s="2" t="s">
        <v>0</v>
      </c>
    </row>
    <row r="51" spans="3:15" x14ac:dyDescent="0.35">
      <c r="D51" s="2"/>
      <c r="F51" s="35">
        <f>G51*8</f>
        <v>0</v>
      </c>
      <c r="G51" s="14"/>
      <c r="H51" s="2" t="s">
        <v>26</v>
      </c>
    </row>
    <row r="52" spans="3:15" x14ac:dyDescent="0.35">
      <c r="F52" s="97">
        <f>G52*8</f>
        <v>0</v>
      </c>
      <c r="G52" s="61">
        <f>C38</f>
        <v>0</v>
      </c>
      <c r="H52" s="2" t="s">
        <v>28</v>
      </c>
    </row>
    <row r="57" spans="3:15" ht="15" thickBot="1" x14ac:dyDescent="0.4">
      <c r="C57" s="30" t="s">
        <v>59</v>
      </c>
      <c r="D57" s="5"/>
      <c r="J57" s="34" t="s">
        <v>72</v>
      </c>
      <c r="K57" s="30" t="s">
        <v>61</v>
      </c>
      <c r="L57" s="5"/>
      <c r="N57" s="5" t="s">
        <v>104</v>
      </c>
      <c r="O57" s="30" t="s">
        <v>103</v>
      </c>
    </row>
    <row r="58" spans="3:15" x14ac:dyDescent="0.35">
      <c r="C58" s="13">
        <f>C14+K14+G14</f>
        <v>2</v>
      </c>
      <c r="D58" s="2" t="s">
        <v>14</v>
      </c>
      <c r="E58" s="2"/>
      <c r="J58" s="35">
        <f>K58*15</f>
        <v>30</v>
      </c>
      <c r="K58" s="26">
        <f>C45</f>
        <v>2</v>
      </c>
      <c r="L58" s="2" t="s">
        <v>4</v>
      </c>
      <c r="N58" s="15">
        <f>B4+F4+J4</f>
        <v>0</v>
      </c>
      <c r="O58" t="s">
        <v>41</v>
      </c>
    </row>
    <row r="59" spans="3:15" x14ac:dyDescent="0.35">
      <c r="C59" s="13">
        <f>C15+K15+G15</f>
        <v>1</v>
      </c>
      <c r="D59" s="2" t="s">
        <v>16</v>
      </c>
      <c r="E59" s="2"/>
      <c r="J59" s="35">
        <f t="shared" ref="J59:J62" si="1">K59*15</f>
        <v>90</v>
      </c>
      <c r="K59" s="21">
        <f>C48</f>
        <v>6</v>
      </c>
      <c r="L59" s="2" t="s">
        <v>15</v>
      </c>
      <c r="N59" s="14">
        <f>B5+F5+J5</f>
        <v>1</v>
      </c>
      <c r="O59" t="s">
        <v>42</v>
      </c>
    </row>
    <row r="60" spans="3:15" x14ac:dyDescent="0.35">
      <c r="C60" s="13">
        <f>C16+K16+G16</f>
        <v>1</v>
      </c>
      <c r="D60" s="2" t="s">
        <v>17</v>
      </c>
      <c r="E60" s="2"/>
      <c r="J60" s="35">
        <f>K60*10</f>
        <v>120</v>
      </c>
      <c r="K60" s="29">
        <f>N45</f>
        <v>12</v>
      </c>
      <c r="L60" s="2" t="s">
        <v>8</v>
      </c>
      <c r="N60" s="13">
        <f>B8+F8+J8</f>
        <v>5</v>
      </c>
      <c r="O60" s="2" t="s">
        <v>6</v>
      </c>
    </row>
    <row r="61" spans="3:15" x14ac:dyDescent="0.35">
      <c r="C61" s="13">
        <f>C17+K17+G17</f>
        <v>1</v>
      </c>
      <c r="D61" s="2" t="s">
        <v>11</v>
      </c>
      <c r="E61" s="2"/>
      <c r="J61" s="35">
        <f t="shared" si="1"/>
        <v>45</v>
      </c>
      <c r="K61" s="26">
        <f>C46</f>
        <v>3</v>
      </c>
      <c r="L61" s="2" t="s">
        <v>5</v>
      </c>
      <c r="N61" s="14">
        <f>B24+F24</f>
        <v>0</v>
      </c>
      <c r="O61" s="2" t="s">
        <v>44</v>
      </c>
    </row>
    <row r="62" spans="3:15" x14ac:dyDescent="0.35">
      <c r="C62" s="13">
        <f>C18+K18+G18+K26</f>
        <v>2</v>
      </c>
      <c r="D62" s="2" t="s">
        <v>12</v>
      </c>
      <c r="E62" s="2"/>
      <c r="J62" s="35">
        <f t="shared" si="1"/>
        <v>30</v>
      </c>
      <c r="K62" s="21">
        <f>K45</f>
        <v>2</v>
      </c>
      <c r="L62" s="2" t="s">
        <v>30</v>
      </c>
      <c r="N62" s="14">
        <f>B25+F25</f>
        <v>0</v>
      </c>
      <c r="O62" s="2" t="s">
        <v>45</v>
      </c>
    </row>
    <row r="63" spans="3:15" x14ac:dyDescent="0.35">
      <c r="C63" s="13">
        <f>C19+K19+G19</f>
        <v>1</v>
      </c>
      <c r="D63" s="2" t="s">
        <v>13</v>
      </c>
      <c r="E63" s="2"/>
      <c r="J63" s="35">
        <f>K63*5</f>
        <v>660</v>
      </c>
      <c r="K63" s="21">
        <f>C47</f>
        <v>132</v>
      </c>
      <c r="L63" s="2" t="s">
        <v>48</v>
      </c>
      <c r="N63" s="14">
        <f>B27+F27</f>
        <v>0</v>
      </c>
      <c r="O63" s="2" t="s">
        <v>71</v>
      </c>
    </row>
    <row r="64" spans="3:15" x14ac:dyDescent="0.35">
      <c r="C64" s="13">
        <f>C20+K20+G20</f>
        <v>1</v>
      </c>
      <c r="D64" s="2" t="s">
        <v>18</v>
      </c>
      <c r="E64" s="2"/>
      <c r="J64" s="35">
        <f>K64*8</f>
        <v>176</v>
      </c>
      <c r="K64" s="21">
        <f>K46</f>
        <v>22</v>
      </c>
      <c r="L64" s="2" t="s">
        <v>71</v>
      </c>
      <c r="N64" s="14">
        <f>B10+F10+J10+B29+F29</f>
        <v>0</v>
      </c>
      <c r="O64" s="2" t="s">
        <v>7</v>
      </c>
    </row>
    <row r="65" spans="3:15" x14ac:dyDescent="0.35">
      <c r="C65" s="4"/>
      <c r="D65" s="4"/>
      <c r="E65" s="4"/>
      <c r="M65" s="2"/>
      <c r="N65" s="14">
        <f>B11+F11+J11</f>
        <v>0</v>
      </c>
      <c r="O65" s="2" t="s">
        <v>8</v>
      </c>
    </row>
    <row r="66" spans="3:15" x14ac:dyDescent="0.35">
      <c r="M66" s="2"/>
    </row>
    <row r="69" spans="3:15" x14ac:dyDescent="0.35">
      <c r="D69" s="2"/>
      <c r="E69" s="2"/>
      <c r="H69" s="2"/>
      <c r="I69" s="2"/>
      <c r="L69" s="2"/>
      <c r="O69" s="2"/>
    </row>
    <row r="70" spans="3:15" x14ac:dyDescent="0.35">
      <c r="D70" s="2"/>
      <c r="E70" s="2"/>
      <c r="H70" s="2"/>
      <c r="I70" s="2"/>
      <c r="L70" s="2"/>
      <c r="O70" s="2"/>
    </row>
    <row r="71" spans="3:15" x14ac:dyDescent="0.35">
      <c r="D71" s="2"/>
      <c r="E71" s="2"/>
      <c r="H71" s="2"/>
      <c r="I71" s="2"/>
      <c r="L71" s="2"/>
    </row>
    <row r="72" spans="3:15" x14ac:dyDescent="0.35">
      <c r="D72" s="2"/>
      <c r="E72" s="2"/>
      <c r="H72" s="2"/>
      <c r="I72" s="2"/>
      <c r="L72" s="2"/>
    </row>
    <row r="73" spans="3:15" x14ac:dyDescent="0.35">
      <c r="D73" s="2"/>
      <c r="E73" s="2"/>
      <c r="L73" s="2"/>
    </row>
    <row r="74" spans="3:15" x14ac:dyDescent="0.35">
      <c r="L74" s="2"/>
    </row>
    <row r="75" spans="3:15" x14ac:dyDescent="0.35">
      <c r="L75" s="2"/>
    </row>
    <row r="76" spans="3:15" x14ac:dyDescent="0.35">
      <c r="L76" s="2"/>
    </row>
    <row r="77" spans="3:15" x14ac:dyDescent="0.35">
      <c r="L77" s="2"/>
    </row>
    <row r="78" spans="3:15" x14ac:dyDescent="0.35">
      <c r="L78" s="2"/>
    </row>
  </sheetData>
  <mergeCells count="2">
    <mergeCell ref="F1:H1"/>
    <mergeCell ref="C1:D1"/>
  </mergeCells>
  <conditionalFormatting sqref="C4:C5">
    <cfRule type="cellIs" dxfId="41" priority="22" operator="greaterThan">
      <formula>23</formula>
    </cfRule>
  </conditionalFormatting>
  <conditionalFormatting sqref="C8">
    <cfRule type="cellIs" dxfId="40" priority="21" operator="greaterThan">
      <formula>19</formula>
    </cfRule>
  </conditionalFormatting>
  <conditionalFormatting sqref="C10:C11">
    <cfRule type="cellIs" dxfId="39" priority="23" operator="greaterThan">
      <formula>23</formula>
    </cfRule>
  </conditionalFormatting>
  <conditionalFormatting sqref="C24:C25">
    <cfRule type="cellIs" dxfId="38" priority="2" operator="greaterThan">
      <formula>23</formula>
    </cfRule>
  </conditionalFormatting>
  <conditionalFormatting sqref="C27">
    <cfRule type="cellIs" dxfId="37" priority="3" operator="greaterThan">
      <formula>12</formula>
    </cfRule>
  </conditionalFormatting>
  <conditionalFormatting sqref="C29">
    <cfRule type="cellIs" dxfId="36" priority="1" operator="greaterThan">
      <formula>23</formula>
    </cfRule>
  </conditionalFormatting>
  <conditionalFormatting sqref="G4:G5">
    <cfRule type="cellIs" dxfId="35" priority="18" operator="greaterThan">
      <formula>23</formula>
    </cfRule>
  </conditionalFormatting>
  <conditionalFormatting sqref="G8">
    <cfRule type="cellIs" dxfId="34" priority="17" operator="greaterThan">
      <formula>19</formula>
    </cfRule>
  </conditionalFormatting>
  <conditionalFormatting sqref="G10:G11">
    <cfRule type="cellIs" dxfId="33" priority="19" operator="greaterThan">
      <formula>23</formula>
    </cfRule>
  </conditionalFormatting>
  <conditionalFormatting sqref="G24:G25">
    <cfRule type="cellIs" dxfId="32" priority="6" operator="greaterThan">
      <formula>23</formula>
    </cfRule>
  </conditionalFormatting>
  <conditionalFormatting sqref="G27">
    <cfRule type="cellIs" dxfId="31" priority="7" operator="greaterThan">
      <formula>12</formula>
    </cfRule>
  </conditionalFormatting>
  <conditionalFormatting sqref="G29">
    <cfRule type="cellIs" dxfId="30" priority="5" operator="greaterThan">
      <formula>23</formula>
    </cfRule>
  </conditionalFormatting>
  <conditionalFormatting sqref="K4:K5">
    <cfRule type="cellIs" dxfId="29" priority="14" operator="greaterThan">
      <formula>23</formula>
    </cfRule>
  </conditionalFormatting>
  <conditionalFormatting sqref="K8">
    <cfRule type="cellIs" dxfId="28" priority="13" operator="greaterThan">
      <formula>19</formula>
    </cfRule>
  </conditionalFormatting>
  <conditionalFormatting sqref="K10:K11">
    <cfRule type="cellIs" dxfId="27" priority="15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A1:L80"/>
  <sheetViews>
    <sheetView view="pageLayout" zoomScale="70" zoomScaleNormal="100" zoomScalePageLayoutView="70" workbookViewId="0">
      <selection activeCell="J37" sqref="J37"/>
    </sheetView>
  </sheetViews>
  <sheetFormatPr defaultRowHeight="14.5" x14ac:dyDescent="0.35"/>
  <cols>
    <col min="1" max="1" width="3.453125" bestFit="1" customWidth="1"/>
    <col min="2" max="2" width="6.26953125" customWidth="1"/>
    <col min="3" max="3" width="19.54296875" customWidth="1"/>
    <col min="4" max="4" width="3.54296875" bestFit="1" customWidth="1"/>
    <col min="5" max="5" width="5" customWidth="1"/>
    <col min="6" max="6" width="21.7265625" customWidth="1"/>
    <col min="7" max="7" width="3.81640625" bestFit="1" customWidth="1"/>
    <col min="8" max="8" width="4.81640625" customWidth="1"/>
    <col min="9" max="9" width="12" customWidth="1"/>
    <col min="10" max="11" width="5.1796875" customWidth="1"/>
    <col min="12" max="12" width="17.54296875" customWidth="1"/>
  </cols>
  <sheetData>
    <row r="1" spans="1:12" ht="19.5" customHeight="1" thickBot="1" x14ac:dyDescent="0.55000000000000004">
      <c r="B1" s="103" t="s">
        <v>74</v>
      </c>
      <c r="C1" s="103"/>
      <c r="D1" s="104">
        <f>DATE(2024,12,30)+(Mon!D2-1)*7+2</f>
        <v>46078</v>
      </c>
      <c r="E1" s="104"/>
      <c r="F1" s="104"/>
      <c r="H1" s="63" t="s">
        <v>110</v>
      </c>
      <c r="I1" s="64">
        <f>Mon!F1+49-1</f>
        <v>46124</v>
      </c>
      <c r="J1" s="56" t="s">
        <v>191</v>
      </c>
      <c r="K1" s="17" t="s">
        <v>167</v>
      </c>
      <c r="L1" s="17"/>
    </row>
    <row r="2" spans="1:12" ht="12.75" customHeight="1" x14ac:dyDescent="0.35">
      <c r="J2" s="51">
        <v>3</v>
      </c>
      <c r="K2" s="39">
        <v>3</v>
      </c>
      <c r="L2" s="2" t="s">
        <v>41</v>
      </c>
    </row>
    <row r="3" spans="1:12" ht="12.75" customHeight="1" thickBot="1" x14ac:dyDescent="0.4">
      <c r="A3" s="56" t="s">
        <v>191</v>
      </c>
      <c r="B3" s="17" t="s">
        <v>52</v>
      </c>
      <c r="C3" s="5"/>
      <c r="D3" s="56" t="s">
        <v>191</v>
      </c>
      <c r="E3" s="17" t="s">
        <v>149</v>
      </c>
      <c r="F3" s="17"/>
      <c r="G3" s="56" t="s">
        <v>191</v>
      </c>
      <c r="H3" s="17" t="s">
        <v>161</v>
      </c>
      <c r="I3" s="17"/>
      <c r="J3" s="51">
        <v>5</v>
      </c>
      <c r="K3" s="39">
        <v>5</v>
      </c>
      <c r="L3" s="2" t="s">
        <v>42</v>
      </c>
    </row>
    <row r="4" spans="1:12" ht="12.75" customHeight="1" x14ac:dyDescent="0.35">
      <c r="A4" s="51"/>
      <c r="B4" s="39">
        <v>0</v>
      </c>
      <c r="C4" s="28" t="s">
        <v>1</v>
      </c>
      <c r="D4" s="51">
        <v>2</v>
      </c>
      <c r="E4" s="39">
        <v>2</v>
      </c>
      <c r="F4" s="2" t="s">
        <v>41</v>
      </c>
      <c r="G4" s="51">
        <v>2</v>
      </c>
      <c r="H4" s="39">
        <v>2</v>
      </c>
      <c r="I4" s="2" t="s">
        <v>41</v>
      </c>
      <c r="J4" s="51">
        <v>5</v>
      </c>
      <c r="K4" s="39">
        <v>5</v>
      </c>
      <c r="L4" s="2" t="s">
        <v>2</v>
      </c>
    </row>
    <row r="5" spans="1:12" ht="12.75" customHeight="1" x14ac:dyDescent="0.35">
      <c r="B5" s="25"/>
      <c r="C5" s="2"/>
      <c r="D5" s="51">
        <v>11</v>
      </c>
      <c r="E5" s="39">
        <v>11</v>
      </c>
      <c r="F5" s="2" t="s">
        <v>42</v>
      </c>
      <c r="G5" s="51">
        <v>6</v>
      </c>
      <c r="H5" s="39">
        <v>6</v>
      </c>
      <c r="I5" s="2" t="s">
        <v>42</v>
      </c>
      <c r="J5" s="51"/>
      <c r="K5" s="39">
        <v>10</v>
      </c>
      <c r="L5" s="2" t="s">
        <v>6</v>
      </c>
    </row>
    <row r="6" spans="1:12" ht="12.75" customHeight="1" thickBot="1" x14ac:dyDescent="0.4">
      <c r="A6" s="56" t="s">
        <v>191</v>
      </c>
      <c r="B6" s="17" t="s">
        <v>152</v>
      </c>
      <c r="C6" s="5"/>
      <c r="D6" s="51">
        <v>3</v>
      </c>
      <c r="E6" s="39">
        <v>3</v>
      </c>
      <c r="F6" s="2" t="s">
        <v>5</v>
      </c>
      <c r="G6" s="51">
        <v>1</v>
      </c>
      <c r="H6" s="39">
        <v>1</v>
      </c>
      <c r="I6" s="2" t="s">
        <v>5</v>
      </c>
      <c r="J6" s="51"/>
      <c r="K6" s="39">
        <v>4</v>
      </c>
      <c r="L6" s="2" t="s">
        <v>46</v>
      </c>
    </row>
    <row r="7" spans="1:12" ht="12.75" customHeight="1" x14ac:dyDescent="0.35">
      <c r="A7" s="51">
        <v>4</v>
      </c>
      <c r="B7" s="39">
        <v>4</v>
      </c>
      <c r="C7" s="28" t="s">
        <v>1</v>
      </c>
      <c r="D7" s="51">
        <v>9</v>
      </c>
      <c r="E7" s="39">
        <v>9</v>
      </c>
      <c r="F7" s="2" t="s">
        <v>9</v>
      </c>
      <c r="G7" s="51"/>
      <c r="H7" s="39">
        <v>5</v>
      </c>
      <c r="I7" s="16" t="s">
        <v>6</v>
      </c>
      <c r="J7" s="51">
        <v>5</v>
      </c>
      <c r="K7" s="39">
        <v>5</v>
      </c>
      <c r="L7" s="2" t="s">
        <v>49</v>
      </c>
    </row>
    <row r="8" spans="1:12" ht="12.75" customHeight="1" x14ac:dyDescent="0.35">
      <c r="B8" s="24"/>
      <c r="C8" s="2"/>
      <c r="D8" s="51">
        <v>20</v>
      </c>
      <c r="E8" s="39">
        <v>20</v>
      </c>
      <c r="F8" s="16" t="s">
        <v>7</v>
      </c>
      <c r="H8" s="39">
        <f>SUM(H4:H7)</f>
        <v>14</v>
      </c>
      <c r="I8" s="22" t="s">
        <v>35</v>
      </c>
      <c r="J8" s="51"/>
      <c r="K8" s="39">
        <v>0</v>
      </c>
      <c r="L8" s="2" t="s">
        <v>43</v>
      </c>
    </row>
    <row r="9" spans="1:12" ht="12.75" customHeight="1" thickBot="1" x14ac:dyDescent="0.4">
      <c r="A9" s="56" t="s">
        <v>191</v>
      </c>
      <c r="B9" s="17" t="s">
        <v>150</v>
      </c>
      <c r="C9" s="5"/>
      <c r="E9" s="39">
        <f>SUM(E4:E8)</f>
        <v>45</v>
      </c>
      <c r="F9" s="22" t="s">
        <v>35</v>
      </c>
      <c r="J9" s="51">
        <v>6</v>
      </c>
      <c r="K9" s="39">
        <v>6</v>
      </c>
      <c r="L9" s="2" t="s">
        <v>54</v>
      </c>
    </row>
    <row r="10" spans="1:12" ht="12.75" customHeight="1" x14ac:dyDescent="0.35">
      <c r="A10" s="51">
        <v>2</v>
      </c>
      <c r="B10" s="39">
        <v>2</v>
      </c>
      <c r="C10" s="28" t="s">
        <v>1</v>
      </c>
      <c r="J10" s="51"/>
      <c r="K10" s="39">
        <v>0</v>
      </c>
      <c r="L10" s="2" t="s">
        <v>114</v>
      </c>
    </row>
    <row r="11" spans="1:12" ht="12.75" customHeight="1" thickBot="1" x14ac:dyDescent="0.4">
      <c r="C11" s="2"/>
      <c r="D11" s="56" t="s">
        <v>191</v>
      </c>
      <c r="E11" s="17" t="s">
        <v>158</v>
      </c>
      <c r="F11" s="17"/>
      <c r="G11" s="56" t="s">
        <v>191</v>
      </c>
      <c r="H11" s="17" t="s">
        <v>162</v>
      </c>
      <c r="I11" s="17"/>
      <c r="J11" s="51"/>
      <c r="K11" s="39">
        <v>0</v>
      </c>
      <c r="L11" s="16" t="s">
        <v>116</v>
      </c>
    </row>
    <row r="12" spans="1:12" ht="12.75" customHeight="1" thickBot="1" x14ac:dyDescent="0.4">
      <c r="A12" s="56" t="s">
        <v>191</v>
      </c>
      <c r="B12" s="17" t="s">
        <v>53</v>
      </c>
      <c r="C12" s="5"/>
      <c r="D12" s="51"/>
      <c r="E12" s="39">
        <v>0</v>
      </c>
      <c r="F12" s="2" t="s">
        <v>41</v>
      </c>
      <c r="G12" s="51">
        <v>5</v>
      </c>
      <c r="H12" s="39">
        <v>5</v>
      </c>
      <c r="I12" s="2" t="s">
        <v>41</v>
      </c>
      <c r="K12" s="39">
        <f>SUM(K2:K11)</f>
        <v>38</v>
      </c>
      <c r="L12" s="22" t="s">
        <v>35</v>
      </c>
    </row>
    <row r="13" spans="1:12" ht="12.75" customHeight="1" x14ac:dyDescent="0.35">
      <c r="A13" s="51"/>
      <c r="B13" s="39">
        <v>0</v>
      </c>
      <c r="C13" s="28" t="s">
        <v>1</v>
      </c>
      <c r="D13" s="51">
        <v>8</v>
      </c>
      <c r="E13" s="39">
        <v>8</v>
      </c>
      <c r="F13" s="2" t="s">
        <v>42</v>
      </c>
      <c r="G13" s="51">
        <v>12</v>
      </c>
      <c r="H13" s="39">
        <v>12</v>
      </c>
      <c r="I13" s="2" t="s">
        <v>42</v>
      </c>
    </row>
    <row r="14" spans="1:12" ht="12.75" customHeight="1" thickBot="1" x14ac:dyDescent="0.4">
      <c r="B14" s="22"/>
      <c r="C14" s="22"/>
      <c r="D14" s="51">
        <v>1</v>
      </c>
      <c r="E14" s="39">
        <v>1</v>
      </c>
      <c r="F14" s="2" t="s">
        <v>5</v>
      </c>
      <c r="G14" s="51">
        <v>2</v>
      </c>
      <c r="H14" s="39">
        <v>2</v>
      </c>
      <c r="I14" s="2" t="s">
        <v>5</v>
      </c>
      <c r="J14" s="56" t="s">
        <v>191</v>
      </c>
      <c r="K14" s="17" t="s">
        <v>170</v>
      </c>
      <c r="L14" s="17"/>
    </row>
    <row r="15" spans="1:12" ht="12.75" customHeight="1" thickBot="1" x14ac:dyDescent="0.4">
      <c r="A15" s="56" t="s">
        <v>191</v>
      </c>
      <c r="B15" s="17" t="s">
        <v>151</v>
      </c>
      <c r="C15" s="5"/>
      <c r="D15" s="51"/>
      <c r="E15" s="39">
        <v>13</v>
      </c>
      <c r="F15" s="2" t="s">
        <v>6</v>
      </c>
      <c r="G15" s="51"/>
      <c r="H15" s="39">
        <v>15</v>
      </c>
      <c r="I15" s="2" t="s">
        <v>6</v>
      </c>
      <c r="J15" s="51"/>
      <c r="K15" s="39">
        <v>0</v>
      </c>
      <c r="L15" s="2" t="s">
        <v>41</v>
      </c>
    </row>
    <row r="16" spans="1:12" ht="12.75" customHeight="1" x14ac:dyDescent="0.35">
      <c r="A16" s="51">
        <v>1</v>
      </c>
      <c r="B16" s="39">
        <v>1</v>
      </c>
      <c r="C16" s="28" t="s">
        <v>0</v>
      </c>
      <c r="D16" s="51">
        <v>6</v>
      </c>
      <c r="E16" s="39">
        <v>6</v>
      </c>
      <c r="F16" s="2" t="s">
        <v>9</v>
      </c>
      <c r="G16" s="51"/>
      <c r="H16" s="39">
        <v>0</v>
      </c>
      <c r="I16" s="2" t="s">
        <v>114</v>
      </c>
      <c r="J16" s="51">
        <v>6</v>
      </c>
      <c r="K16" s="39">
        <v>6</v>
      </c>
      <c r="L16" s="2" t="s">
        <v>42</v>
      </c>
    </row>
    <row r="17" spans="1:12" ht="12.75" customHeight="1" x14ac:dyDescent="0.35">
      <c r="C17" s="2"/>
      <c r="D17" s="51">
        <v>10</v>
      </c>
      <c r="E17" s="39">
        <v>10</v>
      </c>
      <c r="F17" s="16" t="s">
        <v>7</v>
      </c>
      <c r="G17" s="52"/>
      <c r="H17" s="39">
        <v>0</v>
      </c>
      <c r="I17" s="16" t="s">
        <v>116</v>
      </c>
      <c r="J17" s="51"/>
      <c r="K17" s="39">
        <v>4</v>
      </c>
      <c r="L17" s="2" t="s">
        <v>5</v>
      </c>
    </row>
    <row r="18" spans="1:12" ht="12.75" customHeight="1" thickBot="1" x14ac:dyDescent="0.4">
      <c r="A18" s="56" t="s">
        <v>191</v>
      </c>
      <c r="B18" s="17" t="s">
        <v>154</v>
      </c>
      <c r="C18" s="5"/>
      <c r="E18" s="39">
        <f>SUM(E12:E17)</f>
        <v>38</v>
      </c>
      <c r="F18" s="22" t="s">
        <v>35</v>
      </c>
      <c r="H18" s="39">
        <f>SUM(H12:H17)</f>
        <v>34</v>
      </c>
      <c r="I18" s="22" t="s">
        <v>35</v>
      </c>
      <c r="J18" s="51"/>
      <c r="K18" s="39">
        <v>4</v>
      </c>
      <c r="L18" s="2" t="s">
        <v>6</v>
      </c>
    </row>
    <row r="19" spans="1:12" ht="12.75" customHeight="1" x14ac:dyDescent="0.35">
      <c r="A19" s="51"/>
      <c r="B19" s="39">
        <v>0</v>
      </c>
      <c r="C19" s="28" t="s">
        <v>1</v>
      </c>
      <c r="J19" s="51"/>
      <c r="K19" s="39">
        <v>8</v>
      </c>
      <c r="L19" s="2" t="s">
        <v>46</v>
      </c>
    </row>
    <row r="20" spans="1:12" ht="12.75" customHeight="1" x14ac:dyDescent="0.35">
      <c r="F20" s="2"/>
      <c r="J20" s="51">
        <v>10</v>
      </c>
      <c r="K20" s="39">
        <v>10</v>
      </c>
      <c r="L20" s="16" t="s">
        <v>54</v>
      </c>
    </row>
    <row r="21" spans="1:12" ht="12.75" customHeight="1" thickBot="1" x14ac:dyDescent="0.4">
      <c r="A21" s="56" t="s">
        <v>191</v>
      </c>
      <c r="B21" s="17" t="s">
        <v>155</v>
      </c>
      <c r="C21" s="5"/>
      <c r="D21" s="56" t="s">
        <v>191</v>
      </c>
      <c r="E21" s="17" t="s">
        <v>159</v>
      </c>
      <c r="F21" s="17"/>
      <c r="G21" s="56" t="s">
        <v>191</v>
      </c>
      <c r="H21" s="17" t="s">
        <v>157</v>
      </c>
      <c r="I21" s="5"/>
      <c r="K21" s="39">
        <f>SUM(K15:K20)</f>
        <v>32</v>
      </c>
      <c r="L21" s="22" t="s">
        <v>35</v>
      </c>
    </row>
    <row r="22" spans="1:12" ht="12.75" customHeight="1" x14ac:dyDescent="0.35">
      <c r="A22" s="51"/>
      <c r="B22" s="39">
        <v>0</v>
      </c>
      <c r="C22" s="28" t="s">
        <v>0</v>
      </c>
      <c r="D22" s="51"/>
      <c r="E22" s="39">
        <v>3</v>
      </c>
      <c r="F22" s="2" t="s">
        <v>49</v>
      </c>
      <c r="G22" s="51"/>
      <c r="H22" s="39">
        <v>0</v>
      </c>
      <c r="I22" s="28" t="s">
        <v>1</v>
      </c>
    </row>
    <row r="23" spans="1:12" ht="12.75" customHeight="1" thickBot="1" x14ac:dyDescent="0.4">
      <c r="D23" s="51"/>
      <c r="E23" s="39">
        <v>7</v>
      </c>
      <c r="F23" s="2" t="s">
        <v>43</v>
      </c>
      <c r="I23" s="2"/>
      <c r="J23" s="56" t="s">
        <v>191</v>
      </c>
      <c r="K23" s="17" t="s">
        <v>169</v>
      </c>
      <c r="L23" s="5"/>
    </row>
    <row r="24" spans="1:12" ht="12.75" customHeight="1" thickBot="1" x14ac:dyDescent="0.4">
      <c r="A24" s="56" t="s">
        <v>191</v>
      </c>
      <c r="B24" s="17" t="s">
        <v>156</v>
      </c>
      <c r="C24" s="5"/>
      <c r="D24" s="51"/>
      <c r="E24" s="39">
        <v>3</v>
      </c>
      <c r="F24" s="2" t="s">
        <v>2</v>
      </c>
      <c r="G24" s="56" t="s">
        <v>191</v>
      </c>
      <c r="H24" s="17" t="s">
        <v>163</v>
      </c>
      <c r="I24" s="5"/>
      <c r="J24" s="51">
        <v>3</v>
      </c>
      <c r="K24" s="39">
        <v>3</v>
      </c>
      <c r="L24" s="2" t="s">
        <v>49</v>
      </c>
    </row>
    <row r="25" spans="1:12" ht="12.75" customHeight="1" x14ac:dyDescent="0.35">
      <c r="A25" s="51"/>
      <c r="B25" s="39">
        <v>0</v>
      </c>
      <c r="C25" s="2" t="s">
        <v>43</v>
      </c>
      <c r="D25" s="51"/>
      <c r="E25" s="39">
        <v>0</v>
      </c>
      <c r="F25" s="2" t="s">
        <v>1</v>
      </c>
      <c r="G25" s="51"/>
      <c r="H25" s="39">
        <v>0</v>
      </c>
      <c r="I25" s="2" t="s">
        <v>43</v>
      </c>
      <c r="J25" s="51">
        <v>2</v>
      </c>
      <c r="K25" s="39">
        <v>2</v>
      </c>
      <c r="L25" s="2" t="s">
        <v>43</v>
      </c>
    </row>
    <row r="26" spans="1:12" ht="12.75" customHeight="1" x14ac:dyDescent="0.35">
      <c r="A26" s="51"/>
      <c r="B26" s="39">
        <v>0</v>
      </c>
      <c r="C26" s="16" t="s">
        <v>1</v>
      </c>
      <c r="D26" s="51"/>
      <c r="E26" s="39">
        <v>0</v>
      </c>
      <c r="F26" s="2" t="s">
        <v>6</v>
      </c>
      <c r="G26" s="51"/>
      <c r="H26" s="39">
        <v>0</v>
      </c>
      <c r="I26" s="16" t="s">
        <v>1</v>
      </c>
      <c r="J26" s="51">
        <v>1</v>
      </c>
      <c r="K26" s="39">
        <v>1</v>
      </c>
      <c r="L26" s="16" t="s">
        <v>2</v>
      </c>
    </row>
    <row r="27" spans="1:12" ht="12.75" customHeight="1" x14ac:dyDescent="0.35">
      <c r="B27" s="39">
        <f>SUM(B25:B26)</f>
        <v>0</v>
      </c>
      <c r="C27" s="22" t="s">
        <v>35</v>
      </c>
      <c r="D27" s="51"/>
      <c r="E27" s="39">
        <v>0</v>
      </c>
      <c r="F27" s="2" t="s">
        <v>114</v>
      </c>
      <c r="H27" s="39">
        <f>SUM(H25:H26)</f>
        <v>0</v>
      </c>
      <c r="I27" s="22" t="s">
        <v>35</v>
      </c>
      <c r="K27" s="39">
        <f>SUM(K24:K26)</f>
        <v>6</v>
      </c>
      <c r="L27" s="22" t="s">
        <v>35</v>
      </c>
    </row>
    <row r="28" spans="1:12" ht="12.75" customHeight="1" x14ac:dyDescent="0.35">
      <c r="E28" s="39">
        <v>0</v>
      </c>
      <c r="F28" s="16" t="s">
        <v>116</v>
      </c>
      <c r="I28" s="2"/>
    </row>
    <row r="29" spans="1:12" ht="12.75" customHeight="1" thickBot="1" x14ac:dyDescent="0.4">
      <c r="A29" s="56" t="s">
        <v>191</v>
      </c>
      <c r="B29" s="17" t="s">
        <v>153</v>
      </c>
      <c r="C29" s="5"/>
      <c r="E29" s="39">
        <f>SUM(E22:E28)</f>
        <v>13</v>
      </c>
      <c r="F29" s="22" t="s">
        <v>35</v>
      </c>
      <c r="G29" s="56" t="s">
        <v>191</v>
      </c>
      <c r="H29" s="17" t="s">
        <v>164</v>
      </c>
      <c r="I29" s="5"/>
      <c r="J29" s="56" t="s">
        <v>191</v>
      </c>
      <c r="K29" s="17" t="s">
        <v>168</v>
      </c>
      <c r="L29" s="5"/>
    </row>
    <row r="30" spans="1:12" ht="12.75" customHeight="1" x14ac:dyDescent="0.35">
      <c r="A30" s="51">
        <v>1</v>
      </c>
      <c r="B30" s="39">
        <v>1</v>
      </c>
      <c r="C30" s="2" t="s">
        <v>49</v>
      </c>
      <c r="F30" s="2"/>
      <c r="G30" s="51"/>
      <c r="H30" s="39">
        <v>0</v>
      </c>
      <c r="I30" s="28" t="s">
        <v>43</v>
      </c>
      <c r="J30" s="51">
        <v>3</v>
      </c>
      <c r="K30" s="39">
        <v>3</v>
      </c>
      <c r="L30" s="2" t="s">
        <v>49</v>
      </c>
    </row>
    <row r="31" spans="1:12" ht="12.75" customHeight="1" thickBot="1" x14ac:dyDescent="0.4">
      <c r="A31" s="51">
        <v>1</v>
      </c>
      <c r="B31" s="39">
        <v>1</v>
      </c>
      <c r="C31" s="16" t="s">
        <v>43</v>
      </c>
      <c r="D31" s="56" t="s">
        <v>191</v>
      </c>
      <c r="E31" s="30" t="s">
        <v>160</v>
      </c>
      <c r="F31" s="5"/>
      <c r="J31" s="51">
        <v>1</v>
      </c>
      <c r="K31" s="39">
        <v>1</v>
      </c>
      <c r="L31" s="2" t="s">
        <v>43</v>
      </c>
    </row>
    <row r="32" spans="1:12" ht="12.75" customHeight="1" thickBot="1" x14ac:dyDescent="0.4">
      <c r="B32" s="39">
        <f>SUM(B30:B31)</f>
        <v>2</v>
      </c>
      <c r="C32" s="22" t="s">
        <v>35</v>
      </c>
      <c r="D32" s="51"/>
      <c r="E32" s="39">
        <v>0</v>
      </c>
      <c r="F32" s="2" t="s">
        <v>49</v>
      </c>
      <c r="G32" s="56" t="s">
        <v>191</v>
      </c>
      <c r="H32" s="17" t="s">
        <v>165</v>
      </c>
      <c r="I32" s="5"/>
      <c r="J32" s="51"/>
      <c r="K32" s="39">
        <v>0</v>
      </c>
      <c r="L32" s="16" t="s">
        <v>2</v>
      </c>
    </row>
    <row r="33" spans="1:12" ht="12.75" customHeight="1" x14ac:dyDescent="0.35">
      <c r="D33" s="51"/>
      <c r="E33" s="39">
        <v>0</v>
      </c>
      <c r="F33" s="2" t="s">
        <v>43</v>
      </c>
      <c r="G33" s="51"/>
      <c r="H33" s="39">
        <v>0</v>
      </c>
      <c r="I33" s="28" t="s">
        <v>1</v>
      </c>
      <c r="K33" s="39">
        <f>SUM(K30:K32)</f>
        <v>4</v>
      </c>
      <c r="L33" s="2" t="s">
        <v>35</v>
      </c>
    </row>
    <row r="34" spans="1:12" ht="12.75" customHeight="1" thickBot="1" x14ac:dyDescent="0.4">
      <c r="A34" s="56" t="s">
        <v>191</v>
      </c>
      <c r="B34" s="17" t="s">
        <v>171</v>
      </c>
      <c r="C34" s="5"/>
      <c r="D34" s="51"/>
      <c r="E34" s="39">
        <v>0</v>
      </c>
      <c r="F34" s="16" t="s">
        <v>2</v>
      </c>
      <c r="I34" s="2"/>
    </row>
    <row r="35" spans="1:12" ht="12.75" customHeight="1" thickBot="1" x14ac:dyDescent="0.4">
      <c r="A35" s="51">
        <v>2</v>
      </c>
      <c r="B35" s="39">
        <v>2</v>
      </c>
      <c r="C35" s="2" t="s">
        <v>43</v>
      </c>
      <c r="E35" s="39">
        <f>SUM(E32:E34)</f>
        <v>0</v>
      </c>
      <c r="F35" s="22" t="s">
        <v>35</v>
      </c>
      <c r="G35" s="56" t="s">
        <v>191</v>
      </c>
      <c r="H35" s="17" t="s">
        <v>166</v>
      </c>
      <c r="I35" s="5"/>
      <c r="J35" s="56" t="s">
        <v>191</v>
      </c>
      <c r="K35" s="17" t="s">
        <v>172</v>
      </c>
      <c r="L35" s="5"/>
    </row>
    <row r="36" spans="1:12" ht="12.75" customHeight="1" x14ac:dyDescent="0.35">
      <c r="G36" s="51"/>
      <c r="H36" s="39">
        <v>0</v>
      </c>
      <c r="I36" s="28" t="s">
        <v>0</v>
      </c>
      <c r="J36" s="51">
        <v>3</v>
      </c>
      <c r="K36" s="39">
        <v>3</v>
      </c>
      <c r="L36" s="2" t="s">
        <v>43</v>
      </c>
    </row>
    <row r="37" spans="1:12" ht="12.75" customHeight="1" x14ac:dyDescent="0.35">
      <c r="D37" s="23"/>
      <c r="F37" s="22"/>
      <c r="G37" s="1"/>
      <c r="J37" s="51"/>
      <c r="K37" s="39">
        <v>0</v>
      </c>
      <c r="L37" s="16" t="s">
        <v>2</v>
      </c>
    </row>
    <row r="38" spans="1:12" ht="12.75" customHeight="1" x14ac:dyDescent="0.35">
      <c r="F38" s="102"/>
      <c r="J38" s="51"/>
      <c r="K38" s="39">
        <f>SUM(K36:K37)</f>
        <v>3</v>
      </c>
      <c r="L38" s="22" t="s">
        <v>35</v>
      </c>
    </row>
    <row r="39" spans="1:12" ht="25.9" customHeight="1" x14ac:dyDescent="0.5">
      <c r="B39" s="19" t="s">
        <v>60</v>
      </c>
    </row>
    <row r="41" spans="1:12" ht="15" thickBot="1" x14ac:dyDescent="0.4">
      <c r="B41" s="30" t="s">
        <v>55</v>
      </c>
      <c r="C41" s="5"/>
      <c r="D41" s="38" t="s">
        <v>72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1:12" x14ac:dyDescent="0.35">
      <c r="B42" s="87">
        <f>E4+E12+H4+H12+K2+K15+K15</f>
        <v>12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27</v>
      </c>
      <c r="L42" s="2" t="s">
        <v>9</v>
      </c>
    </row>
    <row r="43" spans="1:12" x14ac:dyDescent="0.35">
      <c r="B43" s="88">
        <f>E5+E13+H5+H13+K3+K16+K16</f>
        <v>54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46</v>
      </c>
      <c r="L43" s="2" t="s">
        <v>7</v>
      </c>
    </row>
    <row r="44" spans="1:12" x14ac:dyDescent="0.3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1:12" x14ac:dyDescent="0.35">
      <c r="B45" s="88">
        <f>E6+E14+H6+H14+K17+K17</f>
        <v>15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70</v>
      </c>
      <c r="K45" s="47">
        <f>B30+E22+K7+K30+K24+E32</f>
        <v>15</v>
      </c>
      <c r="L45" s="2" t="s">
        <v>49</v>
      </c>
    </row>
    <row r="46" spans="1:12" x14ac:dyDescent="0.35">
      <c r="B46" s="88">
        <f>E15+E26+H7+H15+K5+K18+K18</f>
        <v>51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16</v>
      </c>
      <c r="L46" s="2" t="s">
        <v>43</v>
      </c>
    </row>
    <row r="47" spans="1:12" x14ac:dyDescent="0.3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9</v>
      </c>
      <c r="L47" s="2" t="s">
        <v>2</v>
      </c>
    </row>
    <row r="48" spans="1:12" x14ac:dyDescent="0.3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6</v>
      </c>
      <c r="L48" s="2" t="s">
        <v>1</v>
      </c>
    </row>
    <row r="49" spans="2:12" x14ac:dyDescent="0.3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35">
      <c r="C50" s="2"/>
      <c r="D50" s="35">
        <f>E50*8</f>
        <v>0</v>
      </c>
      <c r="E50" s="14"/>
      <c r="F50" s="2" t="s">
        <v>26</v>
      </c>
    </row>
    <row r="51" spans="2:12" x14ac:dyDescent="0.35">
      <c r="D51" s="35">
        <f>E51*8</f>
        <v>0</v>
      </c>
      <c r="E51" s="14"/>
      <c r="F51" s="2" t="s">
        <v>28</v>
      </c>
    </row>
    <row r="56" spans="2:12" ht="15" thickBot="1" x14ac:dyDescent="0.4">
      <c r="B56" s="30" t="s">
        <v>59</v>
      </c>
      <c r="C56" s="5"/>
      <c r="G56" s="34" t="s">
        <v>72</v>
      </c>
      <c r="H56" s="30" t="s">
        <v>61</v>
      </c>
      <c r="I56" s="5"/>
    </row>
    <row r="57" spans="2:12" x14ac:dyDescent="0.3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3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3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35">
      <c r="B60" s="47">
        <f>E27+H16+K10</f>
        <v>0</v>
      </c>
      <c r="C60" s="2" t="s">
        <v>11</v>
      </c>
      <c r="G60" s="35">
        <f t="shared" si="1"/>
        <v>225</v>
      </c>
      <c r="H60" s="26">
        <f>B45</f>
        <v>15</v>
      </c>
      <c r="I60" s="2" t="s">
        <v>5</v>
      </c>
    </row>
    <row r="61" spans="2:12" x14ac:dyDescent="0.3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35">
      <c r="B62" s="13"/>
      <c r="C62" s="2" t="s">
        <v>13</v>
      </c>
      <c r="G62" s="35">
        <f>H62*5</f>
        <v>255</v>
      </c>
      <c r="H62" s="21">
        <f>B46</f>
        <v>51</v>
      </c>
      <c r="I62" s="2" t="s">
        <v>48</v>
      </c>
    </row>
    <row r="63" spans="2:12" x14ac:dyDescent="0.35">
      <c r="B63" s="13"/>
      <c r="C63" s="2" t="s">
        <v>18</v>
      </c>
      <c r="G63" s="35">
        <f>H63*8</f>
        <v>0</v>
      </c>
      <c r="H63" s="21">
        <f>H45</f>
        <v>0</v>
      </c>
      <c r="I63" s="2" t="s">
        <v>71</v>
      </c>
    </row>
    <row r="66" spans="2:12" x14ac:dyDescent="0.35">
      <c r="B66" s="4"/>
      <c r="C66" s="4"/>
      <c r="J66" s="2"/>
    </row>
    <row r="67" spans="2:12" x14ac:dyDescent="0.35">
      <c r="B67" s="9"/>
      <c r="C67" s="7"/>
      <c r="J67" s="2"/>
    </row>
    <row r="68" spans="2:12" x14ac:dyDescent="0.35">
      <c r="J68" s="2"/>
    </row>
    <row r="71" spans="2:12" x14ac:dyDescent="0.35">
      <c r="C71" s="2"/>
      <c r="F71" s="2"/>
      <c r="I71" s="2"/>
      <c r="L71" s="2"/>
    </row>
    <row r="72" spans="2:12" x14ac:dyDescent="0.35">
      <c r="C72" s="2"/>
      <c r="F72" s="2"/>
      <c r="I72" s="2"/>
      <c r="L72" s="2"/>
    </row>
    <row r="73" spans="2:12" x14ac:dyDescent="0.35">
      <c r="C73" s="2"/>
      <c r="F73" s="2"/>
      <c r="I73" s="2"/>
    </row>
    <row r="74" spans="2:12" x14ac:dyDescent="0.35">
      <c r="C74" s="2"/>
      <c r="F74" s="2"/>
      <c r="I74" s="2"/>
    </row>
    <row r="75" spans="2:12" x14ac:dyDescent="0.35">
      <c r="C75" s="2"/>
      <c r="I75" s="2"/>
    </row>
    <row r="76" spans="2:12" x14ac:dyDescent="0.35">
      <c r="I76" s="2"/>
    </row>
    <row r="77" spans="2:12" x14ac:dyDescent="0.35">
      <c r="I77" s="2"/>
    </row>
    <row r="78" spans="2:12" x14ac:dyDescent="0.35">
      <c r="I78" s="2"/>
    </row>
    <row r="79" spans="2:12" x14ac:dyDescent="0.35">
      <c r="I79" s="2"/>
    </row>
    <row r="80" spans="2:12" x14ac:dyDescent="0.3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O94"/>
  <sheetViews>
    <sheetView view="pageLayout" zoomScale="70" zoomScaleNormal="100" zoomScalePageLayoutView="70" workbookViewId="0">
      <selection activeCell="F19" sqref="F19"/>
    </sheetView>
  </sheetViews>
  <sheetFormatPr defaultRowHeight="14.5" x14ac:dyDescent="0.35"/>
  <cols>
    <col min="1" max="1" width="3.453125" bestFit="1" customWidth="1"/>
    <col min="2" max="2" width="5" customWidth="1"/>
    <col min="3" max="3" width="6.26953125" customWidth="1"/>
    <col min="4" max="4" width="15.453125" customWidth="1"/>
    <col min="5" max="5" width="3.453125" bestFit="1" customWidth="1"/>
    <col min="6" max="6" width="5.7265625" customWidth="1"/>
    <col min="7" max="7" width="4.81640625" customWidth="1"/>
    <col min="8" max="8" width="21.7265625" customWidth="1"/>
    <col min="9" max="9" width="3.453125" bestFit="1" customWidth="1"/>
    <col min="10" max="10" width="3.81640625" bestFit="1" customWidth="1"/>
    <col min="11" max="11" width="6.7265625" customWidth="1"/>
    <col min="12" max="12" width="17.26953125" customWidth="1"/>
    <col min="13" max="13" width="4.26953125" customWidth="1"/>
    <col min="14" max="14" width="5.1796875" customWidth="1"/>
    <col min="15" max="15" width="15.7265625" customWidth="1"/>
  </cols>
  <sheetData>
    <row r="1" spans="1:15" ht="21.5" thickBot="1" x14ac:dyDescent="0.55000000000000004">
      <c r="C1" s="103" t="s">
        <v>74</v>
      </c>
      <c r="D1" s="103"/>
      <c r="E1" s="92"/>
      <c r="F1" s="104">
        <f>DATE(2024,12,30)+(Mon!D2-1)*7+3</f>
        <v>46079</v>
      </c>
      <c r="G1" s="104"/>
      <c r="H1" s="104"/>
      <c r="I1" s="96"/>
      <c r="J1" s="1"/>
      <c r="K1" s="63" t="s">
        <v>110</v>
      </c>
      <c r="L1" s="64">
        <f>Mon!F1+49-1</f>
        <v>46124</v>
      </c>
      <c r="O1" s="19" t="s">
        <v>38</v>
      </c>
    </row>
    <row r="3" spans="1:15" ht="15" thickBot="1" x14ac:dyDescent="0.4">
      <c r="A3" s="56" t="s">
        <v>191</v>
      </c>
      <c r="C3" s="17" t="s">
        <v>39</v>
      </c>
      <c r="D3" s="17"/>
      <c r="E3" s="56" t="s">
        <v>191</v>
      </c>
      <c r="G3" s="20" t="s">
        <v>69</v>
      </c>
      <c r="H3" s="5"/>
      <c r="I3" s="56" t="s">
        <v>191</v>
      </c>
      <c r="K3" s="20" t="s">
        <v>173</v>
      </c>
      <c r="L3" s="5"/>
      <c r="M3" s="56" t="s">
        <v>191</v>
      </c>
      <c r="N3" s="20" t="s">
        <v>121</v>
      </c>
      <c r="O3" s="5"/>
    </row>
    <row r="4" spans="1:15" x14ac:dyDescent="0.35">
      <c r="A4" s="51">
        <v>1</v>
      </c>
      <c r="B4">
        <f>ROUNDDOWN(C4/24,0)</f>
        <v>0</v>
      </c>
      <c r="C4" s="39">
        <v>1</v>
      </c>
      <c r="D4" s="2" t="s">
        <v>41</v>
      </c>
      <c r="E4" s="52"/>
      <c r="G4" s="39">
        <v>0</v>
      </c>
      <c r="H4" s="2" t="s">
        <v>3</v>
      </c>
      <c r="I4" s="52"/>
      <c r="J4">
        <f>ROUNDDOWN(K4/24,0)</f>
        <v>0</v>
      </c>
      <c r="K4" s="39">
        <v>0</v>
      </c>
      <c r="L4" s="2" t="s">
        <v>44</v>
      </c>
      <c r="M4" s="51">
        <v>2</v>
      </c>
      <c r="N4" s="44">
        <v>2</v>
      </c>
      <c r="O4" s="2" t="s">
        <v>19</v>
      </c>
    </row>
    <row r="5" spans="1:15" x14ac:dyDescent="0.35">
      <c r="A5" s="51"/>
      <c r="B5">
        <f>ROUNDDOWN(C5/24,0)</f>
        <v>0</v>
      </c>
      <c r="C5" s="39">
        <v>6</v>
      </c>
      <c r="D5" s="2" t="s">
        <v>42</v>
      </c>
      <c r="E5" s="52">
        <v>6</v>
      </c>
      <c r="G5" s="39">
        <v>6</v>
      </c>
      <c r="H5" s="2" t="s">
        <v>40</v>
      </c>
      <c r="I5" s="52">
        <v>7</v>
      </c>
      <c r="J5">
        <f>ROUNDDOWN(K5/24,0)</f>
        <v>0</v>
      </c>
      <c r="K5" s="39">
        <v>7</v>
      </c>
      <c r="L5" s="2" t="s">
        <v>45</v>
      </c>
      <c r="M5" s="51">
        <v>11</v>
      </c>
      <c r="N5" s="39">
        <v>11</v>
      </c>
      <c r="O5" s="2" t="s">
        <v>20</v>
      </c>
    </row>
    <row r="6" spans="1:15" x14ac:dyDescent="0.35">
      <c r="A6" s="51"/>
      <c r="C6" s="39">
        <v>0</v>
      </c>
      <c r="D6" s="2" t="s">
        <v>4</v>
      </c>
      <c r="E6" s="52"/>
      <c r="G6" s="39">
        <v>0</v>
      </c>
      <c r="H6" s="2" t="s">
        <v>4</v>
      </c>
      <c r="I6" s="52"/>
      <c r="K6" s="39">
        <v>2</v>
      </c>
      <c r="L6" s="2" t="s">
        <v>30</v>
      </c>
      <c r="M6" s="51"/>
      <c r="N6" s="39">
        <v>0</v>
      </c>
      <c r="O6" s="2" t="s">
        <v>27</v>
      </c>
    </row>
    <row r="7" spans="1:15" x14ac:dyDescent="0.35">
      <c r="A7" s="51"/>
      <c r="C7" s="39">
        <v>0</v>
      </c>
      <c r="D7" s="2" t="s">
        <v>5</v>
      </c>
      <c r="E7" s="52"/>
      <c r="G7" s="39">
        <v>0</v>
      </c>
      <c r="H7" s="2" t="s">
        <v>5</v>
      </c>
      <c r="I7" s="52"/>
      <c r="J7">
        <f>ROUNDDOWN(K7/13,0)</f>
        <v>1</v>
      </c>
      <c r="K7" s="39">
        <v>17</v>
      </c>
      <c r="L7" s="2" t="s">
        <v>71</v>
      </c>
      <c r="M7" s="51"/>
      <c r="N7" s="39">
        <v>0</v>
      </c>
      <c r="O7" s="2" t="s">
        <v>21</v>
      </c>
    </row>
    <row r="8" spans="1:15" x14ac:dyDescent="0.35">
      <c r="A8" s="51"/>
      <c r="B8">
        <f>ROUNDDOWN(C8/20,0)</f>
        <v>1</v>
      </c>
      <c r="C8" s="39">
        <v>30</v>
      </c>
      <c r="D8" s="2" t="s">
        <v>6</v>
      </c>
      <c r="E8" s="52"/>
      <c r="G8" s="39">
        <v>6</v>
      </c>
      <c r="H8" s="2" t="s">
        <v>9</v>
      </c>
      <c r="I8" s="52"/>
      <c r="K8" s="39">
        <v>9</v>
      </c>
      <c r="L8" s="2" t="s">
        <v>46</v>
      </c>
      <c r="M8" s="51"/>
      <c r="N8" s="39">
        <v>0</v>
      </c>
      <c r="O8" s="2" t="s">
        <v>23</v>
      </c>
    </row>
    <row r="9" spans="1:15" x14ac:dyDescent="0.35">
      <c r="A9" s="51"/>
      <c r="C9" s="39">
        <v>7</v>
      </c>
      <c r="D9" s="2" t="s">
        <v>9</v>
      </c>
      <c r="E9" s="52">
        <v>8</v>
      </c>
      <c r="G9" s="39">
        <v>8</v>
      </c>
      <c r="H9" s="2" t="s">
        <v>7</v>
      </c>
      <c r="I9" s="52">
        <v>14</v>
      </c>
      <c r="J9">
        <f>ROUNDDOWN(K9/24,0)</f>
        <v>0</v>
      </c>
      <c r="K9" s="39">
        <v>14</v>
      </c>
      <c r="L9" s="16" t="s">
        <v>7</v>
      </c>
      <c r="M9" s="51">
        <v>4</v>
      </c>
      <c r="N9" s="39">
        <v>4</v>
      </c>
      <c r="O9" s="2" t="s">
        <v>22</v>
      </c>
    </row>
    <row r="10" spans="1:15" x14ac:dyDescent="0.35">
      <c r="A10" s="51">
        <v>5</v>
      </c>
      <c r="B10">
        <f>ROUNDDOWN(C10/24,0)</f>
        <v>0</v>
      </c>
      <c r="C10" s="39">
        <v>5</v>
      </c>
      <c r="D10" s="2" t="s">
        <v>7</v>
      </c>
      <c r="E10" s="52"/>
      <c r="G10" s="39">
        <v>0</v>
      </c>
      <c r="H10" s="16" t="s">
        <v>8</v>
      </c>
      <c r="I10" s="52"/>
      <c r="K10" s="39">
        <f>SUM(K4:K9)</f>
        <v>49</v>
      </c>
      <c r="L10" s="22" t="s">
        <v>35</v>
      </c>
      <c r="M10" s="51"/>
      <c r="N10" s="39">
        <v>0</v>
      </c>
      <c r="O10" s="2" t="s">
        <v>24</v>
      </c>
    </row>
    <row r="11" spans="1:15" x14ac:dyDescent="0.35">
      <c r="A11" s="51"/>
      <c r="B11">
        <f>ROUNDDOWN(C11/24,0)</f>
        <v>3</v>
      </c>
      <c r="C11" s="39">
        <v>72</v>
      </c>
      <c r="D11" s="2" t="s">
        <v>8</v>
      </c>
      <c r="E11" s="2"/>
      <c r="G11" s="39">
        <f>SUM(G4:G10)</f>
        <v>20</v>
      </c>
      <c r="H11" s="22" t="s">
        <v>35</v>
      </c>
      <c r="I11" s="22"/>
      <c r="M11" s="51"/>
      <c r="N11" s="39">
        <v>0</v>
      </c>
      <c r="O11" s="2" t="s">
        <v>25</v>
      </c>
    </row>
    <row r="12" spans="1:15" x14ac:dyDescent="0.35">
      <c r="A12" s="51"/>
      <c r="C12" s="39">
        <v>0</v>
      </c>
      <c r="D12" s="2" t="s">
        <v>43</v>
      </c>
      <c r="E12" s="2"/>
      <c r="H12" s="2"/>
      <c r="I12" s="2"/>
      <c r="K12" s="2" t="s">
        <v>36</v>
      </c>
      <c r="L12" s="16">
        <v>4881850405</v>
      </c>
      <c r="M12" s="51"/>
      <c r="N12" s="39">
        <v>0</v>
      </c>
      <c r="O12" s="2" t="s">
        <v>26</v>
      </c>
    </row>
    <row r="13" spans="1:15" x14ac:dyDescent="0.35">
      <c r="A13" s="51"/>
      <c r="C13" s="39">
        <v>1</v>
      </c>
      <c r="D13" s="2" t="s">
        <v>15</v>
      </c>
      <c r="E13" s="2"/>
      <c r="M13" s="51"/>
      <c r="N13" s="39">
        <v>12</v>
      </c>
      <c r="O13" s="16" t="s">
        <v>28</v>
      </c>
    </row>
    <row r="14" spans="1:15" ht="15" thickBot="1" x14ac:dyDescent="0.4">
      <c r="A14" s="51"/>
      <c r="C14" s="39">
        <v>1</v>
      </c>
      <c r="D14" s="2" t="s">
        <v>14</v>
      </c>
      <c r="E14" s="2"/>
      <c r="I14" s="56" t="s">
        <v>191</v>
      </c>
      <c r="K14" s="17" t="s">
        <v>174</v>
      </c>
      <c r="L14" s="17"/>
      <c r="N14" s="39">
        <f>SUM(N4:N13)</f>
        <v>29</v>
      </c>
      <c r="O14" s="22" t="s">
        <v>35</v>
      </c>
    </row>
    <row r="15" spans="1:15" x14ac:dyDescent="0.35">
      <c r="A15" s="51"/>
      <c r="C15" s="39">
        <v>1</v>
      </c>
      <c r="D15" s="2" t="s">
        <v>16</v>
      </c>
      <c r="E15" s="2"/>
      <c r="I15" s="52">
        <v>24</v>
      </c>
      <c r="J15" s="3"/>
      <c r="K15" s="39">
        <v>24</v>
      </c>
      <c r="L15" s="2" t="s">
        <v>29</v>
      </c>
      <c r="O15" s="2"/>
    </row>
    <row r="16" spans="1:15" x14ac:dyDescent="0.35">
      <c r="A16" s="51"/>
      <c r="C16" s="39">
        <v>0</v>
      </c>
      <c r="D16" s="2" t="s">
        <v>115</v>
      </c>
      <c r="E16" s="2"/>
      <c r="I16" s="52"/>
      <c r="K16" s="39">
        <v>0</v>
      </c>
      <c r="L16" s="2" t="s">
        <v>30</v>
      </c>
      <c r="N16" s="2" t="s">
        <v>36</v>
      </c>
      <c r="O16" s="16">
        <v>2272</v>
      </c>
    </row>
    <row r="17" spans="1:13" x14ac:dyDescent="0.35">
      <c r="A17" s="51"/>
      <c r="C17" s="39">
        <v>0</v>
      </c>
      <c r="D17" s="2" t="s">
        <v>114</v>
      </c>
      <c r="E17" s="2"/>
      <c r="I17" s="52"/>
      <c r="K17" s="39">
        <v>2</v>
      </c>
      <c r="L17" s="16" t="s">
        <v>116</v>
      </c>
    </row>
    <row r="18" spans="1:13" x14ac:dyDescent="0.35">
      <c r="A18" s="51"/>
      <c r="C18" s="39">
        <v>0</v>
      </c>
      <c r="D18" s="2" t="s">
        <v>116</v>
      </c>
      <c r="E18" s="2"/>
      <c r="I18" s="2"/>
      <c r="K18" s="39">
        <f>SUM(K15:K17)</f>
        <v>26</v>
      </c>
      <c r="L18" s="22" t="s">
        <v>35</v>
      </c>
      <c r="M18" s="4"/>
    </row>
    <row r="19" spans="1:13" x14ac:dyDescent="0.35">
      <c r="A19" s="51"/>
      <c r="C19" s="39">
        <v>0</v>
      </c>
      <c r="D19" s="2" t="s">
        <v>13</v>
      </c>
      <c r="E19" s="2"/>
      <c r="M19" s="4"/>
    </row>
    <row r="20" spans="1:13" x14ac:dyDescent="0.35">
      <c r="A20" s="51"/>
      <c r="C20" s="39">
        <v>1</v>
      </c>
      <c r="D20" s="16" t="s">
        <v>18</v>
      </c>
      <c r="E20" s="2"/>
      <c r="M20" s="2"/>
    </row>
    <row r="21" spans="1:13" x14ac:dyDescent="0.35">
      <c r="C21" s="39">
        <f>SUM(C4:C20)</f>
        <v>125</v>
      </c>
      <c r="D21" s="22" t="s">
        <v>35</v>
      </c>
      <c r="E21" s="22"/>
      <c r="M21" s="2"/>
    </row>
    <row r="22" spans="1:13" x14ac:dyDescent="0.35">
      <c r="M22" s="2"/>
    </row>
    <row r="24" spans="1:13" ht="15" thickBot="1" x14ac:dyDescent="0.4">
      <c r="A24" s="56" t="s">
        <v>191</v>
      </c>
      <c r="C24" s="17" t="s">
        <v>68</v>
      </c>
      <c r="D24" s="5"/>
      <c r="E24" s="56" t="s">
        <v>191</v>
      </c>
      <c r="G24" s="17" t="s">
        <v>176</v>
      </c>
      <c r="H24" s="5"/>
      <c r="L24" s="2"/>
    </row>
    <row r="25" spans="1:13" x14ac:dyDescent="0.35">
      <c r="A25" s="52">
        <v>2</v>
      </c>
      <c r="C25" s="39">
        <v>2</v>
      </c>
      <c r="D25" t="s">
        <v>1</v>
      </c>
      <c r="E25" s="52"/>
      <c r="G25" s="39">
        <v>0</v>
      </c>
      <c r="H25" t="s">
        <v>1</v>
      </c>
    </row>
    <row r="27" spans="1:13" ht="15" thickBot="1" x14ac:dyDescent="0.4">
      <c r="A27" s="56" t="s">
        <v>191</v>
      </c>
      <c r="C27" s="20" t="s">
        <v>175</v>
      </c>
      <c r="D27" s="5"/>
      <c r="E27" s="56" t="s">
        <v>191</v>
      </c>
      <c r="G27" s="17" t="s">
        <v>177</v>
      </c>
      <c r="H27" s="5"/>
    </row>
    <row r="28" spans="1:13" x14ac:dyDescent="0.35">
      <c r="A28" s="52">
        <v>6</v>
      </c>
      <c r="C28" s="44">
        <v>6</v>
      </c>
      <c r="D28" s="2" t="s">
        <v>49</v>
      </c>
      <c r="E28" s="52">
        <v>2</v>
      </c>
      <c r="G28" s="39">
        <v>2</v>
      </c>
      <c r="H28" t="s">
        <v>1</v>
      </c>
    </row>
    <row r="34" spans="1:15" ht="15" thickBot="1" x14ac:dyDescent="0.4"/>
    <row r="35" spans="1:15" ht="21.5" thickBot="1" x14ac:dyDescent="0.55000000000000004">
      <c r="C35" s="103" t="s">
        <v>74</v>
      </c>
      <c r="D35" s="103"/>
      <c r="E35" s="92"/>
      <c r="F35" s="104">
        <f>F1</f>
        <v>46079</v>
      </c>
      <c r="G35" s="104"/>
      <c r="H35" s="104"/>
      <c r="I35" s="96"/>
      <c r="K35" s="63" t="s">
        <v>110</v>
      </c>
      <c r="L35" s="64">
        <f>L1</f>
        <v>46124</v>
      </c>
      <c r="O35" s="19" t="s">
        <v>37</v>
      </c>
    </row>
    <row r="37" spans="1:15" ht="15" thickBot="1" x14ac:dyDescent="0.4">
      <c r="A37" s="56" t="s">
        <v>191</v>
      </c>
      <c r="C37" s="17" t="s">
        <v>179</v>
      </c>
      <c r="D37" s="17"/>
      <c r="E37" s="56" t="s">
        <v>191</v>
      </c>
      <c r="G37" s="17" t="s">
        <v>65</v>
      </c>
      <c r="H37" s="17"/>
      <c r="I37" s="22"/>
      <c r="J37" s="56" t="s">
        <v>191</v>
      </c>
      <c r="K37" s="17" t="s">
        <v>178</v>
      </c>
      <c r="L37" s="17"/>
      <c r="M37" s="56" t="s">
        <v>191</v>
      </c>
      <c r="N37" s="18" t="s">
        <v>112</v>
      </c>
      <c r="O37" s="5"/>
    </row>
    <row r="38" spans="1:15" x14ac:dyDescent="0.35">
      <c r="A38" s="51"/>
      <c r="B38">
        <f>ROUNDDOWN(C38/24,0)</f>
        <v>0</v>
      </c>
      <c r="C38" s="39">
        <v>0</v>
      </c>
      <c r="D38" s="2" t="s">
        <v>41</v>
      </c>
      <c r="E38" s="52"/>
      <c r="F38">
        <f>ROUNDDOWN(G38/24,0)</f>
        <v>0</v>
      </c>
      <c r="G38" s="39">
        <v>0</v>
      </c>
      <c r="H38" s="2" t="s">
        <v>32</v>
      </c>
      <c r="I38" s="2"/>
      <c r="J38" s="51"/>
      <c r="K38" s="39">
        <v>5</v>
      </c>
      <c r="L38" s="2" t="s">
        <v>19</v>
      </c>
      <c r="M38" s="51"/>
      <c r="N38" s="39">
        <v>14</v>
      </c>
      <c r="O38" s="2" t="s">
        <v>19</v>
      </c>
    </row>
    <row r="39" spans="1:15" x14ac:dyDescent="0.35">
      <c r="A39" s="51">
        <v>5</v>
      </c>
      <c r="B39">
        <f>ROUNDDOWN(C39/24,0)</f>
        <v>0</v>
      </c>
      <c r="C39" s="39">
        <v>5</v>
      </c>
      <c r="D39" s="2" t="s">
        <v>42</v>
      </c>
      <c r="E39" s="52"/>
      <c r="F39">
        <f>ROUNDDOWN(G39/24,0)</f>
        <v>2</v>
      </c>
      <c r="G39" s="39">
        <v>48</v>
      </c>
      <c r="H39" s="2" t="s">
        <v>31</v>
      </c>
      <c r="I39" s="2"/>
      <c r="J39" s="51"/>
      <c r="K39" s="39">
        <v>25</v>
      </c>
      <c r="L39" s="2" t="s">
        <v>20</v>
      </c>
      <c r="M39" s="51"/>
      <c r="N39" s="39">
        <v>30</v>
      </c>
      <c r="O39" s="2" t="s">
        <v>20</v>
      </c>
    </row>
    <row r="40" spans="1:15" x14ac:dyDescent="0.35">
      <c r="A40" s="51"/>
      <c r="C40" s="39">
        <v>0</v>
      </c>
      <c r="D40" s="2" t="s">
        <v>4</v>
      </c>
      <c r="E40" s="52"/>
      <c r="G40" s="39">
        <v>0</v>
      </c>
      <c r="H40" s="2" t="s">
        <v>33</v>
      </c>
      <c r="I40" s="2"/>
      <c r="J40" s="51"/>
      <c r="K40" s="39">
        <v>0</v>
      </c>
      <c r="L40" s="2" t="s">
        <v>27</v>
      </c>
      <c r="M40" s="51"/>
      <c r="N40" s="39">
        <v>0</v>
      </c>
      <c r="O40" s="2" t="s">
        <v>27</v>
      </c>
    </row>
    <row r="41" spans="1:15" x14ac:dyDescent="0.35">
      <c r="A41" s="51"/>
      <c r="C41" s="39">
        <v>0</v>
      </c>
      <c r="D41" s="2" t="s">
        <v>5</v>
      </c>
      <c r="E41" s="52"/>
      <c r="F41">
        <f>ROUNDDOWN(G41/13,0)</f>
        <v>4</v>
      </c>
      <c r="G41" s="39">
        <v>52</v>
      </c>
      <c r="H41" s="2" t="s">
        <v>71</v>
      </c>
      <c r="I41" s="2"/>
      <c r="J41" s="51"/>
      <c r="K41" s="39">
        <v>2</v>
      </c>
      <c r="L41" s="2" t="s">
        <v>21</v>
      </c>
      <c r="M41" s="51"/>
      <c r="N41" s="39">
        <v>5</v>
      </c>
      <c r="O41" s="2" t="s">
        <v>21</v>
      </c>
    </row>
    <row r="42" spans="1:15" x14ac:dyDescent="0.35">
      <c r="A42" s="51"/>
      <c r="B42">
        <f>ROUNDDOWN(C42/20,0)</f>
        <v>1</v>
      </c>
      <c r="C42" s="39">
        <v>20</v>
      </c>
      <c r="D42" s="2" t="s">
        <v>6</v>
      </c>
      <c r="E42" s="52"/>
      <c r="G42" s="39">
        <v>5</v>
      </c>
      <c r="H42" s="2" t="s">
        <v>46</v>
      </c>
      <c r="I42" s="2"/>
      <c r="J42" s="51"/>
      <c r="K42" s="39">
        <v>1</v>
      </c>
      <c r="L42" s="2" t="s">
        <v>23</v>
      </c>
      <c r="M42" s="51"/>
      <c r="N42" s="39">
        <v>2</v>
      </c>
      <c r="O42" s="2" t="s">
        <v>23</v>
      </c>
    </row>
    <row r="43" spans="1:15" x14ac:dyDescent="0.35">
      <c r="A43" s="51"/>
      <c r="C43" s="39">
        <v>5</v>
      </c>
      <c r="D43" s="2" t="s">
        <v>9</v>
      </c>
      <c r="E43" s="52">
        <v>24</v>
      </c>
      <c r="F43">
        <f>ROUNDDOWN(G43/24,0)</f>
        <v>1</v>
      </c>
      <c r="G43" s="39">
        <v>24</v>
      </c>
      <c r="H43" s="16" t="s">
        <v>7</v>
      </c>
      <c r="I43" s="2"/>
      <c r="J43" s="51"/>
      <c r="K43" s="39">
        <v>20</v>
      </c>
      <c r="L43" s="2" t="s">
        <v>22</v>
      </c>
      <c r="M43" s="51"/>
      <c r="N43" s="39">
        <v>37</v>
      </c>
      <c r="O43" s="2" t="s">
        <v>22</v>
      </c>
    </row>
    <row r="44" spans="1:15" x14ac:dyDescent="0.35">
      <c r="A44" s="51">
        <v>96</v>
      </c>
      <c r="B44">
        <f>ROUNDDOWN(C44/24,0)</f>
        <v>4</v>
      </c>
      <c r="C44" s="39">
        <v>96</v>
      </c>
      <c r="D44" s="2" t="s">
        <v>7</v>
      </c>
      <c r="E44" s="2"/>
      <c r="G44" s="39">
        <f>SUM(G38:G43)</f>
        <v>129</v>
      </c>
      <c r="H44" s="2" t="s">
        <v>35</v>
      </c>
      <c r="I44" s="2"/>
      <c r="J44" s="51"/>
      <c r="K44" s="39">
        <v>0</v>
      </c>
      <c r="L44" s="2" t="s">
        <v>24</v>
      </c>
      <c r="M44" s="51"/>
      <c r="N44" s="39">
        <v>0</v>
      </c>
      <c r="O44" s="2" t="s">
        <v>24</v>
      </c>
    </row>
    <row r="45" spans="1:15" x14ac:dyDescent="0.35">
      <c r="A45" s="51"/>
      <c r="B45">
        <f>ROUNDDOWN(C45/24,0)</f>
        <v>0</v>
      </c>
      <c r="C45" s="39">
        <v>0</v>
      </c>
      <c r="D45" s="2" t="s">
        <v>8</v>
      </c>
      <c r="E45" s="2"/>
      <c r="G45" s="2"/>
      <c r="J45" s="51"/>
      <c r="K45" s="39">
        <v>0</v>
      </c>
      <c r="L45" s="2" t="s">
        <v>25</v>
      </c>
      <c r="M45" s="51"/>
      <c r="N45" s="39">
        <v>0</v>
      </c>
      <c r="O45" s="2" t="s">
        <v>25</v>
      </c>
    </row>
    <row r="46" spans="1:15" x14ac:dyDescent="0.35">
      <c r="A46" s="51">
        <v>3</v>
      </c>
      <c r="C46" s="39">
        <v>3</v>
      </c>
      <c r="D46" s="2" t="s">
        <v>43</v>
      </c>
      <c r="E46" s="2"/>
      <c r="G46" s="2" t="s">
        <v>36</v>
      </c>
      <c r="H46" s="16">
        <v>4881855877</v>
      </c>
      <c r="I46" s="2"/>
      <c r="J46" s="51"/>
      <c r="K46" s="39">
        <v>0</v>
      </c>
      <c r="L46" s="2" t="s">
        <v>26</v>
      </c>
      <c r="M46" s="51"/>
      <c r="N46" s="39">
        <v>0</v>
      </c>
      <c r="O46" s="2" t="s">
        <v>26</v>
      </c>
    </row>
    <row r="47" spans="1:15" x14ac:dyDescent="0.35">
      <c r="A47" s="51"/>
      <c r="C47" s="39">
        <v>2</v>
      </c>
      <c r="D47" s="2" t="s">
        <v>15</v>
      </c>
      <c r="E47" s="2"/>
      <c r="J47" s="51"/>
      <c r="K47" s="39">
        <v>47</v>
      </c>
      <c r="L47" s="16" t="s">
        <v>28</v>
      </c>
      <c r="M47" s="51"/>
      <c r="N47" s="39">
        <v>122</v>
      </c>
      <c r="O47" s="16" t="s">
        <v>28</v>
      </c>
    </row>
    <row r="48" spans="1:15" x14ac:dyDescent="0.35">
      <c r="A48" s="51"/>
      <c r="C48" s="39">
        <v>1</v>
      </c>
      <c r="D48" s="2" t="s">
        <v>14</v>
      </c>
      <c r="E48" s="2"/>
      <c r="K48" s="39">
        <f>SUM(K38:K47)</f>
        <v>100</v>
      </c>
      <c r="L48" s="2" t="s">
        <v>35</v>
      </c>
      <c r="N48" s="39">
        <f>SUM(N38:N47)</f>
        <v>210</v>
      </c>
      <c r="O48" s="2" t="s">
        <v>35</v>
      </c>
    </row>
    <row r="49" spans="1:15" ht="15" thickBot="1" x14ac:dyDescent="0.4">
      <c r="A49" s="51"/>
      <c r="C49" s="39">
        <v>1</v>
      </c>
      <c r="D49" s="2" t="s">
        <v>16</v>
      </c>
      <c r="E49" s="56" t="s">
        <v>191</v>
      </c>
      <c r="G49" s="17" t="s">
        <v>118</v>
      </c>
      <c r="H49" s="17"/>
      <c r="I49" s="22"/>
      <c r="O49" s="2"/>
    </row>
    <row r="50" spans="1:15" x14ac:dyDescent="0.35">
      <c r="A50" s="51"/>
      <c r="C50" s="39">
        <v>0</v>
      </c>
      <c r="D50" s="2" t="s">
        <v>17</v>
      </c>
      <c r="E50" s="52">
        <v>40</v>
      </c>
      <c r="G50" s="39">
        <v>40</v>
      </c>
      <c r="H50" s="2" t="s">
        <v>29</v>
      </c>
      <c r="I50" s="2"/>
      <c r="K50" s="2" t="s">
        <v>36</v>
      </c>
      <c r="L50" s="16">
        <v>2024</v>
      </c>
      <c r="N50" s="2" t="s">
        <v>36</v>
      </c>
      <c r="O50" s="16">
        <v>2292</v>
      </c>
    </row>
    <row r="51" spans="1:15" x14ac:dyDescent="0.35">
      <c r="A51" s="51"/>
      <c r="C51" s="39">
        <v>0</v>
      </c>
      <c r="D51" s="2" t="s">
        <v>11</v>
      </c>
      <c r="E51" s="52"/>
      <c r="G51" s="39">
        <v>0</v>
      </c>
      <c r="H51" s="2" t="s">
        <v>30</v>
      </c>
      <c r="I51" s="2"/>
      <c r="J51" s="2"/>
    </row>
    <row r="52" spans="1:15" x14ac:dyDescent="0.35">
      <c r="A52" s="51"/>
      <c r="C52" s="39">
        <v>0</v>
      </c>
      <c r="D52" s="2" t="s">
        <v>12</v>
      </c>
      <c r="E52" s="52"/>
      <c r="G52" s="39">
        <v>0</v>
      </c>
      <c r="H52" s="16" t="s">
        <v>12</v>
      </c>
      <c r="I52" s="2"/>
    </row>
    <row r="53" spans="1:15" ht="15" thickBot="1" x14ac:dyDescent="0.4">
      <c r="A53" s="51"/>
      <c r="C53" s="39">
        <v>0</v>
      </c>
      <c r="D53" s="2" t="s">
        <v>13</v>
      </c>
      <c r="E53" s="2"/>
      <c r="G53" s="39">
        <f>SUM(G50:G52)</f>
        <v>40</v>
      </c>
      <c r="H53" s="2" t="s">
        <v>35</v>
      </c>
      <c r="I53" s="2"/>
      <c r="M53" s="56" t="s">
        <v>191</v>
      </c>
      <c r="N53" s="17" t="s">
        <v>119</v>
      </c>
      <c r="O53" s="5"/>
    </row>
    <row r="54" spans="1:15" x14ac:dyDescent="0.35">
      <c r="A54" s="51"/>
      <c r="C54" s="39">
        <v>0</v>
      </c>
      <c r="D54" s="16" t="s">
        <v>18</v>
      </c>
      <c r="E54" s="2"/>
      <c r="L54" s="4"/>
      <c r="M54" s="51"/>
      <c r="N54" s="39">
        <v>5</v>
      </c>
      <c r="O54" t="s">
        <v>49</v>
      </c>
    </row>
    <row r="55" spans="1:15" x14ac:dyDescent="0.35">
      <c r="C55" s="39">
        <v>133</v>
      </c>
      <c r="D55" s="2" t="s">
        <v>35</v>
      </c>
      <c r="E55" s="2"/>
      <c r="L55" s="4"/>
      <c r="M55" s="51"/>
      <c r="N55" s="39">
        <v>4</v>
      </c>
      <c r="O55" s="16" t="s">
        <v>2</v>
      </c>
    </row>
    <row r="56" spans="1:15" ht="15" thickBot="1" x14ac:dyDescent="0.4">
      <c r="E56" s="56" t="s">
        <v>191</v>
      </c>
      <c r="G56" s="17" t="s">
        <v>64</v>
      </c>
      <c r="H56" s="17"/>
      <c r="I56" s="22"/>
      <c r="L56" s="2"/>
      <c r="N56" s="39">
        <f>SUM(N54:N55)</f>
        <v>9</v>
      </c>
      <c r="O56" s="2" t="s">
        <v>35</v>
      </c>
    </row>
    <row r="57" spans="1:15" x14ac:dyDescent="0.35">
      <c r="D57" s="4"/>
      <c r="E57" s="94">
        <v>24</v>
      </c>
      <c r="G57" s="39">
        <v>24</v>
      </c>
      <c r="H57" s="2" t="s">
        <v>29</v>
      </c>
      <c r="I57" s="2"/>
      <c r="L57" s="2"/>
    </row>
    <row r="58" spans="1:15" x14ac:dyDescent="0.35">
      <c r="C58" s="4"/>
      <c r="D58" s="4"/>
      <c r="E58" s="94"/>
      <c r="F58" s="4"/>
      <c r="G58" s="39">
        <v>1</v>
      </c>
      <c r="H58" s="2" t="s">
        <v>30</v>
      </c>
      <c r="I58" s="2"/>
      <c r="M58" s="6"/>
    </row>
    <row r="59" spans="1:15" ht="15" thickBot="1" x14ac:dyDescent="0.4">
      <c r="C59" s="4"/>
      <c r="D59" s="4"/>
      <c r="E59" s="94"/>
      <c r="F59" s="4"/>
      <c r="G59" s="39">
        <v>2</v>
      </c>
      <c r="H59" s="16" t="s">
        <v>12</v>
      </c>
      <c r="I59" s="2"/>
      <c r="J59" s="4"/>
      <c r="M59" s="2"/>
      <c r="N59" s="17"/>
      <c r="O59" s="5"/>
    </row>
    <row r="60" spans="1:15" x14ac:dyDescent="0.35">
      <c r="C60" s="8"/>
      <c r="D60" s="7"/>
      <c r="E60" s="7"/>
      <c r="F60" s="9"/>
      <c r="G60" s="39">
        <f>SUM(G57:G59)</f>
        <v>27</v>
      </c>
      <c r="H60" s="2" t="s">
        <v>35</v>
      </c>
      <c r="I60" s="2"/>
      <c r="M60" s="2"/>
      <c r="N60" s="39"/>
    </row>
    <row r="61" spans="1:15" x14ac:dyDescent="0.35">
      <c r="F61" s="10"/>
      <c r="G61" s="2"/>
      <c r="M61" s="2"/>
    </row>
    <row r="62" spans="1:15" x14ac:dyDescent="0.35">
      <c r="F62" s="10"/>
      <c r="M62" s="2"/>
    </row>
    <row r="63" spans="1:15" x14ac:dyDescent="0.35">
      <c r="C63" s="4"/>
      <c r="D63" s="4"/>
      <c r="E63" s="4"/>
      <c r="M63" s="2"/>
    </row>
    <row r="64" spans="1:15" x14ac:dyDescent="0.35">
      <c r="C64" s="4"/>
      <c r="D64" s="4"/>
      <c r="E64" s="4"/>
      <c r="M64" s="2"/>
    </row>
    <row r="65" spans="3:15" x14ac:dyDescent="0.35">
      <c r="C65" s="9"/>
      <c r="D65" s="7"/>
      <c r="E65" s="7"/>
      <c r="M65" s="2"/>
    </row>
    <row r="66" spans="3:15" x14ac:dyDescent="0.35">
      <c r="M66" s="2"/>
    </row>
    <row r="69" spans="3:15" ht="21" x14ac:dyDescent="0.5">
      <c r="C69" s="19" t="s">
        <v>60</v>
      </c>
    </row>
    <row r="71" spans="3:15" ht="15" thickBot="1" x14ac:dyDescent="0.4">
      <c r="C71" s="30" t="s">
        <v>55</v>
      </c>
      <c r="D71" s="5"/>
      <c r="F71" s="34" t="s">
        <v>72</v>
      </c>
      <c r="G71" s="30" t="s">
        <v>56</v>
      </c>
      <c r="H71" s="5"/>
      <c r="K71" s="30" t="s">
        <v>57</v>
      </c>
      <c r="L71" s="5"/>
      <c r="N71" s="30" t="s">
        <v>58</v>
      </c>
      <c r="O71" s="5"/>
    </row>
    <row r="72" spans="3:15" x14ac:dyDescent="0.35">
      <c r="C72" s="31">
        <f>C4+G4+C38</f>
        <v>1</v>
      </c>
      <c r="D72" s="2" t="s">
        <v>41</v>
      </c>
      <c r="E72" s="2"/>
      <c r="F72" s="35">
        <f>G72*15</f>
        <v>315</v>
      </c>
      <c r="G72" s="36">
        <f t="shared" ref="G72:G81" si="0">N4+K38+N38</f>
        <v>21</v>
      </c>
      <c r="H72" s="2" t="s">
        <v>19</v>
      </c>
      <c r="I72" s="2"/>
      <c r="K72" s="13">
        <f>K4+G38</f>
        <v>0</v>
      </c>
      <c r="L72" s="2" t="s">
        <v>44</v>
      </c>
      <c r="N72" s="47">
        <f>C9+G8+K8+C43+G42</f>
        <v>32</v>
      </c>
      <c r="O72" s="2" t="s">
        <v>9</v>
      </c>
    </row>
    <row r="73" spans="3:15" x14ac:dyDescent="0.35">
      <c r="C73" s="26">
        <f>C5+G5+C39</f>
        <v>17</v>
      </c>
      <c r="D73" s="2" t="s">
        <v>42</v>
      </c>
      <c r="E73" s="2"/>
      <c r="F73" s="35">
        <f t="shared" ref="F73:F79" si="1">G73*15</f>
        <v>990</v>
      </c>
      <c r="G73" s="37">
        <f t="shared" si="0"/>
        <v>66</v>
      </c>
      <c r="H73" s="2" t="s">
        <v>20</v>
      </c>
      <c r="I73" s="2"/>
      <c r="K73" s="47">
        <f>K5+K15+G50+G39+G57</f>
        <v>143</v>
      </c>
      <c r="L73" s="2" t="s">
        <v>45</v>
      </c>
      <c r="N73" s="47">
        <f>C10+G9+K9+C44+G43</f>
        <v>147</v>
      </c>
      <c r="O73" s="2" t="s">
        <v>7</v>
      </c>
    </row>
    <row r="74" spans="3:15" x14ac:dyDescent="0.35">
      <c r="C74" s="26">
        <f>C6+G6+C40</f>
        <v>0</v>
      </c>
      <c r="D74" s="2" t="s">
        <v>4</v>
      </c>
      <c r="E74" s="2"/>
      <c r="F74" s="35">
        <f t="shared" si="1"/>
        <v>0</v>
      </c>
      <c r="G74" s="37">
        <f t="shared" si="0"/>
        <v>0</v>
      </c>
      <c r="H74" s="2" t="s">
        <v>27</v>
      </c>
      <c r="I74" s="2"/>
      <c r="K74" s="13">
        <f>K6+K16+G51+G40+G58</f>
        <v>3</v>
      </c>
      <c r="L74" s="2" t="s">
        <v>30</v>
      </c>
      <c r="N74" s="13">
        <f>C11+G10+C45</f>
        <v>72</v>
      </c>
      <c r="O74" s="2" t="s">
        <v>8</v>
      </c>
    </row>
    <row r="75" spans="3:15" x14ac:dyDescent="0.35">
      <c r="C75" s="26">
        <f>C7+G7+C41</f>
        <v>0</v>
      </c>
      <c r="D75" s="2" t="s">
        <v>5</v>
      </c>
      <c r="E75" s="2"/>
      <c r="F75" s="35">
        <f t="shared" si="1"/>
        <v>105</v>
      </c>
      <c r="G75" s="37">
        <f t="shared" si="0"/>
        <v>7</v>
      </c>
      <c r="H75" s="2" t="s">
        <v>21</v>
      </c>
      <c r="I75" s="2"/>
      <c r="K75" s="14">
        <f>K7+G41</f>
        <v>69</v>
      </c>
      <c r="L75" s="2" t="s">
        <v>70</v>
      </c>
      <c r="N75" s="47">
        <f>C28+N54</f>
        <v>11</v>
      </c>
      <c r="O75" s="2" t="s">
        <v>49</v>
      </c>
    </row>
    <row r="76" spans="3:15" x14ac:dyDescent="0.35">
      <c r="C76" s="26">
        <f>C8+C42</f>
        <v>50</v>
      </c>
      <c r="D76" s="2" t="s">
        <v>6</v>
      </c>
      <c r="E76" s="2"/>
      <c r="F76" s="35">
        <f>G76*12</f>
        <v>36</v>
      </c>
      <c r="G76" s="37">
        <f t="shared" si="0"/>
        <v>3</v>
      </c>
      <c r="H76" s="2" t="s">
        <v>23</v>
      </c>
      <c r="I76" s="2"/>
      <c r="N76" s="13">
        <f>C12+C46</f>
        <v>3</v>
      </c>
      <c r="O76" s="2" t="s">
        <v>43</v>
      </c>
    </row>
    <row r="77" spans="3:15" x14ac:dyDescent="0.35">
      <c r="C77" s="26">
        <f>C13+C47</f>
        <v>3</v>
      </c>
      <c r="D77" s="2" t="s">
        <v>15</v>
      </c>
      <c r="E77" s="2"/>
      <c r="F77" s="35">
        <f>G77*10</f>
        <v>610</v>
      </c>
      <c r="G77" s="37">
        <f t="shared" si="0"/>
        <v>61</v>
      </c>
      <c r="H77" s="2" t="s">
        <v>22</v>
      </c>
      <c r="I77" s="2"/>
      <c r="N77" s="47">
        <f>N55</f>
        <v>4</v>
      </c>
      <c r="O77" s="2" t="s">
        <v>2</v>
      </c>
    </row>
    <row r="78" spans="3:15" x14ac:dyDescent="0.35">
      <c r="D78" s="2"/>
      <c r="E78" s="2"/>
      <c r="F78" s="35">
        <f t="shared" si="1"/>
        <v>0</v>
      </c>
      <c r="G78" s="37">
        <f t="shared" si="0"/>
        <v>0</v>
      </c>
      <c r="H78" s="2" t="s">
        <v>24</v>
      </c>
      <c r="I78" s="2"/>
      <c r="N78" s="48">
        <f>N60+C25+G25+G28</f>
        <v>4</v>
      </c>
      <c r="O78" s="2" t="s">
        <v>1</v>
      </c>
    </row>
    <row r="79" spans="3:15" x14ac:dyDescent="0.35">
      <c r="D79" s="2"/>
      <c r="E79" s="2"/>
      <c r="F79" s="35">
        <f t="shared" si="1"/>
        <v>0</v>
      </c>
      <c r="G79" s="37">
        <f t="shared" si="0"/>
        <v>0</v>
      </c>
      <c r="H79" s="2" t="s">
        <v>25</v>
      </c>
      <c r="I79" s="2"/>
      <c r="N79" s="14"/>
      <c r="O79" s="2" t="s">
        <v>0</v>
      </c>
    </row>
    <row r="80" spans="3:15" x14ac:dyDescent="0.35">
      <c r="D80" s="2"/>
      <c r="E80" s="2"/>
      <c r="F80" s="35">
        <f>G80*8</f>
        <v>0</v>
      </c>
      <c r="G80" s="37">
        <f t="shared" si="0"/>
        <v>0</v>
      </c>
      <c r="H80" s="2" t="s">
        <v>26</v>
      </c>
      <c r="I80" s="2"/>
    </row>
    <row r="81" spans="3:15" x14ac:dyDescent="0.35">
      <c r="F81" s="35">
        <f>G81*8</f>
        <v>1448</v>
      </c>
      <c r="G81" s="37">
        <f t="shared" si="0"/>
        <v>181</v>
      </c>
      <c r="H81" s="2" t="s">
        <v>28</v>
      </c>
      <c r="I81" s="2"/>
    </row>
    <row r="86" spans="3:15" ht="15" thickBot="1" x14ac:dyDescent="0.4">
      <c r="C86" s="30" t="s">
        <v>59</v>
      </c>
      <c r="D86" s="5"/>
      <c r="J86" s="34" t="s">
        <v>72</v>
      </c>
      <c r="K86" s="30" t="s">
        <v>61</v>
      </c>
      <c r="L86" s="5"/>
      <c r="N86" s="5" t="s">
        <v>104</v>
      </c>
      <c r="O86" s="30" t="s">
        <v>103</v>
      </c>
    </row>
    <row r="87" spans="3:15" x14ac:dyDescent="0.35">
      <c r="C87" s="13">
        <f>C14+C48</f>
        <v>2</v>
      </c>
      <c r="D87" s="2" t="s">
        <v>14</v>
      </c>
      <c r="E87" s="2"/>
      <c r="J87" s="35">
        <f>K87*15</f>
        <v>0</v>
      </c>
      <c r="K87" s="26">
        <f>C74</f>
        <v>0</v>
      </c>
      <c r="L87" s="2" t="s">
        <v>4</v>
      </c>
      <c r="N87" s="15">
        <f>B4+B38</f>
        <v>0</v>
      </c>
      <c r="O87" t="s">
        <v>41</v>
      </c>
    </row>
    <row r="88" spans="3:15" x14ac:dyDescent="0.35">
      <c r="C88" s="13">
        <f>C15+C49</f>
        <v>2</v>
      </c>
      <c r="D88" s="2" t="s">
        <v>16</v>
      </c>
      <c r="E88" s="2"/>
      <c r="J88" s="35">
        <f t="shared" ref="J88:J90" si="2">K88*15</f>
        <v>45</v>
      </c>
      <c r="K88" s="21">
        <f>C77</f>
        <v>3</v>
      </c>
      <c r="L88" s="2" t="s">
        <v>15</v>
      </c>
      <c r="N88" s="14">
        <f>B5+B39</f>
        <v>0</v>
      </c>
      <c r="O88" t="s">
        <v>42</v>
      </c>
    </row>
    <row r="89" spans="3:15" x14ac:dyDescent="0.35">
      <c r="C89" s="13">
        <f>C16+C50</f>
        <v>0</v>
      </c>
      <c r="D89" s="2" t="s">
        <v>17</v>
      </c>
      <c r="E89" s="2"/>
      <c r="J89" s="35">
        <f>K89*10</f>
        <v>720</v>
      </c>
      <c r="K89" s="29">
        <f>N74</f>
        <v>72</v>
      </c>
      <c r="L89" s="2" t="s">
        <v>8</v>
      </c>
      <c r="N89" s="14">
        <f>B8+B42</f>
        <v>2</v>
      </c>
      <c r="O89" s="2" t="s">
        <v>6</v>
      </c>
    </row>
    <row r="90" spans="3:15" x14ac:dyDescent="0.35">
      <c r="C90" s="13">
        <f>C17+C51</f>
        <v>0</v>
      </c>
      <c r="D90" s="2" t="s">
        <v>11</v>
      </c>
      <c r="E90" s="2"/>
      <c r="J90" s="35">
        <f t="shared" si="2"/>
        <v>0</v>
      </c>
      <c r="K90" s="26">
        <f>C75</f>
        <v>0</v>
      </c>
      <c r="L90" s="2" t="s">
        <v>5</v>
      </c>
      <c r="N90" s="14">
        <f>J4+F38</f>
        <v>0</v>
      </c>
      <c r="O90" s="2" t="s">
        <v>44</v>
      </c>
    </row>
    <row r="91" spans="3:15" x14ac:dyDescent="0.35">
      <c r="C91" s="13">
        <f>C18+C52+K17+G52+G59</f>
        <v>4</v>
      </c>
      <c r="D91" s="2" t="s">
        <v>12</v>
      </c>
      <c r="E91" s="2"/>
      <c r="J91" s="35">
        <f>K91*15</f>
        <v>45</v>
      </c>
      <c r="K91" s="21">
        <f>K74</f>
        <v>3</v>
      </c>
      <c r="L91" s="2" t="s">
        <v>30</v>
      </c>
      <c r="N91" s="14">
        <f>J5+F39</f>
        <v>2</v>
      </c>
      <c r="O91" s="2" t="s">
        <v>45</v>
      </c>
    </row>
    <row r="92" spans="3:15" x14ac:dyDescent="0.35">
      <c r="C92" s="13">
        <f>C19+C53</f>
        <v>0</v>
      </c>
      <c r="D92" s="2" t="s">
        <v>13</v>
      </c>
      <c r="E92" s="2"/>
      <c r="J92" s="35">
        <f>K92*5</f>
        <v>250</v>
      </c>
      <c r="K92" s="21">
        <f>C76</f>
        <v>50</v>
      </c>
      <c r="L92" s="2" t="s">
        <v>48</v>
      </c>
      <c r="N92" s="14">
        <f>J7+F41</f>
        <v>5</v>
      </c>
      <c r="O92" s="2" t="s">
        <v>71</v>
      </c>
    </row>
    <row r="93" spans="3:15" x14ac:dyDescent="0.35">
      <c r="C93" s="13">
        <f>C20+C54</f>
        <v>1</v>
      </c>
      <c r="D93" s="2" t="s">
        <v>18</v>
      </c>
      <c r="E93" s="2"/>
      <c r="J93" s="35">
        <f>K93*8</f>
        <v>552</v>
      </c>
      <c r="K93" s="21">
        <f>K75</f>
        <v>69</v>
      </c>
      <c r="L93" s="2" t="s">
        <v>71</v>
      </c>
      <c r="N93" s="14">
        <f>B10+J9+B44+F43</f>
        <v>5</v>
      </c>
      <c r="O93" s="2" t="s">
        <v>7</v>
      </c>
    </row>
    <row r="94" spans="3:15" x14ac:dyDescent="0.35">
      <c r="C94" s="4"/>
      <c r="D94" s="4"/>
      <c r="E94" s="4"/>
      <c r="M94" s="2"/>
      <c r="N94" s="14">
        <f>B11+B45</f>
        <v>3</v>
      </c>
      <c r="O94" s="2" t="s">
        <v>8</v>
      </c>
    </row>
  </sheetData>
  <mergeCells count="4">
    <mergeCell ref="F1:H1"/>
    <mergeCell ref="C1:D1"/>
    <mergeCell ref="C35:D35"/>
    <mergeCell ref="F35:H35"/>
  </mergeCells>
  <conditionalFormatting sqref="C4:C5">
    <cfRule type="cellIs" dxfId="26" priority="24" operator="greaterThan">
      <formula>23</formula>
    </cfRule>
  </conditionalFormatting>
  <conditionalFormatting sqref="C8">
    <cfRule type="cellIs" dxfId="25" priority="23" operator="greaterThan">
      <formula>19</formula>
    </cfRule>
  </conditionalFormatting>
  <conditionalFormatting sqref="C10:C11">
    <cfRule type="cellIs" dxfId="24" priority="25" operator="greaterThan">
      <formula>23</formula>
    </cfRule>
  </conditionalFormatting>
  <conditionalFormatting sqref="C38:C39">
    <cfRule type="cellIs" dxfId="23" priority="14" operator="greaterThan">
      <formula>23</formula>
    </cfRule>
  </conditionalFormatting>
  <conditionalFormatting sqref="C42">
    <cfRule type="cellIs" dxfId="22" priority="12" operator="greaterThan">
      <formula>19</formula>
    </cfRule>
  </conditionalFormatting>
  <conditionalFormatting sqref="C44:C45">
    <cfRule type="cellIs" dxfId="21" priority="13" operator="greaterThan">
      <formula>23</formula>
    </cfRule>
  </conditionalFormatting>
  <conditionalFormatting sqref="G38:G39">
    <cfRule type="cellIs" dxfId="20" priority="3" operator="greaterThan">
      <formula>23</formula>
    </cfRule>
  </conditionalFormatting>
  <conditionalFormatting sqref="G41">
    <cfRule type="cellIs" dxfId="19" priority="2" operator="greaterThan">
      <formula>12</formula>
    </cfRule>
  </conditionalFormatting>
  <conditionalFormatting sqref="G43">
    <cfRule type="cellIs" dxfId="18" priority="1" operator="greaterThan">
      <formula>23</formula>
    </cfRule>
  </conditionalFormatting>
  <conditionalFormatting sqref="K4:K5">
    <cfRule type="cellIs" dxfId="17" priority="16" operator="greaterThan">
      <formula>23</formula>
    </cfRule>
  </conditionalFormatting>
  <conditionalFormatting sqref="K7">
    <cfRule type="cellIs" dxfId="16" priority="17" operator="greaterThan">
      <formula>12</formula>
    </cfRule>
  </conditionalFormatting>
  <conditionalFormatting sqref="K9">
    <cfRule type="cellIs" dxfId="15" priority="15" operator="greaterThan">
      <formula>23</formula>
    </cfRule>
  </conditionalFormatting>
  <pageMargins left="0.7" right="0.7" top="0.75" bottom="0.75" header="0.3" footer="0.3"/>
  <pageSetup orientation="landscape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R79"/>
  <sheetViews>
    <sheetView view="pageLayout" zoomScale="85" zoomScaleNormal="100" zoomScalePageLayoutView="85" workbookViewId="0">
      <selection activeCell="P10" sqref="P10"/>
    </sheetView>
  </sheetViews>
  <sheetFormatPr defaultRowHeight="14.5" x14ac:dyDescent="0.35"/>
  <cols>
    <col min="1" max="1" width="3.54296875" bestFit="1" customWidth="1"/>
    <col min="2" max="2" width="3.453125" customWidth="1"/>
    <col min="3" max="3" width="6.26953125" customWidth="1"/>
    <col min="4" max="4" width="16.1796875" customWidth="1"/>
    <col min="5" max="5" width="3.54296875" bestFit="1" customWidth="1"/>
    <col min="6" max="6" width="2.453125" customWidth="1"/>
    <col min="7" max="7" width="5" customWidth="1"/>
    <col min="8" max="8" width="16.7265625" customWidth="1"/>
    <col min="9" max="9" width="3.54296875" bestFit="1" customWidth="1"/>
    <col min="10" max="10" width="3.1796875" customWidth="1"/>
    <col min="11" max="11" width="4.81640625" customWidth="1"/>
    <col min="12" max="12" width="15.26953125" customWidth="1"/>
    <col min="13" max="13" width="3.54296875" bestFit="1" customWidth="1"/>
    <col min="14" max="14" width="5.1796875" customWidth="1"/>
    <col min="15" max="15" width="12.453125" customWidth="1"/>
    <col min="16" max="16" width="3.36328125" customWidth="1"/>
    <col min="17" max="17" width="4.7265625" customWidth="1"/>
    <col min="18" max="18" width="8.81640625" customWidth="1"/>
    <col min="19" max="19" width="3.26953125" customWidth="1"/>
  </cols>
  <sheetData>
    <row r="1" spans="1:18" ht="18.399999999999999" customHeight="1" thickBot="1" x14ac:dyDescent="0.55000000000000004">
      <c r="C1" s="103" t="s">
        <v>74</v>
      </c>
      <c r="D1" s="103"/>
      <c r="E1" s="92"/>
      <c r="F1" s="104">
        <f>DATE(2024,12,30)+(Mon!D2-1)*7+4</f>
        <v>46080</v>
      </c>
      <c r="G1" s="104"/>
      <c r="H1" s="104"/>
      <c r="I1" s="96"/>
      <c r="K1" s="63" t="s">
        <v>110</v>
      </c>
      <c r="L1" s="64">
        <f>Mon!F1+49-1</f>
        <v>46124</v>
      </c>
    </row>
    <row r="2" spans="1:18" ht="3.65" customHeight="1" x14ac:dyDescent="0.35"/>
    <row r="3" spans="1:18" ht="12.75" customHeight="1" thickBot="1" x14ac:dyDescent="0.4">
      <c r="A3" s="56" t="s">
        <v>191</v>
      </c>
      <c r="C3" s="17" t="s">
        <v>66</v>
      </c>
      <c r="D3" s="17"/>
      <c r="E3" s="56" t="s">
        <v>191</v>
      </c>
      <c r="G3" s="17" t="s">
        <v>181</v>
      </c>
      <c r="H3" s="17"/>
      <c r="I3" s="56" t="s">
        <v>191</v>
      </c>
      <c r="K3" s="17" t="s">
        <v>188</v>
      </c>
      <c r="L3" s="17"/>
      <c r="M3" s="56" t="s">
        <v>191</v>
      </c>
      <c r="N3" s="17" t="s">
        <v>185</v>
      </c>
      <c r="O3" s="27"/>
      <c r="Q3" s="17" t="s">
        <v>190</v>
      </c>
      <c r="R3" s="17"/>
    </row>
    <row r="4" spans="1:18" ht="12.75" customHeight="1" x14ac:dyDescent="0.35">
      <c r="A4" s="51"/>
      <c r="B4">
        <f>ROUNDDOWN(C4/24,0)</f>
        <v>0</v>
      </c>
      <c r="C4" s="39">
        <v>1</v>
      </c>
      <c r="D4" s="2" t="s">
        <v>41</v>
      </c>
      <c r="E4" s="52"/>
      <c r="F4">
        <f>ROUNDDOWN(G4/24,0)</f>
        <v>0</v>
      </c>
      <c r="G4" s="39">
        <v>2</v>
      </c>
      <c r="H4" s="2" t="s">
        <v>41</v>
      </c>
      <c r="I4" s="52"/>
      <c r="J4">
        <f>ROUNDDOWN(K4/24,0)</f>
        <v>0</v>
      </c>
      <c r="K4" s="39">
        <v>1</v>
      </c>
      <c r="L4" s="2" t="s">
        <v>41</v>
      </c>
      <c r="M4" s="51"/>
      <c r="N4" s="39">
        <v>0</v>
      </c>
      <c r="O4" s="2" t="s">
        <v>41</v>
      </c>
      <c r="Q4" s="39">
        <v>2</v>
      </c>
      <c r="R4" s="2" t="s">
        <v>41</v>
      </c>
    </row>
    <row r="5" spans="1:18" ht="12.75" customHeight="1" x14ac:dyDescent="0.35">
      <c r="A5" s="51">
        <v>12</v>
      </c>
      <c r="B5">
        <f>ROUNDDOWN(C5/24,0)</f>
        <v>0</v>
      </c>
      <c r="C5" s="39">
        <v>12</v>
      </c>
      <c r="D5" s="2" t="s">
        <v>42</v>
      </c>
      <c r="E5" s="52">
        <v>12</v>
      </c>
      <c r="F5">
        <f>ROUNDDOWN(G5/24,0)</f>
        <v>0</v>
      </c>
      <c r="G5" s="39">
        <v>12</v>
      </c>
      <c r="H5" s="2" t="s">
        <v>42</v>
      </c>
      <c r="I5" s="52"/>
      <c r="J5">
        <f>ROUNDDOWN(K5/24,0)</f>
        <v>0</v>
      </c>
      <c r="K5" s="39">
        <v>10</v>
      </c>
      <c r="L5" s="2" t="s">
        <v>42</v>
      </c>
      <c r="M5" s="51"/>
      <c r="N5" s="39">
        <v>0</v>
      </c>
      <c r="O5" s="2" t="s">
        <v>42</v>
      </c>
      <c r="Q5" s="39">
        <v>8</v>
      </c>
      <c r="R5" s="2" t="s">
        <v>42</v>
      </c>
    </row>
    <row r="6" spans="1:18" ht="12.75" customHeight="1" x14ac:dyDescent="0.35">
      <c r="A6" s="51"/>
      <c r="C6" s="39">
        <v>1</v>
      </c>
      <c r="D6" s="2" t="s">
        <v>4</v>
      </c>
      <c r="E6" s="52"/>
      <c r="G6" s="39">
        <v>0</v>
      </c>
      <c r="H6" s="2" t="s">
        <v>4</v>
      </c>
      <c r="I6" s="52"/>
      <c r="K6" s="39">
        <v>0</v>
      </c>
      <c r="L6" s="2" t="s">
        <v>4</v>
      </c>
      <c r="M6" s="51"/>
      <c r="N6" s="39">
        <v>0</v>
      </c>
      <c r="O6" s="2" t="s">
        <v>4</v>
      </c>
      <c r="Q6" s="39">
        <v>2</v>
      </c>
      <c r="R6" s="2" t="s">
        <v>4</v>
      </c>
    </row>
    <row r="7" spans="1:18" ht="12.75" customHeight="1" x14ac:dyDescent="0.35">
      <c r="A7" s="51"/>
      <c r="C7" s="39">
        <v>1</v>
      </c>
      <c r="D7" s="2" t="s">
        <v>5</v>
      </c>
      <c r="E7" s="52"/>
      <c r="G7" s="39">
        <v>0</v>
      </c>
      <c r="H7" s="2" t="s">
        <v>5</v>
      </c>
      <c r="I7" s="52"/>
      <c r="K7" s="39">
        <v>0</v>
      </c>
      <c r="L7" s="2" t="s">
        <v>5</v>
      </c>
      <c r="M7" s="51"/>
      <c r="N7" s="39">
        <v>0</v>
      </c>
      <c r="O7" s="2" t="s">
        <v>5</v>
      </c>
      <c r="Q7" s="39">
        <v>4</v>
      </c>
      <c r="R7" s="2" t="s">
        <v>5</v>
      </c>
    </row>
    <row r="8" spans="1:18" ht="12.75" customHeight="1" x14ac:dyDescent="0.35">
      <c r="A8" s="51"/>
      <c r="B8">
        <f>ROUNDDOWN(C8/20,0)</f>
        <v>3</v>
      </c>
      <c r="C8" s="39">
        <v>60</v>
      </c>
      <c r="D8" s="2" t="s">
        <v>6</v>
      </c>
      <c r="E8" s="52"/>
      <c r="F8">
        <f>ROUNDDOWN(G8/20,0)</f>
        <v>1</v>
      </c>
      <c r="G8" s="39">
        <v>30</v>
      </c>
      <c r="H8" s="2" t="s">
        <v>6</v>
      </c>
      <c r="I8" s="52"/>
      <c r="J8">
        <f>ROUNDDOWN(K8/20,0)</f>
        <v>2</v>
      </c>
      <c r="K8" s="39">
        <v>40</v>
      </c>
      <c r="L8" s="2" t="s">
        <v>6</v>
      </c>
      <c r="M8" s="51"/>
      <c r="N8" s="39">
        <v>0</v>
      </c>
      <c r="O8" s="2" t="s">
        <v>6</v>
      </c>
      <c r="Q8" s="39">
        <v>40</v>
      </c>
      <c r="R8" s="2" t="s">
        <v>6</v>
      </c>
    </row>
    <row r="9" spans="1:18" ht="12.75" customHeight="1" x14ac:dyDescent="0.35">
      <c r="A9" s="51"/>
      <c r="C9" s="39">
        <v>6</v>
      </c>
      <c r="D9" s="2" t="s">
        <v>9</v>
      </c>
      <c r="E9" s="52"/>
      <c r="G9" s="39">
        <v>5</v>
      </c>
      <c r="H9" s="2" t="s">
        <v>9</v>
      </c>
      <c r="I9" s="52"/>
      <c r="K9" s="39">
        <v>7</v>
      </c>
      <c r="L9" s="2" t="s">
        <v>9</v>
      </c>
      <c r="M9" s="51"/>
      <c r="N9" s="39">
        <v>0</v>
      </c>
      <c r="O9" s="2" t="s">
        <v>9</v>
      </c>
      <c r="Q9" s="39">
        <v>10</v>
      </c>
      <c r="R9" s="2" t="s">
        <v>9</v>
      </c>
    </row>
    <row r="10" spans="1:18" ht="12.75" customHeight="1" x14ac:dyDescent="0.35">
      <c r="A10" s="51">
        <v>6</v>
      </c>
      <c r="B10">
        <f>ROUNDDOWN(C10/24,0)</f>
        <v>0</v>
      </c>
      <c r="C10" s="39">
        <v>6</v>
      </c>
      <c r="D10" s="2" t="s">
        <v>7</v>
      </c>
      <c r="E10" s="52">
        <v>5</v>
      </c>
      <c r="F10">
        <f>ROUNDDOWN(G10/24,0)</f>
        <v>0</v>
      </c>
      <c r="G10" s="39">
        <v>5</v>
      </c>
      <c r="H10" s="2" t="s">
        <v>7</v>
      </c>
      <c r="I10" s="52">
        <v>9</v>
      </c>
      <c r="J10">
        <f>ROUNDDOWN(K10/24,0)</f>
        <v>0</v>
      </c>
      <c r="K10" s="39">
        <v>9</v>
      </c>
      <c r="L10" s="2" t="s">
        <v>7</v>
      </c>
      <c r="M10" s="51"/>
      <c r="N10" s="39">
        <v>0</v>
      </c>
      <c r="O10" s="2" t="s">
        <v>7</v>
      </c>
      <c r="P10">
        <v>15</v>
      </c>
      <c r="Q10" s="39">
        <v>15</v>
      </c>
      <c r="R10" s="2" t="s">
        <v>7</v>
      </c>
    </row>
    <row r="11" spans="1:18" ht="12.75" customHeight="1" x14ac:dyDescent="0.35">
      <c r="A11" s="51"/>
      <c r="B11">
        <f>ROUNDDOWN(C11/24,0)</f>
        <v>2</v>
      </c>
      <c r="C11" s="39">
        <v>48</v>
      </c>
      <c r="D11" s="2" t="s">
        <v>8</v>
      </c>
      <c r="E11" s="52"/>
      <c r="F11">
        <f>ROUNDDOWN(G11/24,0)</f>
        <v>1</v>
      </c>
      <c r="G11" s="39">
        <v>24</v>
      </c>
      <c r="H11" s="2" t="s">
        <v>8</v>
      </c>
      <c r="I11" s="52"/>
      <c r="J11">
        <f>ROUNDDOWN(K11/24,0)</f>
        <v>3</v>
      </c>
      <c r="K11" s="39">
        <v>82</v>
      </c>
      <c r="L11" s="2" t="s">
        <v>8</v>
      </c>
      <c r="M11" s="51"/>
      <c r="N11" s="39">
        <v>0</v>
      </c>
      <c r="O11" s="2" t="s">
        <v>8</v>
      </c>
      <c r="P11">
        <v>12</v>
      </c>
      <c r="Q11" s="39">
        <v>15</v>
      </c>
      <c r="R11" s="2" t="s">
        <v>8</v>
      </c>
    </row>
    <row r="12" spans="1:18" ht="12.75" customHeight="1" x14ac:dyDescent="0.35">
      <c r="A12" s="51"/>
      <c r="C12" s="39">
        <v>4</v>
      </c>
      <c r="D12" s="2" t="s">
        <v>43</v>
      </c>
      <c r="E12" s="52"/>
      <c r="G12" s="39">
        <v>0</v>
      </c>
      <c r="H12" s="2" t="s">
        <v>43</v>
      </c>
      <c r="I12" s="52"/>
      <c r="K12" s="39">
        <v>1</v>
      </c>
      <c r="L12" s="2" t="s">
        <v>43</v>
      </c>
      <c r="M12" s="51"/>
      <c r="N12" s="39">
        <v>0</v>
      </c>
      <c r="O12" s="16" t="s">
        <v>10</v>
      </c>
      <c r="Q12" s="39">
        <v>0</v>
      </c>
      <c r="R12" s="16" t="s">
        <v>51</v>
      </c>
    </row>
    <row r="13" spans="1:18" ht="12.75" customHeight="1" x14ac:dyDescent="0.35">
      <c r="A13" s="51"/>
      <c r="C13" s="39">
        <v>2</v>
      </c>
      <c r="D13" s="2" t="s">
        <v>15</v>
      </c>
      <c r="E13" s="52"/>
      <c r="G13" s="39">
        <v>0</v>
      </c>
      <c r="H13" s="2" t="s">
        <v>15</v>
      </c>
      <c r="I13" s="52"/>
      <c r="K13" s="39">
        <v>0</v>
      </c>
      <c r="L13" s="2" t="s">
        <v>15</v>
      </c>
      <c r="N13" s="39">
        <f>SUM(N4:N12)</f>
        <v>0</v>
      </c>
      <c r="O13" s="40" t="s">
        <v>35</v>
      </c>
      <c r="Q13" s="39">
        <f>SUM(Q4:Q12)</f>
        <v>96</v>
      </c>
      <c r="R13" s="22" t="s">
        <v>35</v>
      </c>
    </row>
    <row r="14" spans="1:18" ht="12.75" customHeight="1" x14ac:dyDescent="0.35">
      <c r="A14" s="51"/>
      <c r="C14" s="39">
        <v>0</v>
      </c>
      <c r="D14" s="2" t="s">
        <v>14</v>
      </c>
      <c r="E14" s="52"/>
      <c r="G14" s="39">
        <v>0</v>
      </c>
      <c r="H14" s="2" t="s">
        <v>14</v>
      </c>
      <c r="I14" s="52"/>
      <c r="K14" s="39">
        <v>0</v>
      </c>
      <c r="L14" s="2" t="s">
        <v>14</v>
      </c>
    </row>
    <row r="15" spans="1:18" ht="12.75" customHeight="1" thickBot="1" x14ac:dyDescent="0.4">
      <c r="A15" s="51"/>
      <c r="C15" s="39">
        <v>2</v>
      </c>
      <c r="D15" s="2" t="s">
        <v>16</v>
      </c>
      <c r="E15" s="52"/>
      <c r="G15" s="39">
        <v>0</v>
      </c>
      <c r="H15" s="2" t="s">
        <v>16</v>
      </c>
      <c r="I15" s="52"/>
      <c r="J15" s="2"/>
      <c r="K15" s="39">
        <v>1</v>
      </c>
      <c r="L15" s="2" t="s">
        <v>16</v>
      </c>
      <c r="M15" s="98" t="s">
        <v>191</v>
      </c>
      <c r="N15" s="69" t="s">
        <v>144</v>
      </c>
      <c r="O15" s="72"/>
    </row>
    <row r="16" spans="1:18" ht="12.75" customHeight="1" x14ac:dyDescent="0.35">
      <c r="A16" s="51"/>
      <c r="C16" s="39">
        <v>0</v>
      </c>
      <c r="D16" s="2" t="s">
        <v>115</v>
      </c>
      <c r="E16" s="52"/>
      <c r="G16" s="39">
        <v>0</v>
      </c>
      <c r="H16" s="2" t="s">
        <v>115</v>
      </c>
      <c r="I16" s="52"/>
      <c r="K16" s="39">
        <v>0</v>
      </c>
      <c r="L16" s="2" t="s">
        <v>115</v>
      </c>
      <c r="M16" s="51"/>
      <c r="N16" s="39">
        <v>0</v>
      </c>
      <c r="O16" s="74" t="s">
        <v>43</v>
      </c>
    </row>
    <row r="17" spans="1:18" ht="12.75" customHeight="1" x14ac:dyDescent="0.35">
      <c r="A17" s="51"/>
      <c r="C17" s="39">
        <v>0</v>
      </c>
      <c r="D17" s="2" t="s">
        <v>114</v>
      </c>
      <c r="E17" s="52"/>
      <c r="G17" s="39">
        <v>0</v>
      </c>
      <c r="H17" s="2" t="s">
        <v>114</v>
      </c>
      <c r="I17" s="52"/>
      <c r="K17" s="39">
        <v>0</v>
      </c>
      <c r="L17" s="2" t="s">
        <v>114</v>
      </c>
      <c r="N17" s="75"/>
      <c r="O17" s="74"/>
    </row>
    <row r="18" spans="1:18" ht="12.75" customHeight="1" thickBot="1" x14ac:dyDescent="0.4">
      <c r="A18" s="51"/>
      <c r="C18" s="39">
        <v>0</v>
      </c>
      <c r="D18" s="2" t="s">
        <v>116</v>
      </c>
      <c r="E18" s="52"/>
      <c r="G18" s="39">
        <v>0</v>
      </c>
      <c r="H18" s="2" t="s">
        <v>116</v>
      </c>
      <c r="I18" s="52"/>
      <c r="K18" s="39">
        <v>0</v>
      </c>
      <c r="L18" s="2" t="s">
        <v>116</v>
      </c>
      <c r="M18" s="98" t="s">
        <v>191</v>
      </c>
      <c r="N18" s="76" t="s">
        <v>182</v>
      </c>
      <c r="O18" s="77"/>
    </row>
    <row r="19" spans="1:18" ht="12.75" customHeight="1" x14ac:dyDescent="0.35">
      <c r="A19" s="51"/>
      <c r="C19" s="39">
        <v>0</v>
      </c>
      <c r="D19" s="2" t="s">
        <v>13</v>
      </c>
      <c r="E19" s="52"/>
      <c r="G19" s="39">
        <v>0</v>
      </c>
      <c r="H19" s="2" t="s">
        <v>13</v>
      </c>
      <c r="I19" s="52"/>
      <c r="K19" s="39">
        <v>0</v>
      </c>
      <c r="L19" s="2" t="s">
        <v>13</v>
      </c>
      <c r="M19" s="51"/>
      <c r="N19" s="39">
        <v>0</v>
      </c>
      <c r="O19" s="74" t="s">
        <v>43</v>
      </c>
    </row>
    <row r="20" spans="1:18" ht="12.75" customHeight="1" x14ac:dyDescent="0.35">
      <c r="A20" s="51"/>
      <c r="C20" s="39">
        <v>0</v>
      </c>
      <c r="D20" s="16" t="s">
        <v>50</v>
      </c>
      <c r="E20" s="52"/>
      <c r="G20" s="39">
        <v>0</v>
      </c>
      <c r="H20" s="16" t="s">
        <v>50</v>
      </c>
      <c r="I20" s="52"/>
      <c r="K20" s="39">
        <v>0</v>
      </c>
      <c r="L20" s="16" t="s">
        <v>50</v>
      </c>
      <c r="N20" s="75"/>
      <c r="O20" s="74"/>
    </row>
    <row r="21" spans="1:18" ht="12.75" customHeight="1" thickBot="1" x14ac:dyDescent="0.4">
      <c r="C21" s="39">
        <f>SUM(C4:C20)</f>
        <v>143</v>
      </c>
      <c r="D21" s="22" t="s">
        <v>35</v>
      </c>
      <c r="E21" s="22"/>
      <c r="G21" s="39">
        <f>SUM(G4:G20)</f>
        <v>78</v>
      </c>
      <c r="H21" s="22" t="s">
        <v>35</v>
      </c>
      <c r="I21" s="22"/>
      <c r="K21" s="39">
        <f>SUM(K4:K20)</f>
        <v>151</v>
      </c>
      <c r="L21" s="22" t="s">
        <v>35</v>
      </c>
      <c r="M21" s="98" t="s">
        <v>191</v>
      </c>
      <c r="N21" s="76" t="s">
        <v>183</v>
      </c>
      <c r="O21" s="77"/>
    </row>
    <row r="22" spans="1:18" ht="13.15" customHeight="1" x14ac:dyDescent="0.35">
      <c r="M22" s="51"/>
      <c r="N22" s="39">
        <v>5</v>
      </c>
      <c r="O22" s="74" t="s">
        <v>43</v>
      </c>
    </row>
    <row r="23" spans="1:18" ht="12.75" customHeight="1" thickBot="1" x14ac:dyDescent="0.4">
      <c r="A23" s="98" t="s">
        <v>191</v>
      </c>
      <c r="C23" s="20" t="s">
        <v>139</v>
      </c>
      <c r="D23" s="5"/>
      <c r="E23" s="98" t="s">
        <v>191</v>
      </c>
      <c r="G23" s="20" t="s">
        <v>189</v>
      </c>
      <c r="H23" s="5"/>
      <c r="I23" s="11"/>
      <c r="J23" s="56" t="s">
        <v>191</v>
      </c>
      <c r="K23" s="17" t="s">
        <v>187</v>
      </c>
      <c r="L23" s="17"/>
      <c r="N23" s="75"/>
      <c r="O23" s="74"/>
    </row>
    <row r="24" spans="1:18" ht="12.75" customHeight="1" thickBot="1" x14ac:dyDescent="0.4">
      <c r="A24" s="51"/>
      <c r="B24">
        <f>ROUNDDOWN(C24/24,0)</f>
        <v>0</v>
      </c>
      <c r="C24" s="39">
        <v>1</v>
      </c>
      <c r="D24" s="2" t="s">
        <v>44</v>
      </c>
      <c r="E24" s="52"/>
      <c r="F24">
        <f>ROUNDDOWN(G24/24,0)</f>
        <v>0</v>
      </c>
      <c r="G24" s="39">
        <v>2</v>
      </c>
      <c r="H24" s="2" t="s">
        <v>44</v>
      </c>
      <c r="I24" s="2"/>
      <c r="J24" s="51"/>
      <c r="K24" s="39">
        <v>2</v>
      </c>
      <c r="L24" s="2" t="s">
        <v>29</v>
      </c>
      <c r="M24" s="98" t="s">
        <v>191</v>
      </c>
      <c r="N24" s="76" t="s">
        <v>184</v>
      </c>
      <c r="O24" s="82"/>
    </row>
    <row r="25" spans="1:18" ht="12.75" customHeight="1" x14ac:dyDescent="0.35">
      <c r="A25" s="51">
        <v>11</v>
      </c>
      <c r="B25">
        <f>ROUNDDOWN(C25/24,0)</f>
        <v>0</v>
      </c>
      <c r="C25" s="39">
        <v>11</v>
      </c>
      <c r="D25" s="2" t="s">
        <v>45</v>
      </c>
      <c r="E25" s="52">
        <v>6</v>
      </c>
      <c r="F25">
        <f>ROUNDDOWN(G25/24,0)</f>
        <v>0</v>
      </c>
      <c r="G25" s="39">
        <v>6</v>
      </c>
      <c r="H25" s="2" t="s">
        <v>45</v>
      </c>
      <c r="I25" s="2"/>
      <c r="J25" s="51"/>
      <c r="K25" s="39">
        <v>0</v>
      </c>
      <c r="L25" s="2" t="s">
        <v>30</v>
      </c>
      <c r="M25" s="51"/>
      <c r="N25" s="39">
        <v>25</v>
      </c>
      <c r="O25" s="83" t="s">
        <v>43</v>
      </c>
    </row>
    <row r="26" spans="1:18" ht="12.75" customHeight="1" x14ac:dyDescent="0.35">
      <c r="A26" s="51"/>
      <c r="C26" s="39">
        <v>3</v>
      </c>
      <c r="D26" s="2" t="s">
        <v>30</v>
      </c>
      <c r="E26" s="52"/>
      <c r="G26" s="39">
        <v>1</v>
      </c>
      <c r="H26" s="2" t="s">
        <v>30</v>
      </c>
      <c r="I26" s="2"/>
      <c r="J26" s="51"/>
      <c r="K26" s="39">
        <v>0</v>
      </c>
      <c r="L26" s="16" t="s">
        <v>116</v>
      </c>
      <c r="N26" s="75"/>
      <c r="O26" s="74"/>
    </row>
    <row r="27" spans="1:18" ht="12.75" customHeight="1" thickBot="1" x14ac:dyDescent="0.4">
      <c r="A27" s="51"/>
      <c r="B27">
        <f>ROUNDDOWN(C27/13,0)</f>
        <v>1</v>
      </c>
      <c r="C27" s="39">
        <v>21</v>
      </c>
      <c r="D27" s="2" t="s">
        <v>71</v>
      </c>
      <c r="E27" s="52"/>
      <c r="F27">
        <f>ROUNDDOWN(G27/13,0)</f>
        <v>1</v>
      </c>
      <c r="G27" s="39">
        <v>14</v>
      </c>
      <c r="H27" s="2" t="s">
        <v>71</v>
      </c>
      <c r="I27" s="2"/>
      <c r="K27" s="39">
        <f>SUM(K24:K26)</f>
        <v>2</v>
      </c>
      <c r="L27" s="22" t="s">
        <v>35</v>
      </c>
      <c r="M27" s="98" t="s">
        <v>191</v>
      </c>
      <c r="N27" s="76" t="s">
        <v>126</v>
      </c>
      <c r="O27" s="77"/>
    </row>
    <row r="28" spans="1:18" ht="12.75" customHeight="1" x14ac:dyDescent="0.35">
      <c r="A28" s="51"/>
      <c r="C28" s="39">
        <v>6</v>
      </c>
      <c r="D28" s="2" t="s">
        <v>46</v>
      </c>
      <c r="E28" s="52"/>
      <c r="G28" s="39">
        <v>6</v>
      </c>
      <c r="H28" s="2" t="s">
        <v>46</v>
      </c>
      <c r="I28" s="2"/>
      <c r="M28" s="51"/>
      <c r="N28" s="39">
        <v>12</v>
      </c>
      <c r="O28" s="83" t="s">
        <v>43</v>
      </c>
    </row>
    <row r="29" spans="1:18" ht="12.75" customHeight="1" x14ac:dyDescent="0.35">
      <c r="A29" s="51">
        <v>9</v>
      </c>
      <c r="B29">
        <f>ROUNDDOWN(C29/24,0)</f>
        <v>0</v>
      </c>
      <c r="C29" s="39">
        <v>9</v>
      </c>
      <c r="D29" s="16" t="s">
        <v>7</v>
      </c>
      <c r="E29" s="52">
        <v>10</v>
      </c>
      <c r="F29">
        <f>ROUNDDOWN(G29/24,0)</f>
        <v>0</v>
      </c>
      <c r="G29" s="39">
        <v>10</v>
      </c>
      <c r="H29" s="16" t="s">
        <v>7</v>
      </c>
      <c r="I29" s="2"/>
      <c r="L29" s="3"/>
      <c r="N29" s="75"/>
      <c r="O29" s="74"/>
    </row>
    <row r="30" spans="1:18" ht="12.75" customHeight="1" thickBot="1" x14ac:dyDescent="0.4">
      <c r="C30" s="39">
        <f>SUM(C24:C29)</f>
        <v>51</v>
      </c>
      <c r="D30" s="22" t="s">
        <v>35</v>
      </c>
      <c r="E30" s="22"/>
      <c r="G30" s="39">
        <f>SUM(G24:G29)</f>
        <v>39</v>
      </c>
      <c r="H30" s="22" t="s">
        <v>35</v>
      </c>
      <c r="I30" s="22"/>
      <c r="M30" s="98" t="s">
        <v>191</v>
      </c>
      <c r="N30" s="84" t="s">
        <v>113</v>
      </c>
      <c r="O30" s="78"/>
    </row>
    <row r="31" spans="1:18" ht="12.75" customHeight="1" x14ac:dyDescent="0.35">
      <c r="M31" s="51"/>
      <c r="N31" s="99">
        <f>N16+N19+N22+N25+N28</f>
        <v>42</v>
      </c>
      <c r="O31" s="85" t="s">
        <v>43</v>
      </c>
    </row>
    <row r="32" spans="1:18" ht="12.75" customHeight="1" x14ac:dyDescent="0.35">
      <c r="C32" s="2" t="s">
        <v>36</v>
      </c>
      <c r="D32" s="16">
        <v>4881876249</v>
      </c>
      <c r="E32" s="2"/>
      <c r="G32" s="2" t="s">
        <v>36</v>
      </c>
      <c r="H32" s="13">
        <v>4881878299</v>
      </c>
      <c r="Q32" s="22"/>
      <c r="R32" s="22"/>
    </row>
    <row r="33" spans="2:18" ht="4.1500000000000004" customHeight="1" x14ac:dyDescent="0.35">
      <c r="Q33" s="42"/>
      <c r="R33" s="2"/>
    </row>
    <row r="34" spans="2:18" ht="12.75" customHeight="1" thickBot="1" x14ac:dyDescent="0.4">
      <c r="B34" s="98" t="s">
        <v>191</v>
      </c>
      <c r="C34" s="17" t="s">
        <v>142</v>
      </c>
      <c r="D34" s="17"/>
      <c r="E34" s="22"/>
      <c r="G34" s="17"/>
      <c r="H34" s="5"/>
      <c r="J34" s="98" t="s">
        <v>191</v>
      </c>
      <c r="K34" s="17" t="s">
        <v>180</v>
      </c>
      <c r="L34" s="5"/>
      <c r="M34" s="98" t="s">
        <v>191</v>
      </c>
      <c r="N34" s="17" t="s">
        <v>186</v>
      </c>
      <c r="O34" s="5"/>
    </row>
    <row r="35" spans="2:18" ht="12.75" customHeight="1" x14ac:dyDescent="0.35">
      <c r="B35" s="51"/>
      <c r="C35" s="39">
        <v>8</v>
      </c>
      <c r="D35" s="2" t="s">
        <v>47</v>
      </c>
      <c r="E35" s="2"/>
      <c r="G35" s="21"/>
      <c r="J35" s="51"/>
      <c r="K35" s="39">
        <v>0</v>
      </c>
      <c r="L35" s="2" t="s">
        <v>43</v>
      </c>
      <c r="M35" s="51"/>
      <c r="N35" s="39">
        <v>5</v>
      </c>
      <c r="O35" t="s">
        <v>0</v>
      </c>
    </row>
    <row r="36" spans="2:18" ht="12.75" customHeight="1" x14ac:dyDescent="0.35">
      <c r="B36" s="51"/>
      <c r="C36" s="39">
        <v>0</v>
      </c>
      <c r="D36" s="2" t="s">
        <v>2</v>
      </c>
      <c r="E36" s="2"/>
      <c r="J36" s="51"/>
      <c r="K36" s="39">
        <v>0</v>
      </c>
      <c r="L36" s="16" t="s">
        <v>1</v>
      </c>
    </row>
    <row r="37" spans="2:18" ht="12.75" customHeight="1" thickBot="1" x14ac:dyDescent="0.4">
      <c r="B37" s="51">
        <v>8</v>
      </c>
      <c r="C37" s="39">
        <v>8</v>
      </c>
      <c r="D37" s="16" t="s">
        <v>7</v>
      </c>
      <c r="E37" s="56" t="s">
        <v>191</v>
      </c>
      <c r="G37" s="17" t="s">
        <v>143</v>
      </c>
      <c r="H37" s="5"/>
      <c r="K37" s="39">
        <f>SUM(K35:K36)</f>
        <v>0</v>
      </c>
      <c r="L37" s="22" t="s">
        <v>35</v>
      </c>
    </row>
    <row r="38" spans="2:18" ht="12.75" customHeight="1" x14ac:dyDescent="0.35">
      <c r="C38" s="39">
        <f>SUM(C35:C37)</f>
        <v>16</v>
      </c>
      <c r="D38" s="22" t="s">
        <v>35</v>
      </c>
      <c r="E38" s="51"/>
      <c r="G38" s="21">
        <v>20</v>
      </c>
      <c r="H38" t="s">
        <v>43</v>
      </c>
    </row>
    <row r="39" spans="2:18" ht="12.75" customHeight="1" x14ac:dyDescent="0.35">
      <c r="E39" s="51"/>
      <c r="G39" s="29">
        <v>20</v>
      </c>
      <c r="H39" s="16" t="s">
        <v>48</v>
      </c>
      <c r="I39" s="2"/>
    </row>
    <row r="40" spans="2:18" ht="12.65" customHeight="1" x14ac:dyDescent="0.35">
      <c r="G40" s="11">
        <f>SUM(G38:G39)</f>
        <v>40</v>
      </c>
      <c r="H40" s="2" t="s">
        <v>35</v>
      </c>
      <c r="I40" s="2"/>
    </row>
    <row r="41" spans="2:18" ht="20.5" customHeight="1" x14ac:dyDescent="0.5">
      <c r="C41" s="19" t="s">
        <v>60</v>
      </c>
      <c r="G41" s="11"/>
      <c r="H41" s="2"/>
      <c r="I41" s="2"/>
    </row>
    <row r="43" spans="2:18" ht="15" thickBot="1" x14ac:dyDescent="0.4">
      <c r="C43" s="30" t="s">
        <v>55</v>
      </c>
      <c r="D43" s="5"/>
      <c r="F43" s="34" t="s">
        <v>72</v>
      </c>
      <c r="G43" s="30" t="s">
        <v>56</v>
      </c>
      <c r="H43" s="5"/>
      <c r="K43" s="30" t="s">
        <v>57</v>
      </c>
      <c r="L43" s="5"/>
      <c r="N43" s="30" t="s">
        <v>58</v>
      </c>
      <c r="O43" s="5"/>
    </row>
    <row r="44" spans="2:18" x14ac:dyDescent="0.35">
      <c r="C44" s="87">
        <f>C4+G4+N4+K4+Q4</f>
        <v>6</v>
      </c>
      <c r="D44" s="2" t="s">
        <v>41</v>
      </c>
      <c r="E44" s="2"/>
      <c r="F44" s="35">
        <f>G44*15</f>
        <v>0</v>
      </c>
      <c r="G44" s="15"/>
      <c r="H44" s="2" t="s">
        <v>19</v>
      </c>
      <c r="I44" s="2"/>
      <c r="K44" s="13">
        <f>C24+G24</f>
        <v>3</v>
      </c>
      <c r="L44" s="2" t="s">
        <v>44</v>
      </c>
      <c r="N44" s="47">
        <f>C9+G9+C29+N9+G29+K9+Q9</f>
        <v>47</v>
      </c>
      <c r="O44" s="2" t="s">
        <v>9</v>
      </c>
    </row>
    <row r="45" spans="2:18" x14ac:dyDescent="0.35">
      <c r="C45" s="88">
        <f>C5+G5+N5+K5+Q5</f>
        <v>42</v>
      </c>
      <c r="D45" s="2" t="s">
        <v>42</v>
      </c>
      <c r="E45" s="2"/>
      <c r="F45" s="35">
        <f t="shared" ref="F45:F51" si="0">G45*15</f>
        <v>0</v>
      </c>
      <c r="G45" s="14"/>
      <c r="H45" s="2" t="s">
        <v>20</v>
      </c>
      <c r="I45" s="2"/>
      <c r="K45" s="13">
        <f>C25+G25+K24</f>
        <v>19</v>
      </c>
      <c r="L45" s="2" t="s">
        <v>45</v>
      </c>
      <c r="N45" s="47">
        <f>C37+C10+C28+G10+N10+K10+Q10+G28</f>
        <v>55</v>
      </c>
      <c r="O45" s="2" t="s">
        <v>7</v>
      </c>
    </row>
    <row r="46" spans="2:18" x14ac:dyDescent="0.35">
      <c r="C46" s="26">
        <f>C6+G6+N6+K6+Q6</f>
        <v>3</v>
      </c>
      <c r="D46" s="2" t="s">
        <v>4</v>
      </c>
      <c r="E46" s="2"/>
      <c r="F46" s="35">
        <f t="shared" si="0"/>
        <v>0</v>
      </c>
      <c r="G46" s="14"/>
      <c r="H46" s="2" t="s">
        <v>27</v>
      </c>
      <c r="I46" s="2"/>
      <c r="K46" s="13">
        <f>C26+G26+K25</f>
        <v>4</v>
      </c>
      <c r="L46" s="2" t="s">
        <v>30</v>
      </c>
      <c r="N46" s="13">
        <f>C11+G11+N11+K11+Q11</f>
        <v>169</v>
      </c>
      <c r="O46" s="2" t="s">
        <v>8</v>
      </c>
    </row>
    <row r="47" spans="2:18" x14ac:dyDescent="0.35">
      <c r="C47" s="88">
        <f>C7+G7+N7+K7+Q7</f>
        <v>5</v>
      </c>
      <c r="D47" s="2" t="s">
        <v>5</v>
      </c>
      <c r="E47" s="2"/>
      <c r="F47" s="35">
        <f t="shared" si="0"/>
        <v>0</v>
      </c>
      <c r="G47" s="14"/>
      <c r="H47" s="2" t="s">
        <v>21</v>
      </c>
      <c r="I47" s="2"/>
      <c r="K47" s="14">
        <f>C27+G27</f>
        <v>35</v>
      </c>
      <c r="L47" s="2" t="s">
        <v>70</v>
      </c>
      <c r="N47" s="13"/>
      <c r="O47" s="2" t="s">
        <v>49</v>
      </c>
    </row>
    <row r="48" spans="2:18" x14ac:dyDescent="0.35">
      <c r="C48" s="88">
        <f>C8+G8+N8+K8+Q8+G39</f>
        <v>190</v>
      </c>
      <c r="D48" s="2" t="s">
        <v>6</v>
      </c>
      <c r="E48" s="2"/>
      <c r="F48" s="35">
        <f>G48*12</f>
        <v>0</v>
      </c>
      <c r="G48" s="14"/>
      <c r="H48" s="2" t="s">
        <v>23</v>
      </c>
      <c r="I48" s="2"/>
      <c r="N48" s="13">
        <f>C35+C12+G38+N16+K35+G12+N19+N22+N12+N25+K12</f>
        <v>63</v>
      </c>
      <c r="O48" s="2" t="s">
        <v>43</v>
      </c>
    </row>
    <row r="49" spans="3:15" x14ac:dyDescent="0.35">
      <c r="C49" s="88">
        <f>C13+G13+K13</f>
        <v>2</v>
      </c>
      <c r="D49" s="2" t="s">
        <v>15</v>
      </c>
      <c r="E49" s="2"/>
      <c r="F49" s="35">
        <f>G49*10</f>
        <v>0</v>
      </c>
      <c r="G49" s="14"/>
      <c r="H49" s="2" t="s">
        <v>22</v>
      </c>
      <c r="I49" s="2"/>
      <c r="N49" s="13">
        <f>C36</f>
        <v>0</v>
      </c>
      <c r="O49" s="2" t="s">
        <v>2</v>
      </c>
    </row>
    <row r="50" spans="3:15" x14ac:dyDescent="0.35">
      <c r="D50" s="2"/>
      <c r="E50" s="2"/>
      <c r="F50" s="35">
        <f t="shared" si="0"/>
        <v>0</v>
      </c>
      <c r="G50" s="14"/>
      <c r="H50" s="2" t="s">
        <v>24</v>
      </c>
      <c r="I50" s="2"/>
      <c r="N50" s="14">
        <f>G35+K36</f>
        <v>0</v>
      </c>
      <c r="O50" s="2" t="s">
        <v>1</v>
      </c>
    </row>
    <row r="51" spans="3:15" x14ac:dyDescent="0.35">
      <c r="D51" s="2"/>
      <c r="E51" s="2"/>
      <c r="F51" s="35">
        <f t="shared" si="0"/>
        <v>0</v>
      </c>
      <c r="G51" s="14"/>
      <c r="H51" s="2" t="s">
        <v>25</v>
      </c>
      <c r="I51" s="2"/>
      <c r="N51" s="14">
        <f>N35</f>
        <v>5</v>
      </c>
      <c r="O51" s="2" t="s">
        <v>0</v>
      </c>
    </row>
    <row r="52" spans="3:15" x14ac:dyDescent="0.35">
      <c r="D52" s="2"/>
      <c r="E52" s="2"/>
      <c r="F52" s="35">
        <f>G52*8</f>
        <v>0</v>
      </c>
      <c r="G52" s="14"/>
      <c r="H52" s="2" t="s">
        <v>26</v>
      </c>
      <c r="I52" s="2"/>
    </row>
    <row r="53" spans="3:15" x14ac:dyDescent="0.35">
      <c r="F53" s="35">
        <f>G53*8</f>
        <v>0</v>
      </c>
      <c r="G53" s="14"/>
      <c r="H53" s="2" t="s">
        <v>28</v>
      </c>
      <c r="I53" s="2"/>
    </row>
    <row r="58" spans="3:15" ht="15" thickBot="1" x14ac:dyDescent="0.4">
      <c r="C58" s="30" t="s">
        <v>59</v>
      </c>
      <c r="D58" s="5"/>
      <c r="J58" s="34" t="s">
        <v>72</v>
      </c>
      <c r="K58" s="30" t="s">
        <v>61</v>
      </c>
      <c r="L58" s="5"/>
      <c r="N58" s="5" t="s">
        <v>104</v>
      </c>
      <c r="O58" s="30" t="s">
        <v>103</v>
      </c>
    </row>
    <row r="59" spans="3:15" x14ac:dyDescent="0.35">
      <c r="C59" s="13">
        <f>C14+G14+K14</f>
        <v>0</v>
      </c>
      <c r="D59" s="2" t="s">
        <v>14</v>
      </c>
      <c r="E59" s="2"/>
      <c r="J59" s="35">
        <f>K59*15</f>
        <v>45</v>
      </c>
      <c r="K59" s="26">
        <f>C46</f>
        <v>3</v>
      </c>
      <c r="L59" s="2" t="s">
        <v>4</v>
      </c>
      <c r="N59" s="15">
        <f>B4+F4+J4</f>
        <v>0</v>
      </c>
      <c r="O59" t="s">
        <v>41</v>
      </c>
    </row>
    <row r="60" spans="3:15" x14ac:dyDescent="0.35">
      <c r="C60" s="13">
        <f>C15+G15+K15</f>
        <v>3</v>
      </c>
      <c r="D60" s="2" t="s">
        <v>16</v>
      </c>
      <c r="E60" s="2"/>
      <c r="J60" s="35">
        <f t="shared" ref="J60:J62" si="1">K60*15</f>
        <v>30</v>
      </c>
      <c r="K60" s="21">
        <f>C49</f>
        <v>2</v>
      </c>
      <c r="L60" s="2" t="s">
        <v>15</v>
      </c>
      <c r="N60" s="14">
        <f>B5+F5+J5</f>
        <v>0</v>
      </c>
      <c r="O60" t="s">
        <v>42</v>
      </c>
    </row>
    <row r="61" spans="3:15" x14ac:dyDescent="0.35">
      <c r="C61" s="13">
        <f>C16+G16+K16</f>
        <v>0</v>
      </c>
      <c r="D61" s="2" t="s">
        <v>17</v>
      </c>
      <c r="E61" s="2"/>
      <c r="J61" s="35">
        <f>K61*10</f>
        <v>1690</v>
      </c>
      <c r="K61" s="29">
        <f>N46</f>
        <v>169</v>
      </c>
      <c r="L61" s="2" t="s">
        <v>8</v>
      </c>
      <c r="N61" s="13">
        <f>B8+F8+J8</f>
        <v>6</v>
      </c>
      <c r="O61" s="2" t="s">
        <v>6</v>
      </c>
    </row>
    <row r="62" spans="3:15" x14ac:dyDescent="0.35">
      <c r="C62" s="13">
        <f>C17+G17+K17</f>
        <v>0</v>
      </c>
      <c r="D62" s="2" t="s">
        <v>11</v>
      </c>
      <c r="E62" s="2"/>
      <c r="J62" s="35">
        <f t="shared" si="1"/>
        <v>75</v>
      </c>
      <c r="K62" s="26">
        <f>C47</f>
        <v>5</v>
      </c>
      <c r="L62" s="2" t="s">
        <v>5</v>
      </c>
      <c r="N62" s="14">
        <f>B24+F24</f>
        <v>0</v>
      </c>
      <c r="O62" s="2" t="s">
        <v>44</v>
      </c>
    </row>
    <row r="63" spans="3:15" x14ac:dyDescent="0.35">
      <c r="C63" s="13">
        <f>C18+G18+K18+K26+Q12</f>
        <v>0</v>
      </c>
      <c r="D63" s="2" t="s">
        <v>12</v>
      </c>
      <c r="E63" s="2"/>
      <c r="J63" s="35">
        <f>K63*15</f>
        <v>60</v>
      </c>
      <c r="K63" s="21">
        <f>K46</f>
        <v>4</v>
      </c>
      <c r="L63" s="2" t="s">
        <v>30</v>
      </c>
      <c r="N63" s="14">
        <f>B25+F25</f>
        <v>0</v>
      </c>
      <c r="O63" s="2" t="s">
        <v>45</v>
      </c>
    </row>
    <row r="64" spans="3:15" x14ac:dyDescent="0.35">
      <c r="C64" s="13">
        <f>C19+G19+K19</f>
        <v>0</v>
      </c>
      <c r="D64" s="2" t="s">
        <v>13</v>
      </c>
      <c r="E64" s="2"/>
      <c r="J64" s="35">
        <f>K64*5</f>
        <v>950</v>
      </c>
      <c r="K64" s="21">
        <f>C48</f>
        <v>190</v>
      </c>
      <c r="L64" s="2" t="s">
        <v>48</v>
      </c>
      <c r="N64" s="14">
        <f>B27+F27</f>
        <v>2</v>
      </c>
      <c r="O64" s="2" t="s">
        <v>71</v>
      </c>
    </row>
    <row r="65" spans="3:15" x14ac:dyDescent="0.35">
      <c r="C65" s="13">
        <f>C20+G20+K20</f>
        <v>0</v>
      </c>
      <c r="D65" s="2" t="s">
        <v>18</v>
      </c>
      <c r="E65" s="2"/>
      <c r="J65" s="35">
        <f>K65*8</f>
        <v>280</v>
      </c>
      <c r="K65" s="21">
        <f>K47</f>
        <v>35</v>
      </c>
      <c r="L65" s="2" t="s">
        <v>71</v>
      </c>
      <c r="N65" s="14">
        <f>B10+F10+J10+B29+F29</f>
        <v>0</v>
      </c>
      <c r="O65" s="2" t="s">
        <v>7</v>
      </c>
    </row>
    <row r="66" spans="3:15" x14ac:dyDescent="0.35">
      <c r="N66" s="14">
        <f>B11+F11+J11</f>
        <v>6</v>
      </c>
      <c r="O66" s="2" t="s">
        <v>8</v>
      </c>
    </row>
    <row r="67" spans="3:15" x14ac:dyDescent="0.35">
      <c r="M67" s="2"/>
    </row>
    <row r="70" spans="3:15" x14ac:dyDescent="0.35">
      <c r="D70" s="2"/>
      <c r="E70" s="2"/>
      <c r="H70" s="2"/>
      <c r="I70" s="2"/>
      <c r="L70" s="2"/>
      <c r="O70" s="2"/>
    </row>
    <row r="71" spans="3:15" x14ac:dyDescent="0.35">
      <c r="D71" s="2"/>
      <c r="E71" s="2"/>
      <c r="H71" s="2"/>
      <c r="I71" s="2"/>
      <c r="L71" s="2"/>
      <c r="O71" s="2"/>
    </row>
    <row r="72" spans="3:15" x14ac:dyDescent="0.35">
      <c r="D72" s="2"/>
      <c r="E72" s="2"/>
      <c r="H72" s="2"/>
      <c r="I72" s="2"/>
      <c r="L72" s="2"/>
    </row>
    <row r="73" spans="3:15" x14ac:dyDescent="0.35">
      <c r="D73" s="2"/>
      <c r="E73" s="2"/>
      <c r="H73" s="2"/>
      <c r="I73" s="2"/>
      <c r="L73" s="2"/>
    </row>
    <row r="74" spans="3:15" x14ac:dyDescent="0.35">
      <c r="D74" s="2"/>
      <c r="E74" s="2"/>
      <c r="L74" s="2"/>
    </row>
    <row r="75" spans="3:15" x14ac:dyDescent="0.35">
      <c r="L75" s="2"/>
    </row>
    <row r="76" spans="3:15" x14ac:dyDescent="0.35">
      <c r="L76" s="2"/>
    </row>
    <row r="77" spans="3:15" x14ac:dyDescent="0.35">
      <c r="L77" s="2"/>
    </row>
    <row r="78" spans="3:15" x14ac:dyDescent="0.35">
      <c r="L78" s="2"/>
    </row>
    <row r="79" spans="3:15" x14ac:dyDescent="0.35">
      <c r="L79" s="2"/>
    </row>
  </sheetData>
  <mergeCells count="2">
    <mergeCell ref="C1:D1"/>
    <mergeCell ref="F1:H1"/>
  </mergeCells>
  <conditionalFormatting sqref="C4:C5">
    <cfRule type="cellIs" dxfId="14" priority="18" operator="greaterThan">
      <formula>23</formula>
    </cfRule>
  </conditionalFormatting>
  <conditionalFormatting sqref="C8">
    <cfRule type="cellIs" dxfId="13" priority="17" operator="greaterThan">
      <formula>19</formula>
    </cfRule>
  </conditionalFormatting>
  <conditionalFormatting sqref="C10:C11">
    <cfRule type="cellIs" dxfId="12" priority="19" operator="greaterThan">
      <formula>23</formula>
    </cfRule>
  </conditionalFormatting>
  <conditionalFormatting sqref="C24:C25">
    <cfRule type="cellIs" dxfId="11" priority="6" operator="greaterThan">
      <formula>23</formula>
    </cfRule>
  </conditionalFormatting>
  <conditionalFormatting sqref="C27">
    <cfRule type="cellIs" dxfId="10" priority="7" operator="greaterThan">
      <formula>12</formula>
    </cfRule>
  </conditionalFormatting>
  <conditionalFormatting sqref="C29">
    <cfRule type="cellIs" dxfId="9" priority="5" operator="greaterThan">
      <formula>23</formula>
    </cfRule>
  </conditionalFormatting>
  <conditionalFormatting sqref="G4:G5">
    <cfRule type="cellIs" dxfId="8" priority="14" operator="greaterThan">
      <formula>23</formula>
    </cfRule>
  </conditionalFormatting>
  <conditionalFormatting sqref="G8">
    <cfRule type="cellIs" dxfId="7" priority="13" operator="greaterThan">
      <formula>19</formula>
    </cfRule>
  </conditionalFormatting>
  <conditionalFormatting sqref="G10:G11">
    <cfRule type="cellIs" dxfId="6" priority="15" operator="greaterThan">
      <formula>23</formula>
    </cfRule>
  </conditionalFormatting>
  <conditionalFormatting sqref="G24:G25">
    <cfRule type="cellIs" dxfId="5" priority="2" operator="greaterThan">
      <formula>23</formula>
    </cfRule>
  </conditionalFormatting>
  <conditionalFormatting sqref="G27">
    <cfRule type="cellIs" dxfId="4" priority="3" operator="greaterThan">
      <formula>12</formula>
    </cfRule>
  </conditionalFormatting>
  <conditionalFormatting sqref="G29">
    <cfRule type="cellIs" dxfId="3" priority="1" operator="greaterThan">
      <formula>23</formula>
    </cfRule>
  </conditionalFormatting>
  <conditionalFormatting sqref="K4:K5">
    <cfRule type="cellIs" dxfId="2" priority="10" operator="greaterThan">
      <formula>23</formula>
    </cfRule>
  </conditionalFormatting>
  <conditionalFormatting sqref="K8">
    <cfRule type="cellIs" dxfId="1" priority="9" operator="greaterThan">
      <formula>19</formula>
    </cfRule>
  </conditionalFormatting>
  <conditionalFormatting sqref="K10:K11">
    <cfRule type="cellIs" dxfId="0" priority="11" operator="greaterThan">
      <formula>23</formula>
    </cfRule>
  </conditionalFormatting>
  <pageMargins left="0.7" right="0.7" top="0.75" bottom="0.75" header="0.3" footer="0.3"/>
  <pageSetup orientation="landscape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I21" sqref="I21"/>
    </sheetView>
  </sheetViews>
  <sheetFormatPr defaultRowHeight="14.5" x14ac:dyDescent="0.35"/>
  <cols>
    <col min="1" max="1" width="6.26953125" customWidth="1"/>
    <col min="2" max="2" width="8.453125" customWidth="1"/>
    <col min="3" max="3" width="12.26953125" customWidth="1"/>
    <col min="4" max="4" width="5" customWidth="1"/>
    <col min="5" max="5" width="8.7265625" customWidth="1"/>
    <col min="6" max="6" width="6.7265625" customWidth="1"/>
    <col min="7" max="7" width="10.26953125" customWidth="1"/>
    <col min="8" max="8" width="6.26953125" customWidth="1"/>
    <col min="9" max="9" width="7.54296875" customWidth="1"/>
    <col min="10" max="10" width="6.26953125" customWidth="1"/>
    <col min="11" max="11" width="16.1796875" customWidth="1"/>
    <col min="12" max="12" width="4.453125" customWidth="1"/>
    <col min="13" max="13" width="4.1796875" customWidth="1"/>
    <col min="14" max="14" width="8.81640625" customWidth="1"/>
    <col min="15" max="15" width="4.453125" customWidth="1"/>
  </cols>
  <sheetData>
    <row r="1" spans="1:14" ht="18.399999999999999" customHeight="1" thickBot="1" x14ac:dyDescent="0.55000000000000004">
      <c r="A1" s="103" t="s">
        <v>77</v>
      </c>
      <c r="B1" s="103"/>
      <c r="C1" s="45">
        <f>Mon!D2+1</f>
        <v>62</v>
      </c>
      <c r="D1" s="46"/>
      <c r="E1" s="46"/>
      <c r="F1" s="63" t="s">
        <v>110</v>
      </c>
      <c r="G1" s="64">
        <f>Mon!F1+49-1</f>
        <v>46124</v>
      </c>
    </row>
    <row r="2" spans="1:14" ht="12.4" customHeight="1" x14ac:dyDescent="0.35"/>
    <row r="3" spans="1:14" ht="12.75" customHeight="1" x14ac:dyDescent="0.35">
      <c r="D3" s="18"/>
      <c r="G3" s="22"/>
      <c r="J3" s="22"/>
      <c r="K3" s="2"/>
      <c r="M3" s="22"/>
      <c r="N3" s="22"/>
    </row>
    <row r="4" spans="1:14" ht="12.75" customHeight="1" thickBot="1" x14ac:dyDescent="0.4">
      <c r="A4" s="34" t="s">
        <v>76</v>
      </c>
      <c r="B4" s="17" t="s">
        <v>75</v>
      </c>
      <c r="C4" s="17"/>
      <c r="D4" s="42"/>
      <c r="E4" s="34" t="s">
        <v>76</v>
      </c>
      <c r="F4" s="17" t="s">
        <v>78</v>
      </c>
      <c r="G4" s="17"/>
      <c r="I4" s="34" t="s">
        <v>76</v>
      </c>
      <c r="J4" s="17" t="s">
        <v>79</v>
      </c>
      <c r="K4" s="17"/>
      <c r="M4" s="42"/>
      <c r="N4" s="2"/>
    </row>
    <row r="5" spans="1:14" ht="12.75" customHeight="1" x14ac:dyDescent="0.35">
      <c r="A5" s="35">
        <f>B5/48</f>
        <v>0</v>
      </c>
      <c r="B5" s="39"/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1.5</v>
      </c>
      <c r="J5" s="39">
        <v>72</v>
      </c>
      <c r="K5" s="2" t="s">
        <v>49</v>
      </c>
      <c r="M5" s="42"/>
      <c r="N5" s="2"/>
    </row>
    <row r="6" spans="1:14" ht="12.75" customHeight="1" x14ac:dyDescent="0.35">
      <c r="A6" s="35">
        <f t="shared" ref="A6:A12" si="0">B6/48</f>
        <v>6</v>
      </c>
      <c r="B6" s="39">
        <v>288</v>
      </c>
      <c r="C6" s="2" t="s">
        <v>43</v>
      </c>
      <c r="D6" s="42"/>
      <c r="E6" s="35">
        <f t="shared" ref="E6:E12" si="1">F6/48</f>
        <v>0.5</v>
      </c>
      <c r="F6" s="39">
        <v>24</v>
      </c>
      <c r="G6" s="2" t="s">
        <v>43</v>
      </c>
      <c r="I6" s="35">
        <f t="shared" ref="I6:I12" si="2">J6/48</f>
        <v>4</v>
      </c>
      <c r="J6" s="39">
        <v>192</v>
      </c>
      <c r="K6" s="2" t="s">
        <v>43</v>
      </c>
      <c r="M6" s="42"/>
      <c r="N6" s="2"/>
    </row>
    <row r="7" spans="1:14" ht="12.75" customHeight="1" x14ac:dyDescent="0.3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3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35">
      <c r="A9" s="35">
        <f t="shared" si="0"/>
        <v>0</v>
      </c>
      <c r="B9" s="39"/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3.5</v>
      </c>
      <c r="J9" s="39">
        <v>168</v>
      </c>
      <c r="K9" s="2" t="s">
        <v>54</v>
      </c>
      <c r="M9" s="42"/>
      <c r="N9" s="2"/>
    </row>
    <row r="10" spans="1:14" ht="12.75" customHeight="1" x14ac:dyDescent="0.35">
      <c r="A10" s="35">
        <f t="shared" si="0"/>
        <v>2</v>
      </c>
      <c r="B10" s="39">
        <v>96</v>
      </c>
      <c r="C10" s="2" t="s">
        <v>1</v>
      </c>
      <c r="D10" s="42"/>
      <c r="E10" s="35">
        <f t="shared" si="1"/>
        <v>0.5</v>
      </c>
      <c r="F10" s="39">
        <v>24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35">
      <c r="A11" s="35">
        <f t="shared" si="0"/>
        <v>2</v>
      </c>
      <c r="B11" s="39">
        <v>96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35">
      <c r="A12" s="35">
        <f t="shared" si="0"/>
        <v>10</v>
      </c>
      <c r="B12" s="44">
        <f>SUM(B5:B11)</f>
        <v>480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10</v>
      </c>
      <c r="J12" s="44">
        <f>SUM(J5:J11)</f>
        <v>480</v>
      </c>
      <c r="K12" s="22" t="s">
        <v>35</v>
      </c>
      <c r="M12" s="42"/>
      <c r="N12" s="2"/>
    </row>
    <row r="13" spans="1:14" ht="12.75" customHeight="1" x14ac:dyDescent="0.3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35">
      <c r="A14" s="42"/>
      <c r="B14" s="2"/>
      <c r="D14" s="42"/>
      <c r="G14" s="42"/>
      <c r="H14" s="2"/>
      <c r="J14" s="42"/>
      <c r="K14" s="2"/>
    </row>
    <row r="15" spans="1:14" ht="12.75" customHeight="1" x14ac:dyDescent="0.35">
      <c r="A15" s="42"/>
      <c r="B15" s="2"/>
      <c r="F15" s="2"/>
      <c r="G15" s="42"/>
      <c r="H15" s="2"/>
      <c r="J15" s="42"/>
      <c r="K15" s="2"/>
    </row>
    <row r="16" spans="1:14" ht="12.75" customHeight="1" x14ac:dyDescent="0.3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3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3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3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35">
      <c r="A20" s="42"/>
      <c r="B20" s="2"/>
      <c r="G20" s="42"/>
      <c r="H20" s="2"/>
      <c r="J20" s="42"/>
      <c r="K20" s="2"/>
    </row>
    <row r="21" spans="1:14" ht="12.75" customHeight="1" x14ac:dyDescent="0.35">
      <c r="D21" s="22"/>
      <c r="E21" s="22"/>
      <c r="G21" s="42"/>
      <c r="H21" s="2"/>
      <c r="J21" s="42"/>
      <c r="K21" s="2"/>
    </row>
    <row r="22" spans="1:14" ht="12.75" customHeight="1" x14ac:dyDescent="0.35">
      <c r="D22" s="42"/>
      <c r="E22" s="2"/>
      <c r="G22" s="42"/>
      <c r="H22" s="2"/>
      <c r="J22" s="42"/>
      <c r="K22" s="2"/>
    </row>
    <row r="23" spans="1:14" ht="12.75" customHeight="1" x14ac:dyDescent="0.35">
      <c r="D23" s="42"/>
      <c r="E23" s="2"/>
      <c r="G23" s="42"/>
      <c r="H23" s="40"/>
      <c r="J23" s="42"/>
      <c r="K23" s="2"/>
    </row>
    <row r="24" spans="1:14" ht="12.75" customHeight="1" x14ac:dyDescent="0.35">
      <c r="D24" s="42"/>
      <c r="E24" s="2"/>
      <c r="J24" s="42"/>
      <c r="K24" s="2"/>
    </row>
    <row r="25" spans="1:14" ht="12.75" customHeight="1" x14ac:dyDescent="0.35">
      <c r="D25" s="42"/>
      <c r="E25" s="2"/>
      <c r="G25" s="22"/>
      <c r="H25" s="22"/>
      <c r="J25" s="42"/>
      <c r="K25" s="22"/>
    </row>
    <row r="26" spans="1:14" ht="12.75" customHeight="1" x14ac:dyDescent="0.35">
      <c r="D26" s="42"/>
      <c r="E26" s="2"/>
      <c r="G26" s="42"/>
      <c r="H26" s="2"/>
    </row>
    <row r="27" spans="1:14" ht="12.75" customHeight="1" x14ac:dyDescent="0.35">
      <c r="D27" s="42"/>
      <c r="E27" s="2"/>
      <c r="G27" s="42"/>
      <c r="H27" s="2"/>
    </row>
    <row r="28" spans="1:14" ht="12.75" customHeight="1" x14ac:dyDescent="0.35">
      <c r="D28" s="42"/>
      <c r="E28" s="2"/>
      <c r="G28" s="42"/>
      <c r="H28" s="2"/>
      <c r="J28" s="18"/>
    </row>
    <row r="29" spans="1:14" ht="12.75" customHeight="1" x14ac:dyDescent="0.35">
      <c r="D29" s="42"/>
      <c r="E29" s="2"/>
      <c r="G29" s="42"/>
      <c r="H29" s="22"/>
      <c r="J29" s="42"/>
      <c r="K29" s="2"/>
    </row>
    <row r="30" spans="1:14" ht="12.75" customHeight="1" x14ac:dyDescent="0.35">
      <c r="D30" s="42"/>
      <c r="E30" s="2"/>
      <c r="H30" s="3"/>
      <c r="J30" s="42"/>
      <c r="K30" s="2"/>
    </row>
    <row r="31" spans="1:14" ht="12.75" customHeight="1" x14ac:dyDescent="0.35">
      <c r="A31" s="22"/>
      <c r="D31" s="42"/>
      <c r="E31" s="2"/>
      <c r="J31" s="42"/>
      <c r="K31" s="2"/>
    </row>
    <row r="32" spans="1:14" ht="12.75" customHeight="1" x14ac:dyDescent="0.35">
      <c r="A32" s="24"/>
      <c r="D32" s="42"/>
      <c r="E32" s="2"/>
      <c r="J32" s="42"/>
      <c r="K32" s="2"/>
      <c r="M32" s="22"/>
      <c r="N32" s="22"/>
    </row>
    <row r="33" spans="1:14" ht="12.75" customHeight="1" x14ac:dyDescent="0.35">
      <c r="D33" s="42"/>
      <c r="E33" s="2"/>
      <c r="J33" s="42"/>
      <c r="K33" s="2"/>
      <c r="M33" s="42"/>
      <c r="N33" s="2"/>
    </row>
    <row r="34" spans="1:14" ht="12.75" customHeight="1" x14ac:dyDescent="0.35">
      <c r="D34" s="42"/>
      <c r="E34" s="2"/>
      <c r="J34" s="42"/>
      <c r="K34" s="2"/>
    </row>
    <row r="35" spans="1:14" ht="12.75" customHeight="1" x14ac:dyDescent="0.35">
      <c r="A35" s="22"/>
      <c r="D35" s="42"/>
      <c r="E35" s="2"/>
      <c r="F35" s="1"/>
      <c r="J35" s="42"/>
      <c r="K35" s="22"/>
    </row>
    <row r="36" spans="1:14" ht="12.75" customHeight="1" x14ac:dyDescent="0.35">
      <c r="A36" s="24"/>
      <c r="D36" s="42"/>
      <c r="E36" s="2"/>
    </row>
    <row r="37" spans="1:14" ht="12.75" customHeight="1" x14ac:dyDescent="0.35">
      <c r="B37" s="2"/>
      <c r="C37" s="23"/>
      <c r="D37" s="42"/>
      <c r="E37" s="2"/>
      <c r="G37" s="18"/>
      <c r="J37" s="2"/>
    </row>
    <row r="38" spans="1:14" ht="12.75" customHeight="1" x14ac:dyDescent="0.35">
      <c r="A38" s="11"/>
      <c r="B38" s="2"/>
      <c r="D38" s="42"/>
      <c r="E38" s="2"/>
    </row>
    <row r="39" spans="1:14" ht="12.75" customHeight="1" x14ac:dyDescent="0.35">
      <c r="A39" s="22"/>
      <c r="B39" s="22"/>
      <c r="D39" s="42"/>
      <c r="E39" s="22"/>
    </row>
    <row r="40" spans="1:14" ht="21" x14ac:dyDescent="0.5">
      <c r="A40" s="19" t="s">
        <v>60</v>
      </c>
    </row>
    <row r="42" spans="1:14" ht="15" thickBot="1" x14ac:dyDescent="0.4">
      <c r="A42" s="30" t="s">
        <v>55</v>
      </c>
      <c r="B42" s="5"/>
      <c r="C42" s="34" t="s">
        <v>72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3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0</v>
      </c>
      <c r="K43" s="2" t="s">
        <v>9</v>
      </c>
    </row>
    <row r="44" spans="1:14" x14ac:dyDescent="0.3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168</v>
      </c>
      <c r="K44" s="2" t="s">
        <v>7</v>
      </c>
    </row>
    <row r="45" spans="1:14" x14ac:dyDescent="0.3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3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70</v>
      </c>
      <c r="J46" s="47">
        <f>B5+F5+J5</f>
        <v>72</v>
      </c>
      <c r="K46" s="2" t="s">
        <v>49</v>
      </c>
    </row>
    <row r="47" spans="1:14" x14ac:dyDescent="0.3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504</v>
      </c>
      <c r="K47" s="2" t="s">
        <v>43</v>
      </c>
    </row>
    <row r="48" spans="1:14" x14ac:dyDescent="0.3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35">
      <c r="B49" s="2"/>
      <c r="C49" s="35">
        <f t="shared" si="3"/>
        <v>0</v>
      </c>
      <c r="D49" s="14"/>
      <c r="E49" s="2" t="s">
        <v>24</v>
      </c>
      <c r="J49" s="48">
        <f>B10+F10+J10</f>
        <v>120</v>
      </c>
      <c r="K49" s="2" t="s">
        <v>1</v>
      </c>
    </row>
    <row r="50" spans="1:11" x14ac:dyDescent="0.35">
      <c r="B50" s="2"/>
      <c r="C50" s="35">
        <f t="shared" si="3"/>
        <v>0</v>
      </c>
      <c r="D50" s="14"/>
      <c r="E50" s="2" t="s">
        <v>25</v>
      </c>
      <c r="J50" s="48">
        <f>B11+F11+J11</f>
        <v>96</v>
      </c>
      <c r="K50" s="2" t="s">
        <v>0</v>
      </c>
    </row>
    <row r="51" spans="1:11" x14ac:dyDescent="0.35">
      <c r="B51" s="2"/>
      <c r="C51" s="35">
        <f>D51*8</f>
        <v>0</v>
      </c>
      <c r="D51" s="14"/>
      <c r="E51" s="2" t="s">
        <v>26</v>
      </c>
    </row>
    <row r="52" spans="1:11" x14ac:dyDescent="0.35">
      <c r="C52" s="35">
        <f>D52*8</f>
        <v>0</v>
      </c>
      <c r="D52" s="14"/>
      <c r="E52" s="2" t="s">
        <v>28</v>
      </c>
    </row>
    <row r="57" spans="1:11" ht="15" thickBot="1" x14ac:dyDescent="0.4">
      <c r="A57" s="30" t="s">
        <v>59</v>
      </c>
      <c r="B57" s="5"/>
      <c r="F57" s="34" t="s">
        <v>72</v>
      </c>
      <c r="G57" s="30" t="s">
        <v>61</v>
      </c>
      <c r="H57" s="5"/>
    </row>
    <row r="58" spans="1:11" x14ac:dyDescent="0.3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3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3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3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3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3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35">
      <c r="A64" s="13"/>
      <c r="B64" s="2" t="s">
        <v>18</v>
      </c>
      <c r="F64" s="35">
        <f>G64*8</f>
        <v>0</v>
      </c>
      <c r="G64" s="21">
        <f>G46</f>
        <v>0</v>
      </c>
      <c r="H64" s="2" t="s">
        <v>71</v>
      </c>
    </row>
    <row r="66" spans="2:11" x14ac:dyDescent="0.35">
      <c r="I66" s="2"/>
    </row>
    <row r="69" spans="2:11" x14ac:dyDescent="0.35">
      <c r="B69" s="2"/>
      <c r="E69" s="2"/>
      <c r="H69" s="2"/>
      <c r="K69" s="2"/>
    </row>
    <row r="70" spans="2:11" x14ac:dyDescent="0.35">
      <c r="B70" s="2"/>
      <c r="E70" s="2"/>
      <c r="H70" s="2"/>
      <c r="K70" s="2"/>
    </row>
    <row r="71" spans="2:11" x14ac:dyDescent="0.35">
      <c r="B71" s="2"/>
      <c r="E71" s="2"/>
      <c r="H71" s="2"/>
    </row>
    <row r="72" spans="2:11" x14ac:dyDescent="0.35">
      <c r="B72" s="2"/>
      <c r="E72" s="2"/>
      <c r="H72" s="2"/>
    </row>
    <row r="73" spans="2:11" x14ac:dyDescent="0.35">
      <c r="B73" s="2"/>
      <c r="H73" s="2"/>
    </row>
    <row r="74" spans="2:11" x14ac:dyDescent="0.35">
      <c r="H74" s="2"/>
    </row>
    <row r="75" spans="2:11" x14ac:dyDescent="0.35">
      <c r="H75" s="2"/>
    </row>
    <row r="76" spans="2:11" x14ac:dyDescent="0.35">
      <c r="H76" s="2"/>
    </row>
    <row r="77" spans="2:11" x14ac:dyDescent="0.35">
      <c r="H77" s="2"/>
    </row>
    <row r="78" spans="2:11" x14ac:dyDescent="0.35">
      <c r="H78" s="2"/>
    </row>
  </sheetData>
  <mergeCells count="1">
    <mergeCell ref="A1:B1"/>
  </mergeCells>
  <pageMargins left="0.7" right="0.7" top="0.75" bottom="0.75" header="0.3" footer="0.3"/>
  <pageSetup orientation="landscape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H14" sqref="H14"/>
    </sheetView>
  </sheetViews>
  <sheetFormatPr defaultRowHeight="14.5" x14ac:dyDescent="0.35"/>
  <cols>
    <col min="1" max="1" width="6.26953125" customWidth="1"/>
    <col min="2" max="2" width="18.7265625" customWidth="1"/>
    <col min="3" max="3" width="6.453125" customWidth="1"/>
    <col min="4" max="4" width="5" customWidth="1"/>
    <col min="5" max="5" width="15.1796875" customWidth="1"/>
    <col min="6" max="6" width="3.7265625" customWidth="1"/>
    <col min="7" max="7" width="6.7265625" customWidth="1"/>
    <col min="8" max="8" width="9.7265625" customWidth="1"/>
    <col min="9" max="9" width="9.26953125" customWidth="1"/>
    <col min="10" max="10" width="7.453125" customWidth="1"/>
    <col min="11" max="11" width="10.7265625" customWidth="1"/>
    <col min="12" max="12" width="9" customWidth="1"/>
    <col min="13" max="13" width="9.26953125" customWidth="1"/>
    <col min="14" max="14" width="20.54296875" customWidth="1"/>
    <col min="15" max="15" width="6.7265625" customWidth="1"/>
    <col min="18" max="18" width="10.26953125" customWidth="1"/>
  </cols>
  <sheetData>
    <row r="1" spans="1:24" ht="18.399999999999999" customHeight="1" thickBot="1" x14ac:dyDescent="0.55000000000000004">
      <c r="A1" s="103" t="s">
        <v>80</v>
      </c>
      <c r="B1" s="103"/>
      <c r="C1" s="45">
        <f>Mon!D2</f>
        <v>61</v>
      </c>
      <c r="D1" s="46"/>
      <c r="E1" s="46"/>
      <c r="N1" t="s">
        <v>97</v>
      </c>
      <c r="R1" t="s">
        <v>89</v>
      </c>
    </row>
    <row r="2" spans="1:24" ht="12.4" customHeight="1" x14ac:dyDescent="0.35">
      <c r="N2" s="56" t="s">
        <v>90</v>
      </c>
      <c r="O2" s="54" t="s">
        <v>91</v>
      </c>
      <c r="P2" s="54" t="s">
        <v>92</v>
      </c>
      <c r="R2" s="51"/>
      <c r="S2" s="51" t="s">
        <v>109</v>
      </c>
      <c r="T2" s="51" t="s">
        <v>81</v>
      </c>
      <c r="U2" s="51" t="s">
        <v>82</v>
      </c>
      <c r="V2" s="51" t="s">
        <v>83</v>
      </c>
      <c r="W2" s="51" t="s">
        <v>86</v>
      </c>
      <c r="X2" s="51" t="s">
        <v>87</v>
      </c>
    </row>
    <row r="3" spans="1:24" ht="12.75" customHeight="1" thickBot="1" x14ac:dyDescent="0.4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1848</v>
      </c>
      <c r="P3" s="53">
        <f>O3/125</f>
        <v>14.784000000000001</v>
      </c>
      <c r="R3" s="51" t="s">
        <v>84</v>
      </c>
      <c r="S3" s="55">
        <f>12*(D8+J4)</f>
        <v>1908</v>
      </c>
      <c r="T3" s="55">
        <f>15*(A4+D4+G4+J7+J5)+20*D12</f>
        <v>9810</v>
      </c>
      <c r="U3" s="55">
        <f>15*(A5+A9+D5+D9+D10+D11+G5+J6+J8+J10)+20*(A8+D13+G7)</f>
        <v>44180</v>
      </c>
      <c r="V3" s="55">
        <f>15*(A6+J11)</f>
        <v>1650</v>
      </c>
      <c r="W3" s="55">
        <f>15*D6</f>
        <v>0</v>
      </c>
      <c r="X3" s="55">
        <f>15*(A7+D7+G6+J9)</f>
        <v>1680</v>
      </c>
    </row>
    <row r="4" spans="1:24" ht="12.75" customHeight="1" x14ac:dyDescent="0.35">
      <c r="A4" s="87">
        <f>Mon!C70+Tues!C43+Wed!B42+Thurs!C72+Fri!C44+NFLD!A43</f>
        <v>26</v>
      </c>
      <c r="B4" s="2" t="s">
        <v>41</v>
      </c>
      <c r="C4" s="7"/>
      <c r="D4" s="31">
        <f>Mon!G70+Tues!G43+Wed!E42+Thurs!G72+Fri!G44+NFLD!D43</f>
        <v>25</v>
      </c>
      <c r="E4" s="2" t="s">
        <v>19</v>
      </c>
      <c r="F4" s="7"/>
      <c r="G4" s="31">
        <f>Mon!K70+Tues!K43+Wed!H42+Thurs!K72+Fri!K44+NFLD!G43</f>
        <v>6</v>
      </c>
      <c r="H4" s="2" t="s">
        <v>44</v>
      </c>
      <c r="I4" s="7"/>
      <c r="J4" s="31">
        <f>Mon!N70+Tues!N43+Wed!K42+Thurs!N72+Fri!N44+NFLD!J43</f>
        <v>154</v>
      </c>
      <c r="K4" s="2" t="s">
        <v>9</v>
      </c>
      <c r="M4" s="42"/>
      <c r="N4" s="52" t="s">
        <v>7</v>
      </c>
      <c r="O4" s="53">
        <f>J5*10</f>
        <v>4940</v>
      </c>
      <c r="P4" s="53">
        <f>O4/130</f>
        <v>38</v>
      </c>
      <c r="R4" s="51" t="s">
        <v>85</v>
      </c>
      <c r="S4" s="55">
        <f t="shared" ref="S4:X4" si="0">S3/15</f>
        <v>127.2</v>
      </c>
      <c r="T4" s="55">
        <f t="shared" si="0"/>
        <v>654</v>
      </c>
      <c r="U4" s="55">
        <f t="shared" si="0"/>
        <v>2945.3333333333335</v>
      </c>
      <c r="V4" s="55">
        <f t="shared" si="0"/>
        <v>110</v>
      </c>
      <c r="W4" s="55">
        <f t="shared" si="0"/>
        <v>0</v>
      </c>
      <c r="X4" s="55">
        <f t="shared" si="0"/>
        <v>112</v>
      </c>
    </row>
    <row r="5" spans="1:24" ht="12.75" customHeight="1" x14ac:dyDescent="0.35">
      <c r="A5" s="26">
        <f>Mon!C71+Tues!C44+Wed!B43+Thurs!C73+Fri!C45+NFLD!A44</f>
        <v>163</v>
      </c>
      <c r="B5" s="2" t="s">
        <v>42</v>
      </c>
      <c r="C5" s="24"/>
      <c r="D5" s="26">
        <f>Mon!G71+Tues!G44+Wed!E43+Thurs!G73+Fri!G45+NFLD!D44</f>
        <v>100</v>
      </c>
      <c r="E5" s="2" t="s">
        <v>20</v>
      </c>
      <c r="G5" s="26">
        <f>Mon!K71+Tues!K44+Wed!H43+Thurs!K73+Fri!K45+NFLD!G44</f>
        <v>227</v>
      </c>
      <c r="H5" s="2" t="s">
        <v>45</v>
      </c>
      <c r="J5" s="26">
        <f>Mon!N71+Tues!N44+Wed!K43+Thurs!N73+Fri!N45+NFLD!J44</f>
        <v>494</v>
      </c>
      <c r="K5" s="2" t="s">
        <v>7</v>
      </c>
      <c r="M5" s="42"/>
      <c r="N5" s="52" t="s">
        <v>8</v>
      </c>
      <c r="O5" s="53">
        <f>J6*10</f>
        <v>2590</v>
      </c>
      <c r="P5" s="53">
        <f t="shared" ref="P5:P25" si="1">O5/130</f>
        <v>19.923076923076923</v>
      </c>
      <c r="R5" s="61"/>
      <c r="S5" s="62"/>
      <c r="T5" s="62"/>
      <c r="U5" s="62"/>
      <c r="V5" s="62"/>
      <c r="W5" s="62"/>
      <c r="X5" s="62"/>
    </row>
    <row r="6" spans="1:24" ht="12.75" customHeight="1" x14ac:dyDescent="0.35">
      <c r="A6" s="26">
        <f>Mon!C72+Tues!C45+Wed!B44+Thurs!C74+Fri!C46+NFLD!A45</f>
        <v>6</v>
      </c>
      <c r="B6" s="2" t="s">
        <v>4</v>
      </c>
      <c r="C6" s="24"/>
      <c r="D6" s="26">
        <f>Mon!G72+Tues!G45+Wed!E44+Thurs!G74+Fri!G46+NFLD!D45</f>
        <v>0</v>
      </c>
      <c r="E6" s="2" t="s">
        <v>27</v>
      </c>
      <c r="G6" s="26">
        <f>Mon!K72+Tues!K45+Wed!H44+Thurs!K74+Fri!K46+NFLD!G45</f>
        <v>13</v>
      </c>
      <c r="H6" s="2" t="s">
        <v>30</v>
      </c>
      <c r="J6" s="26">
        <f>Mon!N72+Tues!N45+Wed!K44+Thurs!N74+Fri!N46+NFLD!J45</f>
        <v>259</v>
      </c>
      <c r="K6" s="2" t="s">
        <v>8</v>
      </c>
      <c r="M6" s="42"/>
      <c r="N6" s="52" t="s">
        <v>49</v>
      </c>
      <c r="O6" s="53">
        <f>J7*15</f>
        <v>1545</v>
      </c>
      <c r="P6" s="53">
        <f>O6/150</f>
        <v>10.3</v>
      </c>
    </row>
    <row r="7" spans="1:24" ht="12.75" customHeight="1" x14ac:dyDescent="0.35">
      <c r="A7" s="26">
        <f>Mon!C73+Tues!C46+Wed!B45+Thurs!C75+Fri!C47+NFLD!A46</f>
        <v>25</v>
      </c>
      <c r="B7" s="2" t="s">
        <v>5</v>
      </c>
      <c r="C7" s="24"/>
      <c r="D7" s="26">
        <f>Mon!G73+Tues!G46+Wed!E45+Thurs!G75+Fri!G47+NFLD!D46</f>
        <v>9</v>
      </c>
      <c r="E7" s="2" t="s">
        <v>21</v>
      </c>
      <c r="G7" s="26">
        <f>Mon!K73+Tues!K46+Wed!H45+Thurs!K75+Fri!K47+NFLD!G46</f>
        <v>184</v>
      </c>
      <c r="H7" s="2" t="s">
        <v>70</v>
      </c>
      <c r="J7" s="26">
        <f>Mon!N73+Tues!N46+Wed!K45+Thurs!N75+Fri!N47+NFLD!J46</f>
        <v>103</v>
      </c>
      <c r="K7" s="2" t="s">
        <v>49</v>
      </c>
      <c r="M7" s="42"/>
      <c r="N7" s="52" t="s">
        <v>43</v>
      </c>
      <c r="O7" s="53">
        <f t="shared" ref="O7" si="2">J8*15</f>
        <v>10320</v>
      </c>
      <c r="P7" s="53">
        <f t="shared" ref="P7:P8" si="3">O7/150</f>
        <v>68.8</v>
      </c>
      <c r="R7" s="12" t="s">
        <v>73</v>
      </c>
      <c r="S7" s="60">
        <f>Mon!D2</f>
        <v>61</v>
      </c>
    </row>
    <row r="8" spans="1:24" ht="12.75" customHeight="1" x14ac:dyDescent="0.35">
      <c r="A8" s="26">
        <f>Mon!C74+Tues!C47+Wed!B46+Thurs!C76+Fri!C48+NFLD!A47</f>
        <v>453</v>
      </c>
      <c r="B8" s="2" t="s">
        <v>6</v>
      </c>
      <c r="C8" s="24"/>
      <c r="D8" s="26">
        <f>Mon!G74+Tues!G47+Wed!E46+Thurs!G76+Fri!G48+NFLD!D47</f>
        <v>5</v>
      </c>
      <c r="E8" s="2" t="s">
        <v>23</v>
      </c>
      <c r="J8" s="26">
        <f>Mon!N74+Tues!N47+Wed!K46+Thurs!N76+Fri!N48+NFLD!J47</f>
        <v>688</v>
      </c>
      <c r="K8" s="2" t="s">
        <v>43</v>
      </c>
      <c r="M8" s="42"/>
      <c r="N8" s="52" t="s">
        <v>2</v>
      </c>
      <c r="O8" s="53">
        <f>J9*15</f>
        <v>975</v>
      </c>
      <c r="P8" s="53">
        <f t="shared" si="3"/>
        <v>6.5</v>
      </c>
      <c r="S8" s="57"/>
      <c r="T8" s="58"/>
      <c r="U8" s="58"/>
    </row>
    <row r="9" spans="1:24" ht="12.75" customHeight="1" x14ac:dyDescent="0.35">
      <c r="A9" s="33">
        <f>Mon!C75+Tues!C48+Wed!B47+Thurs!C77+Fri!C49+NFLD!A48</f>
        <v>13</v>
      </c>
      <c r="B9" s="2" t="s">
        <v>15</v>
      </c>
      <c r="C9" s="24"/>
      <c r="D9" s="26">
        <f>Mon!G75+Tues!G48+Wed!E47+Thurs!G77+Fri!G49+NFLD!D48</f>
        <v>85</v>
      </c>
      <c r="E9" s="2" t="s">
        <v>22</v>
      </c>
      <c r="J9" s="26">
        <f>Mon!N75+Tues!N48+Wed!K47+Thurs!N77+Fri!N49+NFLD!J48</f>
        <v>65</v>
      </c>
      <c r="K9" s="2" t="s">
        <v>2</v>
      </c>
      <c r="M9" s="42"/>
      <c r="N9" s="52" t="s">
        <v>88</v>
      </c>
      <c r="O9" s="53">
        <f>7*(J10+J11)+8*(D12+D13+G7)+5*A9</f>
        <v>5768</v>
      </c>
      <c r="P9" s="53">
        <f>O9/140</f>
        <v>41.2</v>
      </c>
      <c r="S9" s="59"/>
    </row>
    <row r="10" spans="1:24" ht="12.75" customHeight="1" x14ac:dyDescent="0.35">
      <c r="A10" s="7"/>
      <c r="B10" s="2"/>
      <c r="C10" s="24"/>
      <c r="D10" s="26">
        <f>Mon!G76+Tues!G49+Wed!E48+Thurs!G78+Fri!G50+NFLD!D49</f>
        <v>0</v>
      </c>
      <c r="E10" s="2" t="s">
        <v>24</v>
      </c>
      <c r="J10" s="26">
        <f>Mon!N76+Tues!N49+Wed!K48+Thurs!N78+Fri!N50+NFLD!J49</f>
        <v>137</v>
      </c>
      <c r="K10" s="2" t="s">
        <v>1</v>
      </c>
      <c r="M10" s="42"/>
      <c r="N10" s="52" t="s">
        <v>41</v>
      </c>
      <c r="O10" s="53">
        <f>A4*15</f>
        <v>390</v>
      </c>
      <c r="P10" s="53">
        <f>O10/250</f>
        <v>1.56</v>
      </c>
      <c r="S10" s="59"/>
    </row>
    <row r="11" spans="1:24" ht="12.75" customHeight="1" x14ac:dyDescent="0.35">
      <c r="A11" s="7"/>
      <c r="B11" s="2"/>
      <c r="C11" s="24"/>
      <c r="D11" s="26">
        <f>Mon!G77+Tues!G50+Wed!E49+Thurs!G79+Fri!G51+NFLD!D50</f>
        <v>0</v>
      </c>
      <c r="E11" s="2" t="s">
        <v>25</v>
      </c>
      <c r="J11" s="26">
        <f>Mon!N77+Tues!N50+Wed!K49+Thurs!N79+Fri!N51+NFLD!J50</f>
        <v>104</v>
      </c>
      <c r="K11" s="2" t="s">
        <v>0</v>
      </c>
      <c r="M11" s="42"/>
      <c r="N11" s="52" t="s">
        <v>42</v>
      </c>
      <c r="O11" s="53">
        <f t="shared" ref="O11:O12" si="4">A5*15</f>
        <v>2445</v>
      </c>
      <c r="P11" s="53">
        <f t="shared" ref="P11:P13" si="5">O11/250</f>
        <v>9.7799999999999994</v>
      </c>
      <c r="S11" s="59"/>
    </row>
    <row r="12" spans="1:24" ht="13.9" customHeight="1" x14ac:dyDescent="0.35">
      <c r="A12" s="7"/>
      <c r="B12" s="2"/>
      <c r="C12" s="24"/>
      <c r="D12" s="26">
        <f>Mon!G78+Tues!G51+Wed!E50+Thurs!G80+Fri!G52+NFLD!D51</f>
        <v>0</v>
      </c>
      <c r="E12" s="2" t="s">
        <v>26</v>
      </c>
      <c r="M12" s="42"/>
      <c r="N12" s="52" t="s">
        <v>4</v>
      </c>
      <c r="O12" s="53">
        <f t="shared" si="4"/>
        <v>90</v>
      </c>
      <c r="P12" s="53">
        <f t="shared" si="5"/>
        <v>0.36</v>
      </c>
      <c r="S12" s="59"/>
    </row>
    <row r="13" spans="1:24" ht="12.75" customHeight="1" x14ac:dyDescent="0.35">
      <c r="A13" s="7"/>
      <c r="C13" s="24"/>
      <c r="D13" s="26">
        <f>Mon!G79+Tues!G52+Wed!E51+Thurs!G81+Fri!G53+NFLD!D52</f>
        <v>318</v>
      </c>
      <c r="E13" s="2" t="s">
        <v>28</v>
      </c>
      <c r="M13" s="42"/>
      <c r="N13" s="52" t="s">
        <v>5</v>
      </c>
      <c r="O13" s="53">
        <f>A7*15</f>
        <v>375</v>
      </c>
      <c r="P13" s="53">
        <f t="shared" si="5"/>
        <v>1.5</v>
      </c>
      <c r="S13" s="59"/>
    </row>
    <row r="14" spans="1:24" ht="12.75" customHeight="1" x14ac:dyDescent="0.35">
      <c r="A14" s="7"/>
      <c r="N14" s="52" t="s">
        <v>93</v>
      </c>
      <c r="O14" s="53">
        <f>5*A9</f>
        <v>65</v>
      </c>
      <c r="P14" s="53">
        <f>O14/50</f>
        <v>1.3</v>
      </c>
      <c r="S14" s="59"/>
    </row>
    <row r="15" spans="1:24" ht="12.75" customHeight="1" x14ac:dyDescent="0.35">
      <c r="A15" s="7"/>
      <c r="D15" s="24"/>
      <c r="L15" s="2"/>
      <c r="N15" s="52" t="s">
        <v>15</v>
      </c>
      <c r="O15" s="53">
        <f>15*A9</f>
        <v>195</v>
      </c>
      <c r="P15" s="53">
        <f>O15/250</f>
        <v>0.78</v>
      </c>
    </row>
    <row r="16" spans="1:24" ht="12.75" customHeight="1" thickBot="1" x14ac:dyDescent="0.4">
      <c r="A16" s="49" t="s">
        <v>59</v>
      </c>
      <c r="B16" s="5"/>
      <c r="D16" s="30" t="s">
        <v>61</v>
      </c>
      <c r="E16" s="5"/>
      <c r="G16" s="5" t="s">
        <v>104</v>
      </c>
      <c r="H16" s="30" t="s">
        <v>103</v>
      </c>
      <c r="M16" s="22"/>
      <c r="N16" s="52" t="s">
        <v>44</v>
      </c>
      <c r="O16" s="53">
        <f>15*G4</f>
        <v>90</v>
      </c>
      <c r="P16" s="53">
        <f t="shared" ref="P16:P18" si="6">O16/250</f>
        <v>0.36</v>
      </c>
    </row>
    <row r="17" spans="1:24" ht="12.75" customHeight="1" x14ac:dyDescent="0.35">
      <c r="A17" s="32">
        <f>Mon!C85+Tues!C58+Wed!B57+Thurs!C87+Fri!C59+NFLD!A58</f>
        <v>6</v>
      </c>
      <c r="B17" s="2" t="s">
        <v>14</v>
      </c>
      <c r="D17" s="26">
        <f>A6</f>
        <v>6</v>
      </c>
      <c r="E17" s="2" t="s">
        <v>4</v>
      </c>
      <c r="G17" s="15">
        <f>Mon!N85+Tues!N58+Thurs!N87+Fri!N59</f>
        <v>0</v>
      </c>
      <c r="H17" t="s">
        <v>41</v>
      </c>
      <c r="M17" s="42"/>
      <c r="N17" s="52" t="s">
        <v>45</v>
      </c>
      <c r="O17" s="53">
        <f t="shared" ref="O17:O18" si="7">15*G5</f>
        <v>3405</v>
      </c>
      <c r="P17" s="53">
        <f t="shared" si="6"/>
        <v>13.62</v>
      </c>
    </row>
    <row r="18" spans="1:24" ht="12.75" customHeight="1" x14ac:dyDescent="0.35">
      <c r="A18" s="26">
        <f>Mon!C86+Tues!C59+Wed!B58+Thurs!C88+Fri!C60+NFLD!A59</f>
        <v>6</v>
      </c>
      <c r="B18" s="2" t="s">
        <v>16</v>
      </c>
      <c r="D18" s="21">
        <f>A9</f>
        <v>13</v>
      </c>
      <c r="E18" s="2" t="s">
        <v>15</v>
      </c>
      <c r="F18" s="24"/>
      <c r="G18" s="14">
        <f>Mon!N86+Tues!N59+Thurs!N88+Fri!N60</f>
        <v>1</v>
      </c>
      <c r="H18" t="s">
        <v>42</v>
      </c>
      <c r="N18" s="52" t="s">
        <v>30</v>
      </c>
      <c r="O18" s="53">
        <f t="shared" si="7"/>
        <v>195</v>
      </c>
      <c r="P18" s="53">
        <f t="shared" si="6"/>
        <v>0.78</v>
      </c>
    </row>
    <row r="19" spans="1:24" ht="12.75" customHeight="1" x14ac:dyDescent="0.35">
      <c r="A19" s="26">
        <f>Mon!C87+Tues!C60+Wed!B59+Thurs!C89+Fri!C61+NFLD!A60</f>
        <v>1</v>
      </c>
      <c r="B19" s="2" t="s">
        <v>17</v>
      </c>
      <c r="D19" s="29">
        <f>J6</f>
        <v>259</v>
      </c>
      <c r="E19" s="2" t="s">
        <v>8</v>
      </c>
      <c r="F19" s="24"/>
      <c r="G19" s="14">
        <f>Mon!N87+Tues!N60+Thurs!N89+Fri!N61</f>
        <v>14</v>
      </c>
      <c r="H19" s="2" t="s">
        <v>6</v>
      </c>
      <c r="N19" s="52" t="s">
        <v>94</v>
      </c>
      <c r="O19" s="53">
        <f>8*G7</f>
        <v>1472</v>
      </c>
      <c r="P19" s="53">
        <f>O19/50</f>
        <v>29.44</v>
      </c>
    </row>
    <row r="20" spans="1:24" ht="12.75" customHeight="1" x14ac:dyDescent="0.35">
      <c r="A20" s="26">
        <f>Mon!C88+Tues!C61+Wed!B60+Thurs!C90+Fri!C62+NFLD!A61</f>
        <v>1</v>
      </c>
      <c r="B20" s="2" t="s">
        <v>11</v>
      </c>
      <c r="D20" s="26">
        <f>A7</f>
        <v>25</v>
      </c>
      <c r="E20" s="2" t="s">
        <v>5</v>
      </c>
      <c r="F20" s="24"/>
      <c r="G20" s="14">
        <f>Mon!N88+Tues!N61+Thurs!N90+Fri!N62</f>
        <v>0</v>
      </c>
      <c r="H20" s="2" t="s">
        <v>44</v>
      </c>
      <c r="N20" s="52" t="s">
        <v>19</v>
      </c>
      <c r="O20" s="53">
        <f>15*D4</f>
        <v>375</v>
      </c>
      <c r="P20" s="53">
        <f>O20/150</f>
        <v>2.5</v>
      </c>
    </row>
    <row r="21" spans="1:24" ht="12.75" customHeight="1" x14ac:dyDescent="0.35">
      <c r="A21" s="26">
        <f>Mon!C89+Tues!C62+Wed!B61+Thurs!C91+Fri!C63+NFLD!A62</f>
        <v>8</v>
      </c>
      <c r="B21" s="2" t="s">
        <v>12</v>
      </c>
      <c r="D21" s="21">
        <f>G6</f>
        <v>13</v>
      </c>
      <c r="E21" s="2" t="s">
        <v>30</v>
      </c>
      <c r="F21" s="24"/>
      <c r="G21" s="14">
        <f>Mon!N89+Tues!N62+Thurs!N91+Fri!N63</f>
        <v>2</v>
      </c>
      <c r="H21" s="2" t="s">
        <v>45</v>
      </c>
      <c r="N21" s="52" t="s">
        <v>20</v>
      </c>
      <c r="O21" s="53">
        <f t="shared" ref="O21:O23" si="8">15*D5</f>
        <v>1500</v>
      </c>
      <c r="P21" s="53">
        <f t="shared" ref="P21:P23" si="9">O21/150</f>
        <v>10</v>
      </c>
    </row>
    <row r="22" spans="1:24" ht="12.75" customHeight="1" x14ac:dyDescent="0.35">
      <c r="A22" s="26">
        <f>Mon!C90+Tues!C63+Wed!B62+Thurs!C92+Fri!C64+NFLD!A63</f>
        <v>1</v>
      </c>
      <c r="B22" s="2" t="s">
        <v>13</v>
      </c>
      <c r="D22" s="21">
        <f>A8</f>
        <v>453</v>
      </c>
      <c r="E22" s="2" t="s">
        <v>48</v>
      </c>
      <c r="F22" s="24"/>
      <c r="G22" s="14">
        <f>Mon!N90+Tues!N63+Thurs!N92+Fri!N64</f>
        <v>11</v>
      </c>
      <c r="H22" s="2" t="s">
        <v>71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35">
      <c r="A23" s="26">
        <f>Mon!C91+Tues!C64+Wed!B63+Thurs!C93+Fri!C65+NFLD!A64</f>
        <v>2</v>
      </c>
      <c r="B23" s="2" t="s">
        <v>18</v>
      </c>
      <c r="D23" s="21">
        <f>G7</f>
        <v>184</v>
      </c>
      <c r="E23" s="2" t="s">
        <v>71</v>
      </c>
      <c r="F23" s="24"/>
      <c r="G23" s="14">
        <f>Mon!N91+Tues!N64+Thurs!N93+Fri!N65</f>
        <v>5</v>
      </c>
      <c r="H23" s="2" t="s">
        <v>7</v>
      </c>
      <c r="N23" s="52" t="s">
        <v>21</v>
      </c>
      <c r="O23" s="53">
        <f t="shared" si="8"/>
        <v>135</v>
      </c>
      <c r="P23" s="53">
        <f t="shared" si="9"/>
        <v>0.9</v>
      </c>
    </row>
    <row r="24" spans="1:24" ht="12.75" customHeight="1" x14ac:dyDescent="0.35">
      <c r="F24" s="24"/>
      <c r="G24" s="14">
        <f>Mon!N92+Tues!N65+Thurs!N94+Fri!N66</f>
        <v>9</v>
      </c>
      <c r="H24" s="2" t="s">
        <v>8</v>
      </c>
      <c r="N24" s="52" t="s">
        <v>23</v>
      </c>
      <c r="O24" s="53">
        <f>12*D8</f>
        <v>60</v>
      </c>
      <c r="P24" s="53">
        <f>O24/125</f>
        <v>0.48</v>
      </c>
    </row>
    <row r="25" spans="1:24" ht="12.75" customHeight="1" x14ac:dyDescent="0.35">
      <c r="F25" s="24"/>
      <c r="N25" s="52" t="s">
        <v>22</v>
      </c>
      <c r="O25" s="53">
        <f>10*D9</f>
        <v>850</v>
      </c>
      <c r="P25" s="53">
        <f t="shared" si="1"/>
        <v>6.5384615384615383</v>
      </c>
    </row>
    <row r="26" spans="1:24" ht="12.75" customHeight="1" x14ac:dyDescent="0.3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3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35">
      <c r="D28" s="42"/>
      <c r="E28" s="2"/>
      <c r="J28" s="18"/>
      <c r="N28" s="52" t="s">
        <v>95</v>
      </c>
      <c r="O28" s="53">
        <f>8*D12</f>
        <v>0</v>
      </c>
      <c r="P28" s="53">
        <f>O28/50</f>
        <v>0</v>
      </c>
    </row>
    <row r="29" spans="1:24" ht="12.75" customHeight="1" x14ac:dyDescent="0.35">
      <c r="D29" s="42"/>
      <c r="E29" s="2"/>
      <c r="J29" s="42"/>
      <c r="N29" s="52" t="s">
        <v>96</v>
      </c>
      <c r="O29" s="53">
        <f>8*D13</f>
        <v>2544</v>
      </c>
      <c r="P29" s="53">
        <f>O29/50</f>
        <v>50.88</v>
      </c>
    </row>
    <row r="30" spans="1:24" ht="12.75" customHeight="1" x14ac:dyDescent="0.35">
      <c r="D30" s="42"/>
      <c r="E30" s="2"/>
      <c r="J30" s="42"/>
    </row>
    <row r="31" spans="1:24" ht="12.75" customHeight="1" x14ac:dyDescent="0.35">
      <c r="D31" s="42"/>
      <c r="E31" s="2"/>
      <c r="J31" s="42"/>
      <c r="N31" s="56" t="s">
        <v>108</v>
      </c>
      <c r="O31" s="56" t="s">
        <v>91</v>
      </c>
      <c r="P31" s="56" t="s">
        <v>92</v>
      </c>
    </row>
    <row r="32" spans="1:24" ht="12.75" customHeight="1" x14ac:dyDescent="0.35">
      <c r="D32" s="42"/>
      <c r="E32" s="2"/>
      <c r="J32" s="42"/>
      <c r="M32" s="22"/>
      <c r="N32" s="52" t="s">
        <v>98</v>
      </c>
      <c r="O32" s="51">
        <f>A4+D4+G4+J5+J7-24*(G17+G20+G23)</f>
        <v>534</v>
      </c>
      <c r="P32" s="51">
        <f>O32/25-24*(G17+G20+G23)</f>
        <v>-98.64</v>
      </c>
      <c r="R32" s="105" t="s">
        <v>107</v>
      </c>
      <c r="S32" s="105"/>
      <c r="T32" s="105"/>
      <c r="U32" s="105"/>
      <c r="V32" s="105"/>
      <c r="W32" s="105"/>
      <c r="X32" s="105"/>
    </row>
    <row r="33" spans="1:24" ht="18.399999999999999" customHeight="1" x14ac:dyDescent="0.35">
      <c r="D33" s="42"/>
      <c r="E33" s="2"/>
      <c r="G33" s="2"/>
      <c r="J33" s="42"/>
      <c r="M33" s="42"/>
      <c r="N33" s="51" t="s">
        <v>99</v>
      </c>
      <c r="O33" s="51">
        <f>A5+A8+A9+D5+D10+D11+G5+J6+J8+J10-24*(G18+G21+G24)-20*G19</f>
        <v>1472</v>
      </c>
      <c r="P33" s="51">
        <f>O33/25-24*(G18+G21+G24)-20*G19</f>
        <v>-509.12</v>
      </c>
      <c r="R33" s="105"/>
      <c r="S33" s="105"/>
      <c r="T33" s="105"/>
      <c r="U33" s="105"/>
      <c r="V33" s="105"/>
      <c r="W33" s="105"/>
      <c r="X33" s="105"/>
    </row>
    <row r="34" spans="1:24" ht="12.75" customHeight="1" x14ac:dyDescent="0.35">
      <c r="D34" s="42"/>
      <c r="E34" s="2"/>
      <c r="G34" s="2"/>
      <c r="J34" s="42"/>
      <c r="N34" s="51" t="s">
        <v>100</v>
      </c>
      <c r="O34" s="51">
        <f>D8+D9+J4</f>
        <v>244</v>
      </c>
      <c r="P34" s="51">
        <f t="shared" ref="P34:P36" si="10">O34/25</f>
        <v>9.76</v>
      </c>
    </row>
    <row r="35" spans="1:24" ht="12.75" customHeight="1" x14ac:dyDescent="0.35">
      <c r="D35" s="42"/>
      <c r="E35" s="2"/>
      <c r="F35" s="1"/>
      <c r="G35" s="2"/>
      <c r="J35" s="42"/>
      <c r="N35" s="51" t="s">
        <v>101</v>
      </c>
      <c r="O35" s="51">
        <f>A6+J11</f>
        <v>110</v>
      </c>
      <c r="P35" s="51">
        <f t="shared" si="10"/>
        <v>4.4000000000000004</v>
      </c>
    </row>
    <row r="36" spans="1:24" ht="12.75" customHeight="1" x14ac:dyDescent="0.35">
      <c r="A36" s="24"/>
      <c r="D36" s="42"/>
      <c r="E36" s="2"/>
      <c r="N36" s="51" t="s">
        <v>106</v>
      </c>
      <c r="O36" s="51">
        <f>A7+G6+D7+D6+J9</f>
        <v>112</v>
      </c>
      <c r="P36" s="51">
        <f t="shared" si="10"/>
        <v>4.4800000000000004</v>
      </c>
    </row>
    <row r="37" spans="1:24" ht="12.75" customHeight="1" x14ac:dyDescent="0.35">
      <c r="B37" s="2"/>
      <c r="C37" s="23"/>
      <c r="D37" s="42"/>
      <c r="E37" s="2"/>
      <c r="G37" s="18"/>
      <c r="J37" s="2"/>
      <c r="N37" s="51" t="s">
        <v>102</v>
      </c>
      <c r="O37" s="51">
        <f>D12+D13</f>
        <v>318</v>
      </c>
      <c r="P37" s="51">
        <f>O37/20</f>
        <v>15.9</v>
      </c>
    </row>
    <row r="38" spans="1:24" ht="12.75" customHeight="1" x14ac:dyDescent="0.35">
      <c r="A38" s="11"/>
      <c r="B38" s="2"/>
      <c r="D38" s="42"/>
      <c r="E38" s="2"/>
      <c r="N38" s="51" t="s">
        <v>105</v>
      </c>
      <c r="O38" s="51">
        <f>G7-13*G22</f>
        <v>41</v>
      </c>
      <c r="P38" s="51">
        <f>O38/20-13*G22</f>
        <v>-140.94999999999999</v>
      </c>
    </row>
    <row r="39" spans="1:24" ht="12.75" customHeight="1" x14ac:dyDescent="0.35">
      <c r="A39" s="22"/>
      <c r="B39" s="22"/>
      <c r="D39" s="42"/>
      <c r="E39" s="22"/>
    </row>
    <row r="40" spans="1:24" ht="21" x14ac:dyDescent="0.5">
      <c r="A40" s="19"/>
    </row>
    <row r="66" spans="2:11" x14ac:dyDescent="0.35">
      <c r="I66" s="2"/>
    </row>
    <row r="69" spans="2:11" x14ac:dyDescent="0.35">
      <c r="B69" s="2"/>
      <c r="E69" s="2"/>
      <c r="H69" s="2"/>
      <c r="K69" s="2"/>
    </row>
    <row r="70" spans="2:11" x14ac:dyDescent="0.35">
      <c r="B70" s="2"/>
      <c r="E70" s="2"/>
      <c r="H70" s="2"/>
      <c r="K70" s="2"/>
    </row>
    <row r="71" spans="2:11" x14ac:dyDescent="0.35">
      <c r="B71" s="2"/>
      <c r="E71" s="2"/>
      <c r="H71" s="2"/>
    </row>
    <row r="72" spans="2:11" x14ac:dyDescent="0.35">
      <c r="B72" s="2"/>
      <c r="E72" s="2"/>
      <c r="H72" s="2"/>
    </row>
    <row r="73" spans="2:11" x14ac:dyDescent="0.35">
      <c r="B73" s="2"/>
      <c r="H73" s="2"/>
    </row>
    <row r="74" spans="2:11" x14ac:dyDescent="0.35">
      <c r="H74" s="2"/>
    </row>
    <row r="75" spans="2:11" x14ac:dyDescent="0.35">
      <c r="H75" s="2"/>
    </row>
    <row r="76" spans="2:11" x14ac:dyDescent="0.35">
      <c r="H76" s="2"/>
    </row>
    <row r="77" spans="2:11" x14ac:dyDescent="0.35">
      <c r="H77" s="2"/>
    </row>
    <row r="78" spans="2:11" x14ac:dyDescent="0.3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aaron eyking</cp:lastModifiedBy>
  <cp:lastPrinted>2026-02-26T18:32:00Z</cp:lastPrinted>
  <dcterms:created xsi:type="dcterms:W3CDTF">2014-06-06T13:58:10Z</dcterms:created>
  <dcterms:modified xsi:type="dcterms:W3CDTF">2026-03-03T14:11:01Z</dcterms:modified>
</cp:coreProperties>
</file>