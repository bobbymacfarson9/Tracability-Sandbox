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Loading slips/2025 reports/2026 Loading slip/"/>
    </mc:Choice>
  </mc:AlternateContent>
  <xr:revisionPtr revIDLastSave="1" documentId="8_{7BEDC59F-AD76-45B9-9D2B-2289AF7E4E71}" xr6:coauthVersionLast="47" xr6:coauthVersionMax="47" xr10:uidLastSave="{38F851A6-4ED4-4FC1-8FAB-CE5AC3C70A2F}"/>
  <bookViews>
    <workbookView minimized="1" xWindow="2070" yWindow="2070" windowWidth="19140" windowHeight="855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I1" i="7" l="1"/>
  <c r="I1" i="4"/>
  <c r="I1" i="9"/>
  <c r="G1" i="1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89" i="4" l="1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<sst xmlns="http://schemas.openxmlformats.org/spreadsheetml/2006/main" count="1139" uniqueCount="193">
  <si>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</si>
  <si>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</si>
  <si>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</si>
  <si>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</si>
  <si>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</si>
  <si>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</si>
  <si>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</si>
  <si>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</si>
  <si>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</si>
  <si>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</si>
  <si>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</si>
  <si>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</si>
  <si>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</si>
  <si>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</si>
  <si>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</si>
  <si>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</si>
  <si>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</si>
  <si>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</si>
  <si>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</si>
  <si>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</si>
  <si>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</si>
  <si>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</si>
  <si>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</si>
  <si>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</si>
  <si>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</si>
  <si>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</si>
  <si>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</si>
  <si>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</si>
  <si>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</si>
  <si>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</si>
  <si>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</si>
  <si>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</si>
  <si>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</si>
  <si>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</si>
  <si>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</si>
  <si>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</si>
  <si>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</si>
  <si>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</si>
  <si>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</si>
  <si>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</si>
  <si>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</si>
  <si>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</si>
  <si>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</si>
  <si>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</si>
  <si>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</si>
  <si>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</si>
  <si>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</si>
  <si>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</si>
  <si>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</si>
  <si>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</si>
  <si>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</si>
  <si>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</si>
  <si>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</si>
  <si>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</si>
  <si>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</si>
  <si>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</si>
  <si>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</si>
  <si>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</si>
  <si>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</si>
  <si>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</si>
  <si>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</si>
  <si>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</si>
  <si>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</si>
  <si>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</si>
  <si>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</si>
  <si>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</si>
  <si>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</si>
  <si>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</si>
  <si>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</si>
  <si>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</si>
  <si>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</si>
  <si>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</si>
  <si>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</si>
  <si>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</si>
  <si>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</si>
  <si>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</si>
  <si>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</si>
  <si>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</si>
  <si>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</si>
  <si>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</si>
  <si>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</si>
  <si>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</si>
  <si>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</si>
  <si>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</si>
  <si>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</si>
  <si>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</si>
  <si>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</si>
  <si>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</si>
  <si>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</si>
  <si>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</si>
  <si>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</si>
  <si>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</si>
  <si>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</si>
  <si>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</si>
  <si>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</si>
  <si>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</si>
  <si>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</si>
  <si>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</si>
  <si>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</si>
  <si>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</si>
  <si>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</si>
  <si>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</si>
  <si>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</si>
  <si>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</si>
  <si>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</si>
  <si>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</si>
  <si>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</si>
  <si>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</si>
  <si>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</si>
  <si>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</si>
  <si>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</si>
  <si>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</si>
  <si>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</si>
  <si>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</si>
  <si>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</si>
  <si>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</si>
  <si>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</si>
  <si>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</si>
  <si>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</si>
  <si>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</si>
  <si>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</si>
  <si>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</si>
  <si>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</si>
  <si>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</si>
  <si>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</si>
  <si>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</si>
  <si>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</si>
  <si>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</si>
  <si>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</si>
  <si>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</si>
  <si>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</si>
  <si>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</si>
  <si>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</si>
  <si>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</si>
  <si>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</si>
  <si>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</si>
  <si>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</si>
  <si>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</si>
  <si>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</si>
  <si>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</si>
  <si>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</si>
  <si>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</si>
  <si>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</si>
  <si>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</si>
  <si>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</si>
  <si>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</si>
  <si>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</si>
  <si>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</si>
  <si>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</si>
  <si>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</si>
  <si>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</si>
  <si>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</si>
  <si>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</si>
  <si>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</si>
  <si>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</si>
  <si>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</si>
  <si>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</si>
  <si>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</si>
  <si>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</si>
  <si>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</si>
  <si>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</si>
  <si>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</si>
  <si>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</si>
  <si>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</si>
  <si>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</si>
  <si>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</si>
  <si>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</si>
  <si>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</si>
  <si>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</si>
  <si>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</si>
  <si>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</si>
  <si>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</si>
  <si>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</si>
  <si>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</si>
  <si>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</si>
  <si>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</si>
  <si>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</si>
  <si>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</si>
  <si>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</si>
  <si>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</si>
  <si>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</si>
  <si>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17. Not Just Cakes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</si>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</sst>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46055</v>
      </c>
      <c r="E1" s="96"/>
      <c r="F1" s="96"/>
      <c r="H1" s="63" t="s">
        <v>111</v>
      </c>
      <c r="I1" s="64">
        <f>D1+42-1</f>
        <v>46096</v>
      </c>
      <c r="L1" s="19" t="s">
        <v>38</v>
      </c>
    </row>
    <row r="2" spans="1:12" ht="15.75" x14ac:dyDescent="0.25">
      <c r="B2" s="41" t="s">
        <v>74</v>
      </c>
      <c r="C2" s="50">
        <v>58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44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45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72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46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132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116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115</v>
      </c>
      <c r="E18" s="39"/>
      <c r="F18" s="16" t="s">
        <v>12</v>
      </c>
    </row>
    <row r="19" spans="2:10" x14ac:dyDescent="0.25">
      <c r="B19" s="39"/>
      <c r="C19" s="2" t="s">
        <v>117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/>
      <c r="I25" t="s">
        <v>43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46055</v>
      </c>
      <c r="E34" s="96"/>
      <c r="F34" s="96"/>
      <c r="H34" s="63" t="s">
        <v>111</v>
      </c>
      <c r="I34" s="67">
        <f>I1</f>
        <v>46096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43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116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115</v>
      </c>
      <c r="G50" s="2"/>
    </row>
    <row r="51" spans="2:12" x14ac:dyDescent="0.25">
      <c r="B51" s="39"/>
      <c r="C51" s="2" t="s">
        <v>117</v>
      </c>
    </row>
    <row r="52" spans="2:12" ht="15.75" thickBot="1" x14ac:dyDescent="0.3">
      <c r="B52" s="39"/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49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72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/>
      <c r="I58" s="16" t="s">
        <v>34</v>
      </c>
      <c r="K58" s="17" t="s">
        <v>138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44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45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72</v>
      </c>
      <c r="K73" s="47">
        <f>K53</f>
        <v>0</v>
      </c>
      <c r="L73" s="2" t="s">
        <v>49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48</v>
      </c>
      <c r="K90" s="14">
        <f>D8+G56</f>
        <v>0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topLeftCell="A7" zoomScale="70" zoomScaleNormal="100" zoomScalePageLayoutView="70" workbookViewId="0">
      <selection activeCell="F25" sqref="F2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46056</v>
      </c>
      <c r="E1" s="95"/>
      <c r="F1" s="95"/>
      <c r="H1" s="63" t="s">
        <v>111</v>
      </c>
      <c r="I1" s="64">
        <f>Mon!D1+42-1</f>
        <v>46096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69" t="s">
        <v>145</v>
      </c>
      <c r="L16" s="73"/>
    </row>
    <row r="17" spans="1:18" ht="12.4" customHeight="1" x14ac:dyDescent="0.25">
      <c r="B17" s="39"/>
      <c r="C17" s="2" t="s">
        <v>115</v>
      </c>
      <c r="E17" s="39"/>
      <c r="F17" s="2" t="s">
        <v>115</v>
      </c>
      <c r="G17" s="2"/>
      <c r="H17" s="39"/>
      <c r="I17" s="2" t="s">
        <v>115</v>
      </c>
      <c r="K17" s="74"/>
      <c r="L17" s="75" t="s">
        <v>43</v>
      </c>
    </row>
    <row r="18" spans="1:18" ht="12.4" customHeight="1" x14ac:dyDescent="0.25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/>
      <c r="C35" s="2" t="s">
        <v>47</v>
      </c>
      <c r="E35" s="39"/>
      <c r="F35" t="s">
        <v>43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48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7" zoomScale="70" zoomScaleNormal="100" zoomScalePageLayoutView="70" workbookViewId="0">
      <selection activeCell="K36" sqref="K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46057</v>
      </c>
      <c r="E1" s="95"/>
      <c r="F1" s="95"/>
      <c r="H1" s="63" t="s">
        <v>111</v>
      </c>
      <c r="I1" s="64">
        <f>Mon!D1+49-1</f>
        <v>46103</v>
      </c>
      <c r="K1" s="17" t="s">
        <v>168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153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25">
      <c r="B10" s="39"/>
      <c r="C10" s="28" t="s">
        <v>1</v>
      </c>
      <c r="K10" s="39"/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/>
      <c r="L11" s="16" t="s">
        <v>117</v>
      </c>
    </row>
    <row r="12" spans="2:12" ht="12.75" customHeight="1" thickBot="1" x14ac:dyDescent="0.3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115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117</v>
      </c>
      <c r="K17" s="39"/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46</v>
      </c>
    </row>
    <row r="20" spans="2:12" ht="12.75" customHeight="1" x14ac:dyDescent="0.25">
      <c r="F20" s="2"/>
      <c r="K20" s="39"/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49</v>
      </c>
      <c r="H22" s="39"/>
      <c r="I22" s="28" t="s">
        <v>1</v>
      </c>
    </row>
    <row r="23" spans="2:12" ht="12.75" customHeight="1" thickBot="1" x14ac:dyDescent="0.3">
      <c r="E23" s="39"/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/>
      <c r="F24" s="2" t="s">
        <v>2</v>
      </c>
      <c r="H24" s="17" t="s">
        <v>164</v>
      </c>
      <c r="I24" s="5"/>
      <c r="K24" s="39"/>
      <c r="L24" s="2" t="s">
        <v>49</v>
      </c>
    </row>
    <row r="25" spans="2:12" ht="12.75" customHeight="1" x14ac:dyDescent="0.25">
      <c r="B25" s="39"/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115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0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/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3">
      <c r="B31" s="39"/>
      <c r="C31" s="16" t="s">
        <v>43</v>
      </c>
      <c r="E31" s="30" t="s">
        <v>161</v>
      </c>
      <c r="F31" s="5"/>
      <c r="K31" s="39"/>
      <c r="L31" s="2" t="s">
        <v>43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49</v>
      </c>
      <c r="H32" s="17" t="s">
        <v>166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43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43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0</v>
      </c>
      <c r="L45" s="2" t="s">
        <v>49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7" zoomScale="70" zoomScaleNormal="100" zoomScalePageLayoutView="70" workbookViewId="0">
      <selection activeCell="K60" sqref="K6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46058</v>
      </c>
      <c r="E1" s="95"/>
      <c r="F1" s="95"/>
      <c r="G1" s="1"/>
      <c r="H1" s="63" t="s">
        <v>111</v>
      </c>
      <c r="I1" s="64">
        <f>Mon!D1+49-1</f>
        <v>46103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44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45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72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46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116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115</v>
      </c>
      <c r="H17" s="39"/>
      <c r="I17" s="16" t="s">
        <v>117</v>
      </c>
    </row>
    <row r="18" spans="2:10" x14ac:dyDescent="0.25">
      <c r="B18" s="39"/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46058</v>
      </c>
      <c r="E35" s="95"/>
      <c r="F35" s="95"/>
      <c r="H35" s="63" t="s">
        <v>111</v>
      </c>
      <c r="I35" s="64">
        <f>I1</f>
        <v>46103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72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46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43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119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120</v>
      </c>
      <c r="L53" s="5"/>
    </row>
    <row r="54" spans="2:12" x14ac:dyDescent="0.25">
      <c r="B54" s="39"/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181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44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45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4" sqref="N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46059</v>
      </c>
      <c r="E1" s="95"/>
      <c r="F1" s="95"/>
      <c r="H1" s="63" t="s">
        <v>111</v>
      </c>
      <c r="I1" s="64">
        <f>Mon!D1+49-1</f>
        <v>46103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183</v>
      </c>
      <c r="F3" s="17"/>
      <c r="H3" s="17" t="s">
        <v>190</v>
      </c>
      <c r="I3" s="17"/>
      <c r="K3" s="17" t="s">
        <v>187</v>
      </c>
      <c r="L3" s="27"/>
      <c r="N3" s="17" t="s">
        <v>192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/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145</v>
      </c>
      <c r="L15" s="73"/>
    </row>
    <row r="16" spans="1:15" ht="12.75" customHeight="1" x14ac:dyDescent="0.25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74"/>
      <c r="L16" s="75" t="s">
        <v>43</v>
      </c>
    </row>
    <row r="17" spans="1:15" ht="12.75" customHeight="1" x14ac:dyDescent="0.25">
      <c r="B17" s="39"/>
      <c r="C17" s="2" t="s">
        <v>115</v>
      </c>
      <c r="E17" s="39"/>
      <c r="F17" s="2" t="s">
        <v>115</v>
      </c>
      <c r="H17" s="39"/>
      <c r="I17" s="2" t="s">
        <v>115</v>
      </c>
      <c r="K17" s="76"/>
      <c r="L17" s="75"/>
    </row>
    <row r="18" spans="1:15" ht="12.75" customHeight="1" thickBot="1" x14ac:dyDescent="0.3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7" t="s">
        <v>184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185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191</v>
      </c>
      <c r="F23" s="5"/>
      <c r="H23" s="17" t="s">
        <v>189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182</v>
      </c>
      <c r="I34" s="5"/>
      <c r="K34" s="17" t="s">
        <v>188</v>
      </c>
      <c r="L34" s="5"/>
    </row>
    <row r="35" spans="2:15" ht="12.75" customHeight="1" x14ac:dyDescent="0.25">
      <c r="B35" s="39"/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59</v>
      </c>
      <c r="D1" s="46"/>
      <c r="E1" s="46"/>
      <c r="F1" s="63" t="s">
        <v>111</v>
      </c>
      <c r="G1" s="64">
        <f>Mon!D1+49-1</f>
        <v>46103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58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0</v>
      </c>
      <c r="P3" s="53">
        <f>O3/125</f>
        <v>0</v>
      </c>
      <c r="R3" s="51" t="s">
        <v>85</v>
      </c>
      <c r="S3" s="55">
        <f>12*(D8+J4)</f>
        <v>0</v>
      </c>
      <c r="T3" s="55">
        <f>15*(A4+D4+G4+J7+J5)+20*D12</f>
        <v>0</v>
      </c>
      <c r="U3" s="55">
        <f>15*(A5+A9+D5+D9+D10+D11+G5+J6+J8+J10)+20*(A8+D13+G7)</f>
        <v>285</v>
      </c>
      <c r="V3" s="55">
        <f>15*(A6+J11)</f>
        <v>90</v>
      </c>
      <c r="W3" s="55">
        <f>15*D6</f>
        <v>0</v>
      </c>
      <c r="X3" s="55">
        <f>15*(A7+D7+G6+J9)</f>
        <v>0</v>
      </c>
    </row>
    <row r="4" spans="1:24" ht="12.75" customHeight="1" x14ac:dyDescent="0.25">
      <c r="A4" s="31">
        <f>Mon!B70+Tues!B43+Wed!B42+Thurs!B72+Fri!B44+NFLD!A43</f>
        <v>0</v>
      </c>
      <c r="B4" s="2" t="s">
        <v>41</v>
      </c>
      <c r="C4" s="7"/>
      <c r="D4" s="31">
        <f>Mon!E70+Tues!E43+Wed!E42+Thurs!E72+Fri!E44+NFLD!D43</f>
        <v>0</v>
      </c>
      <c r="E4" s="2" t="s">
        <v>19</v>
      </c>
      <c r="F4" s="7"/>
      <c r="G4" s="31">
        <f>Mon!H70+Tues!H43+Wed!H42+Thurs!H72+Fri!H44+NFLD!G43</f>
        <v>0</v>
      </c>
      <c r="H4" s="2" t="s">
        <v>44</v>
      </c>
      <c r="I4" s="7"/>
      <c r="J4" s="31">
        <f>Mon!K70+Tues!K43+Wed!K42+Thurs!K72+Fri!K44+NFLD!J43</f>
        <v>0</v>
      </c>
      <c r="K4" s="2" t="s">
        <v>9</v>
      </c>
      <c r="M4" s="42"/>
      <c r="N4" s="52" t="s">
        <v>7</v>
      </c>
      <c r="O4" s="53">
        <f>J5*10</f>
        <v>0</v>
      </c>
      <c r="P4" s="53">
        <f>O4/130</f>
        <v>0</v>
      </c>
      <c r="R4" s="51" t="s">
        <v>86</v>
      </c>
      <c r="S4" s="55">
        <f t="shared" ref="S4:X4" si="0">S3/15</f>
        <v>0</v>
      </c>
      <c r="T4" s="55">
        <f t="shared" si="0"/>
        <v>0</v>
      </c>
      <c r="U4" s="55">
        <f t="shared" si="0"/>
        <v>19</v>
      </c>
      <c r="V4" s="55">
        <f t="shared" si="0"/>
        <v>6</v>
      </c>
      <c r="W4" s="55">
        <f t="shared" si="0"/>
        <v>0</v>
      </c>
      <c r="X4" s="55">
        <f t="shared" si="0"/>
        <v>0</v>
      </c>
    </row>
    <row r="5" spans="1:24" ht="12.75" customHeight="1" x14ac:dyDescent="0.25">
      <c r="A5" s="26">
        <f>Mon!B71+Tues!B44+Wed!B43+Thurs!B73+Fri!B45+NFLD!A44</f>
        <v>0</v>
      </c>
      <c r="B5" s="2" t="s">
        <v>42</v>
      </c>
      <c r="C5" s="24"/>
      <c r="D5" s="26">
        <f>Mon!E71+Tues!E44+Wed!E43+Thurs!E73+Fri!E45+NFLD!D44</f>
        <v>0</v>
      </c>
      <c r="E5" s="2" t="s">
        <v>20</v>
      </c>
      <c r="G5" s="26">
        <f>Mon!H71+Tues!H44+Wed!H43+Thurs!H73+Fri!H45+NFLD!G44</f>
        <v>0</v>
      </c>
      <c r="H5" s="2" t="s">
        <v>45</v>
      </c>
      <c r="J5" s="26">
        <f>Mon!K71+Tues!K44+Wed!K43+Thurs!K73+Fri!K45+NFLD!J44</f>
        <v>0</v>
      </c>
      <c r="K5" s="2" t="s">
        <v>7</v>
      </c>
      <c r="M5" s="42"/>
      <c r="N5" s="52" t="s">
        <v>8</v>
      </c>
      <c r="O5" s="53">
        <f>J6*10</f>
        <v>0</v>
      </c>
      <c r="P5" s="53">
        <f t="shared" ref="P5:P25" si="1"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0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49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Mon!B73+Tues!B46+Wed!B45+Thurs!B75+Fri!B47+NFLD!A46</f>
        <v>0</v>
      </c>
      <c r="B7" s="2" t="s">
        <v>5</v>
      </c>
      <c r="C7" s="24"/>
      <c r="D7" s="26">
        <f>Mon!E73+Tues!E46+Wed!E45+Thurs!E75+Fri!E47+NFLD!D46</f>
        <v>0</v>
      </c>
      <c r="E7" s="2" t="s">
        <v>21</v>
      </c>
      <c r="G7" s="26">
        <f>Mon!H73+Tues!H46+Wed!H45+Thurs!H75+Fri!H47+NFLD!G46</f>
        <v>0</v>
      </c>
      <c r="H7" s="2" t="s">
        <v>71</v>
      </c>
      <c r="J7" s="26">
        <f>Mon!K73+Tues!K46+Wed!K45+Thurs!K75+Fri!K47+NFLD!J46</f>
        <v>0</v>
      </c>
      <c r="K7" s="2" t="s">
        <v>49</v>
      </c>
      <c r="M7" s="42"/>
      <c r="N7" s="52" t="s">
        <v>43</v>
      </c>
      <c r="O7" s="53">
        <f t="shared" ref="O7" si="2">J8*15</f>
        <v>0</v>
      </c>
      <c r="P7" s="53">
        <f t="shared" ref="P7:P8" si="3">O7/150</f>
        <v>0</v>
      </c>
      <c r="R7" s="12" t="s">
        <v>74</v>
      </c>
      <c r="S7" s="60">
        <f>Mon!C2</f>
        <v>58</v>
      </c>
    </row>
    <row r="8" spans="1:24" ht="12.75" customHeight="1" x14ac:dyDescent="0.25">
      <c r="A8" s="26">
        <f>Mon!B74+Tues!B47+Wed!B46+Thurs!B76+Fri!B48+NFLD!A47</f>
        <v>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0</v>
      </c>
      <c r="K8" s="2" t="s">
        <v>43</v>
      </c>
      <c r="M8" s="42"/>
      <c r="N8" s="52" t="s">
        <v>2</v>
      </c>
      <c r="O8" s="53">
        <f>J9*15</f>
        <v>0</v>
      </c>
      <c r="P8" s="53">
        <f t="shared" si="3"/>
        <v>0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0</v>
      </c>
      <c r="B9" s="2" t="s">
        <v>15</v>
      </c>
      <c r="C9" s="24"/>
      <c r="D9" s="26">
        <f>Mon!E75+Tues!E48+Wed!E47+Thurs!E77+Fri!E49+NFLD!D48</f>
        <v>0</v>
      </c>
      <c r="E9" s="2" t="s">
        <v>22</v>
      </c>
      <c r="J9" s="26">
        <f>Mon!K75+Tues!K48+Wed!K47+Thurs!K77+Fri!K49+NFLD!J48</f>
        <v>0</v>
      </c>
      <c r="K9" s="2" t="s">
        <v>2</v>
      </c>
      <c r="M9" s="42"/>
      <c r="N9" s="52" t="s">
        <v>89</v>
      </c>
      <c r="O9" s="53">
        <f>7*(J10+J11)+8*(D12+D13+G7)+5*A9</f>
        <v>175</v>
      </c>
      <c r="P9" s="53">
        <f>O9/140</f>
        <v>1.25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19</v>
      </c>
      <c r="K10" s="2" t="s">
        <v>1</v>
      </c>
      <c r="M10" s="42"/>
      <c r="N10" s="52" t="s">
        <v>41</v>
      </c>
      <c r="O10" s="53">
        <f>A4*15</f>
        <v>0</v>
      </c>
      <c r="P10" s="53">
        <f>O10/250</f>
        <v>0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 t="shared" ref="O11:O12" si="4">A5*15</f>
        <v>0</v>
      </c>
      <c r="P11" s="53">
        <f t="shared" ref="P11:P13" si="5">O11/250</f>
        <v>0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0</v>
      </c>
      <c r="P12" s="53">
        <f t="shared" si="5"/>
        <v>0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0</v>
      </c>
      <c r="E13" s="2" t="s">
        <v>28</v>
      </c>
      <c r="M13" s="42"/>
      <c r="N13" s="52" t="s">
        <v>5</v>
      </c>
      <c r="O13" s="53">
        <f>A7*15</f>
        <v>0</v>
      </c>
      <c r="P13" s="53">
        <f t="shared" si="5"/>
        <v>0</v>
      </c>
      <c r="S13" s="59"/>
    </row>
    <row r="14" spans="1:24" ht="12.75" customHeight="1" x14ac:dyDescent="0.25">
      <c r="A14" s="7"/>
      <c r="N14" s="52" t="s">
        <v>94</v>
      </c>
      <c r="O14" s="53">
        <f>5*A9</f>
        <v>0</v>
      </c>
      <c r="P14" s="53">
        <f>O14/50</f>
        <v>0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0</v>
      </c>
      <c r="P15" s="53">
        <f>O15/250</f>
        <v>0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0</v>
      </c>
      <c r="P16" s="53">
        <f t="shared" ref="P16:P18" si="6">O16/250</f>
        <v>0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0</v>
      </c>
      <c r="P17" s="53">
        <f t="shared" si="6"/>
        <v>0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0</v>
      </c>
      <c r="P18" s="53">
        <f t="shared" si="6"/>
        <v>0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95</v>
      </c>
      <c r="O19" s="53">
        <f>8*G7</f>
        <v>0</v>
      </c>
      <c r="P19" s="53">
        <f>O19/50</f>
        <v>0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0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0</v>
      </c>
      <c r="P20" s="53">
        <f>O20/150</f>
        <v>0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0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0</v>
      </c>
      <c r="P21" s="53">
        <f t="shared" ref="P21:P23" si="9">O21/150</f>
        <v>0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0</v>
      </c>
      <c r="E22" s="2" t="s">
        <v>48</v>
      </c>
      <c r="F22" s="24"/>
      <c r="G22" s="14">
        <f>Mon!K90+Tues!K63+Thurs!K92+Fri!K64</f>
        <v>0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0</v>
      </c>
      <c r="E23" s="2" t="s">
        <v>72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0</v>
      </c>
      <c r="P23" s="53">
        <f t="shared" si="9"/>
        <v>0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0</v>
      </c>
      <c r="P25" s="53">
        <f t="shared" si="1"/>
        <v>0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0</v>
      </c>
      <c r="P29" s="53">
        <f>O29/50</f>
        <v>0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0</v>
      </c>
      <c r="P32" s="51">
        <f>O32/25-24*(G17+G20+G23)</f>
        <v>0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19</v>
      </c>
      <c r="P33" s="51">
        <f>O33/25-24*(G18+G21+G24)-20*G19</f>
        <v>0.76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0</v>
      </c>
      <c r="P34" s="51">
        <f t="shared" ref="P34:P36" si="10">O34/25</f>
        <v>0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6</v>
      </c>
      <c r="P35" s="51">
        <f t="shared" si="10"/>
        <v>0.24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0</v>
      </c>
      <c r="P36" s="51">
        <f t="shared" si="10"/>
        <v>0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0</v>
      </c>
      <c r="P37" s="51">
        <f>O37/20</f>
        <v>0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0</v>
      </c>
      <c r="P38" s="51">
        <f>O38/20-13*G22</f>
        <v>0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2026-01-23T15:14:30Z</cp:lastPrinted>
  <dcterms:created xsi:type="dcterms:W3CDTF">2014-06-06T13:58:10Z</dcterms:created>
  <dcterms:modified xsi:type="dcterms:W3CDTF">2026-01-23T15:14:42Z</dcterms:modified>
</cp:coreProperties>
</file>