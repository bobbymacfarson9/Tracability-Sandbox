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2024 Reports/Loading slips/2025 reports/"/>
    </mc:Choice>
  </mc:AlternateContent>
  <xr:revisionPtr revIDLastSave="107" documentId="13_ncr:1_{6509E28E-FE35-47C6-8F0A-49E73115BD78}" xr6:coauthVersionLast="47" xr6:coauthVersionMax="47" xr10:uidLastSave="{8EC26603-B580-4EF7-954E-4BBDC08AAB00}"/>
  <bookViews>
    <workbookView xWindow="-38490" yWindow="-10870" windowWidth="19390" windowHeight="2097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K87" i="8" s="1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91" i="8" l="1"/>
  <c r="K94" i="8"/>
  <c r="K85" i="4"/>
  <c r="K66" i="9"/>
  <c r="K59" i="9"/>
  <c r="K64" i="9"/>
  <c r="K63" i="9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F61" i="11" s="1"/>
  <c r="G62" i="11"/>
  <c r="G63" i="11"/>
  <c r="F63" i="11" s="1"/>
  <c r="G64" i="11"/>
  <c r="F64" i="11" s="1"/>
  <c r="F62" i="11"/>
  <c r="C52" i="11"/>
  <c r="C51" i="11"/>
  <c r="C50" i="11"/>
  <c r="C49" i="11"/>
  <c r="C48" i="11"/>
  <c r="C47" i="11"/>
  <c r="C46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<sst xmlns="http://schemas.openxmlformats.org/spreadsheetml/2006/main" count="1141" uniqueCount="195">
  <si>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</si>
  <si>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</si>
  <si>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</si>
  <si>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</si>
  <si>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</si>
  <si>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</si>
  <si>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</si>
  <si>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</si>
  <si>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</si>
  <si>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</si>
  <si>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</si>
  <si>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</si>
  <si>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</si>
  <si>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</si>
  <si>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</si>
  <si>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</si>
  <si>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</si>
  <si>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</si>
  <si>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</si>
  <si>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</si>
  <si>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</si>
  <si>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</si>
  <si>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</si>
  <si>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</si>
  <si>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</si>
  <si>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</si>
  <si>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</si>
  <si>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</si>
  <si>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</si>
  <si>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</si>
  <si>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</si>
  <si>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</si>
  <si>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</si>
  <si>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</si>
  <si>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</si>
  <si>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</si>
  <si>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</si>
  <si>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</si>
  <si>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</si>
  <si>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</si>
  <si>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</si>
  <si>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</si>
  <si>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</si>
  <si>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</si>
  <si>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</si>
  <si>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</si>
  <si>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</si>
  <si>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</si>
  <si>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</si>
  <si>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</si>
  <si>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</si>
  <si>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</si>
  <si>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</si>
  <si>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</si>
  <si>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</si>
  <si>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</si>
  <si>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</si>
  <si>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</si>
  <si>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</si>
  <si>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</si>
  <si>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</si>
  <si>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</si>
  <si>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</si>
  <si>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</si>
  <si>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</si>
  <si>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</si>
  <si>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</si>
  <si>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</si>
  <si>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</si>
  <si>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</si>
  <si>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</si>
  <si>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</si>
  <si>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</si>
  <si>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</si>
  <si>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</si>
  <si>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</si>
  <si>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</si>
  <si>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</si>
  <si>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</si>
  <si>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</si>
  <si>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</si>
  <si>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</si>
  <si>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</si>
  <si>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</si>
  <si>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</si>
  <si>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</si>
  <si>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</si>
  <si>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</si>
  <si>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</si>
  <si>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</si>
  <si>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</si>
  <si>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</si>
  <si>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</si>
  <si>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</si>
  <si>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</si>
  <si>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</si>
  <si>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</si>
  <si>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</si>
  <si>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</si>
  <si>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</si>
  <si>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</si>
  <si>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</si>
  <si>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</si>
  <si>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</si>
  <si>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</si>
  <si>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</si>
  <si>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</si>
  <si>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</si>
  <si>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</si>
  <si>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</si>
  <si>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</si>
  <si>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</si>
  <si>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</si>
  <si>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</si>
  <si>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</si>
  <si>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</si>
  <si>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</si>
  <si>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</si>
  <si>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</si>
  <si>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</si>
  <si>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</si>
  <si>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</si>
  <si>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</si>
  <si>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</si>
  <si>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</si>
  <si>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</si>
  <si>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</si>
  <si>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</si>
  <si>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</si>
  <si>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</si>
  <si>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</si>
  <si>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</si>
  <si>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</si>
  <si>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</si>
  <si>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</si>
  <si>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</si>
  <si>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</si>
  <si>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</si>
  <si>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</si>
  <si>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</si>
  <si>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</si>
  <si>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</si>
  <si>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</si>
  <si>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</si>
  <si>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</si>
  <si>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</si>
  <si>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</si>
  <si>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</si>
  <si>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</si>
  <si>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</si>
  <si>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</si>
  <si>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</si>
  <si>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</si>
  <si>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</si>
  <si>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</si>
  <si>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</si>
  <si>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</si>
  <si>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</si>
  <si>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</si>
  <si>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</si>
  <si>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</si>
  <si>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</si>
  <si>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</si>
  <si>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</si>
  <si>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</si>
  <si>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</si>
  <si>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</si>
  <si>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</si>
  <si>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</si>
  <si>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</si>
  <si>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</si>
  <si>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</si>
  <si>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</si>
  <si>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</si>
  <si>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</si>
  <si>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</si>
  <si>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</si>
  <si>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</si>
  <si>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</si>
  <si>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</si>
  <si>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</si>
  <si>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17. Not Just Cakes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</si>
  <si>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</si>
  <si>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</si>
  <si>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</si>
  <si>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</si>
  <si>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</si>
  <si>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</si>
  <si>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</si>
  <si>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</si>
  <si>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</si>
  <si>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</si>
  <si>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</si>
  <si>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4879226041/4879272873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</si>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</sst>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0" fillId="0" borderId="20" xfId="0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H35" sqref="H35"/>
    </sheetView>
  </sheetViews>
  <sheetFormatPr defaultRowHeight="14.5" x14ac:dyDescent="0.35"/>
  <cols>
    <col min="1" max="1" width="5.179687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8.1796875" customWidth="1"/>
    <col min="8" max="8" width="5.7265625" customWidth="1"/>
    <col min="9" max="9" width="17.26953125" customWidth="1"/>
    <col min="10" max="10" width="4.26953125" customWidth="1"/>
    <col min="11" max="11" width="5.1796875" customWidth="1"/>
    <col min="12" max="12" width="15.81640625" customWidth="1"/>
  </cols>
  <sheetData>
    <row r="1" spans="1:12" ht="21.5" thickBot="1" x14ac:dyDescent="0.55000000000000004">
      <c r="B1" s="97" t="s">
        <v>75</v>
      </c>
      <c r="C1" s="97"/>
      <c r="D1" s="96">
        <f>DATE(2024,12,30)+(C2-1)*7</f>
        <v>45957</v>
      </c>
      <c r="E1" s="97"/>
      <c r="F1" s="97"/>
      <c r="H1" s="63" t="s">
        <v>111</v>
      </c>
      <c r="I1" s="64">
        <f>D1+42-1</f>
        <v>45998</v>
      </c>
      <c r="L1" s="19" t="s">
        <v>38</v>
      </c>
    </row>
    <row r="2" spans="1:12" ht="15.5" x14ac:dyDescent="0.35">
      <c r="B2" s="41" t="s">
        <v>74</v>
      </c>
      <c r="C2" s="50">
        <v>44</v>
      </c>
    </row>
    <row r="4" spans="1:12" ht="15" thickBot="1" x14ac:dyDescent="0.4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3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44</v>
      </c>
      <c r="H5" s="39">
        <v>2</v>
      </c>
      <c r="I5" s="2" t="s">
        <v>19</v>
      </c>
    </row>
    <row r="6" spans="1:12" x14ac:dyDescent="0.3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4</v>
      </c>
      <c r="F6" s="2" t="s">
        <v>45</v>
      </c>
      <c r="H6" s="39">
        <v>6</v>
      </c>
      <c r="I6" s="2" t="s">
        <v>20</v>
      </c>
    </row>
    <row r="7" spans="1:12" x14ac:dyDescent="0.3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35">
      <c r="B8" s="39">
        <v>1</v>
      </c>
      <c r="C8" s="2" t="s">
        <v>5</v>
      </c>
      <c r="D8">
        <f>ROUNDDOWN(E8/13,0)</f>
        <v>0</v>
      </c>
      <c r="E8" s="39">
        <v>11</v>
      </c>
      <c r="F8" s="2" t="s">
        <v>72</v>
      </c>
      <c r="H8" s="39">
        <v>0</v>
      </c>
      <c r="I8" s="2" t="s">
        <v>21</v>
      </c>
    </row>
    <row r="9" spans="1:12" x14ac:dyDescent="0.35">
      <c r="A9">
        <f>ROUNDDOWN(B9/20,0)</f>
        <v>1</v>
      </c>
      <c r="B9" s="39">
        <v>26</v>
      </c>
      <c r="C9" s="2" t="s">
        <v>6</v>
      </c>
      <c r="E9" s="39">
        <v>5</v>
      </c>
      <c r="F9" s="2" t="s">
        <v>46</v>
      </c>
      <c r="H9" s="39">
        <v>0</v>
      </c>
      <c r="I9" s="2" t="s">
        <v>23</v>
      </c>
    </row>
    <row r="10" spans="1:12" x14ac:dyDescent="0.35">
      <c r="B10" s="39">
        <v>8</v>
      </c>
      <c r="C10" s="2" t="s">
        <v>9</v>
      </c>
      <c r="D10">
        <f>ROUNDDOWN(E10/24,0)</f>
        <v>0</v>
      </c>
      <c r="E10" s="39">
        <v>7</v>
      </c>
      <c r="F10" s="16" t="s">
        <v>7</v>
      </c>
      <c r="H10" s="39">
        <v>3</v>
      </c>
      <c r="I10" s="2" t="s">
        <v>22</v>
      </c>
    </row>
    <row r="11" spans="1:12" x14ac:dyDescent="0.35">
      <c r="A11">
        <f>ROUNDDOWN(B11/24,0)</f>
        <v>0</v>
      </c>
      <c r="B11" s="39">
        <v>7</v>
      </c>
      <c r="C11" s="2" t="s">
        <v>7</v>
      </c>
      <c r="E11" s="39">
        <f>SUM(E5:E10)</f>
        <v>27</v>
      </c>
      <c r="F11" s="2" t="s">
        <v>35</v>
      </c>
      <c r="H11" s="39">
        <v>0</v>
      </c>
      <c r="I11" s="2" t="s">
        <v>24</v>
      </c>
    </row>
    <row r="12" spans="1:12" x14ac:dyDescent="0.35">
      <c r="A12">
        <f>ROUNDDOWN(B12/24,0)</f>
        <v>0</v>
      </c>
      <c r="B12" s="39">
        <v>5</v>
      </c>
      <c r="C12" s="2" t="s">
        <v>8</v>
      </c>
      <c r="H12" s="39">
        <v>0</v>
      </c>
      <c r="I12" s="2" t="s">
        <v>25</v>
      </c>
    </row>
    <row r="13" spans="1:12" x14ac:dyDescent="0.35">
      <c r="B13" s="39">
        <v>1</v>
      </c>
      <c r="C13" s="2" t="s">
        <v>43</v>
      </c>
      <c r="E13" s="2" t="s">
        <v>36</v>
      </c>
      <c r="F13" s="16">
        <v>4879258930</v>
      </c>
      <c r="H13" s="39">
        <v>0</v>
      </c>
      <c r="I13" s="2" t="s">
        <v>26</v>
      </c>
    </row>
    <row r="14" spans="1:12" x14ac:dyDescent="0.35">
      <c r="B14" s="39">
        <v>0</v>
      </c>
      <c r="C14" s="2" t="s">
        <v>15</v>
      </c>
      <c r="H14" s="39">
        <v>13</v>
      </c>
      <c r="I14" s="16" t="s">
        <v>28</v>
      </c>
    </row>
    <row r="15" spans="1:12" ht="15" thickBot="1" x14ac:dyDescent="0.4">
      <c r="B15" s="39">
        <v>0</v>
      </c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35">
      <c r="B16" s="39">
        <v>0</v>
      </c>
      <c r="C16" s="2" t="s">
        <v>16</v>
      </c>
      <c r="E16" s="39">
        <v>20</v>
      </c>
      <c r="F16" s="2" t="s">
        <v>29</v>
      </c>
      <c r="G16" s="3"/>
      <c r="I16" s="2"/>
    </row>
    <row r="17" spans="2:10" x14ac:dyDescent="0.3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7244</v>
      </c>
    </row>
    <row r="18" spans="2:10" x14ac:dyDescent="0.3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35">
      <c r="B19" s="39">
        <v>0</v>
      </c>
      <c r="C19" s="2" t="s">
        <v>117</v>
      </c>
      <c r="E19" s="39">
        <f>SUM(E16:E18)</f>
        <v>20</v>
      </c>
      <c r="F19" s="2" t="s">
        <v>35</v>
      </c>
      <c r="J19" s="4"/>
    </row>
    <row r="20" spans="2:10" x14ac:dyDescent="0.35">
      <c r="B20" s="39">
        <v>0</v>
      </c>
      <c r="C20" s="2" t="s">
        <v>13</v>
      </c>
      <c r="J20" s="4"/>
    </row>
    <row r="21" spans="2:10" ht="15" thickBot="1" x14ac:dyDescent="0.4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35">
      <c r="B22" s="39">
        <f>SUM(B5:B21)</f>
        <v>49</v>
      </c>
      <c r="C22" s="2" t="s">
        <v>35</v>
      </c>
      <c r="E22" s="74">
        <v>0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35">
      <c r="E23" s="76"/>
      <c r="G23" s="2"/>
      <c r="J23" s="75"/>
    </row>
    <row r="24" spans="2:10" ht="15" thickBot="1" x14ac:dyDescent="0.4">
      <c r="E24" s="77" t="s">
        <v>130</v>
      </c>
      <c r="F24" s="5"/>
      <c r="H24" s="17" t="s">
        <v>124</v>
      </c>
      <c r="I24" s="5"/>
      <c r="J24" s="75"/>
    </row>
    <row r="25" spans="2:10" ht="15" thickBot="1" x14ac:dyDescent="0.4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43</v>
      </c>
      <c r="J25" s="75"/>
    </row>
    <row r="26" spans="2:10" x14ac:dyDescent="0.35">
      <c r="B26" s="39">
        <v>0</v>
      </c>
      <c r="C26" s="2" t="s">
        <v>3</v>
      </c>
      <c r="D26" s="4"/>
      <c r="E26" s="76"/>
      <c r="G26" s="2"/>
      <c r="J26" s="75"/>
    </row>
    <row r="27" spans="2:10" ht="15" thickBot="1" x14ac:dyDescent="0.4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3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" thickBot="1" x14ac:dyDescent="0.4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35">
      <c r="B30" s="39">
        <v>0</v>
      </c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3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35">
      <c r="B32" s="39">
        <v>0</v>
      </c>
      <c r="C32" s="16" t="s">
        <v>8</v>
      </c>
      <c r="E32" s="76"/>
      <c r="H32" s="66">
        <f>H25</f>
        <v>2</v>
      </c>
      <c r="I32" s="93" t="s">
        <v>43</v>
      </c>
      <c r="J32" s="75"/>
    </row>
    <row r="33" spans="1:12" x14ac:dyDescent="0.3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5" thickBot="1" x14ac:dyDescent="0.55000000000000004">
      <c r="B34" s="97" t="s">
        <v>75</v>
      </c>
      <c r="C34" s="97"/>
      <c r="D34" s="96">
        <f>D1</f>
        <v>45957</v>
      </c>
      <c r="E34" s="97"/>
      <c r="F34" s="97"/>
      <c r="H34" s="63" t="s">
        <v>111</v>
      </c>
      <c r="I34" s="67">
        <f>I1</f>
        <v>45998</v>
      </c>
      <c r="L34" s="19" t="s">
        <v>37</v>
      </c>
    </row>
    <row r="36" spans="1:12" ht="15" thickBot="1" x14ac:dyDescent="0.4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3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8</v>
      </c>
      <c r="I37" s="2" t="s">
        <v>19</v>
      </c>
    </row>
    <row r="38" spans="1:12" x14ac:dyDescent="0.35">
      <c r="A38">
        <f>ROUNDDOWN(B38/24,0)</f>
        <v>0</v>
      </c>
      <c r="B38" s="39">
        <v>12</v>
      </c>
      <c r="C38" s="2" t="s">
        <v>42</v>
      </c>
      <c r="E38" s="39">
        <v>8</v>
      </c>
      <c r="F38" s="2" t="s">
        <v>20</v>
      </c>
      <c r="H38" s="39">
        <v>10</v>
      </c>
      <c r="I38" s="2" t="s">
        <v>20</v>
      </c>
    </row>
    <row r="39" spans="1:12" x14ac:dyDescent="0.3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35">
      <c r="B40" s="39">
        <v>0</v>
      </c>
      <c r="C40" s="2" t="s">
        <v>5</v>
      </c>
      <c r="E40" s="39">
        <v>4</v>
      </c>
      <c r="F40" s="2" t="s">
        <v>21</v>
      </c>
      <c r="H40" s="39">
        <v>1</v>
      </c>
      <c r="I40" s="2" t="s">
        <v>21</v>
      </c>
    </row>
    <row r="41" spans="1:12" x14ac:dyDescent="0.35">
      <c r="A41">
        <f>ROUNDDOWN(B41/20,0)</f>
        <v>1</v>
      </c>
      <c r="B41" s="39">
        <v>20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35">
      <c r="B42" s="39">
        <v>2</v>
      </c>
      <c r="C42" s="2" t="s">
        <v>9</v>
      </c>
      <c r="E42" s="39">
        <v>6</v>
      </c>
      <c r="F42" s="2" t="s">
        <v>22</v>
      </c>
      <c r="H42" s="39">
        <v>2</v>
      </c>
      <c r="I42" s="2" t="s">
        <v>22</v>
      </c>
    </row>
    <row r="43" spans="1:12" x14ac:dyDescent="0.3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3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35">
      <c r="B45" s="39">
        <v>4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35">
      <c r="B46" s="39">
        <v>1</v>
      </c>
      <c r="C46" s="2" t="s">
        <v>15</v>
      </c>
      <c r="E46" s="39">
        <v>26</v>
      </c>
      <c r="F46" s="16" t="s">
        <v>28</v>
      </c>
      <c r="H46" s="39">
        <v>44</v>
      </c>
      <c r="I46" s="16" t="s">
        <v>28</v>
      </c>
    </row>
    <row r="47" spans="1:12" x14ac:dyDescent="0.35">
      <c r="B47" s="39">
        <v>1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66</v>
      </c>
      <c r="I47" s="2" t="s">
        <v>35</v>
      </c>
    </row>
    <row r="48" spans="1:12" x14ac:dyDescent="0.35">
      <c r="B48" s="39">
        <v>1</v>
      </c>
      <c r="C48" s="2" t="s">
        <v>16</v>
      </c>
      <c r="F48" s="2"/>
      <c r="I48" s="2"/>
    </row>
    <row r="49" spans="2:12" x14ac:dyDescent="0.35">
      <c r="B49" s="39">
        <v>0</v>
      </c>
      <c r="C49" s="2" t="s">
        <v>116</v>
      </c>
      <c r="E49" s="2" t="s">
        <v>36</v>
      </c>
      <c r="F49" s="16">
        <v>7597</v>
      </c>
      <c r="H49" s="2" t="s">
        <v>36</v>
      </c>
      <c r="I49" s="16">
        <v>7160</v>
      </c>
    </row>
    <row r="50" spans="2:12" x14ac:dyDescent="0.35">
      <c r="B50" s="39">
        <v>0</v>
      </c>
      <c r="C50" s="2" t="s">
        <v>115</v>
      </c>
      <c r="G50" s="2"/>
    </row>
    <row r="51" spans="2:12" x14ac:dyDescent="0.35">
      <c r="B51" s="39">
        <v>0</v>
      </c>
      <c r="C51" s="2" t="s">
        <v>117</v>
      </c>
    </row>
    <row r="52" spans="2:12" ht="15" thickBot="1" x14ac:dyDescent="0.4">
      <c r="B52" s="39">
        <v>1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3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>
        <v>3</v>
      </c>
      <c r="L53" t="s">
        <v>49</v>
      </c>
    </row>
    <row r="54" spans="2:12" x14ac:dyDescent="0.35">
      <c r="B54" s="39">
        <f>SUM(B37:B53)</f>
        <v>49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33</v>
      </c>
      <c r="I54" s="2" t="s">
        <v>31</v>
      </c>
      <c r="K54" s="39">
        <v>2</v>
      </c>
      <c r="L54" s="16" t="s">
        <v>2</v>
      </c>
    </row>
    <row r="55" spans="2:12" x14ac:dyDescent="0.3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5</v>
      </c>
      <c r="L55" s="2" t="s">
        <v>35</v>
      </c>
    </row>
    <row r="56" spans="2:12" x14ac:dyDescent="0.35">
      <c r="C56" s="4"/>
      <c r="E56" s="39">
        <f>SUM(E53:E55)</f>
        <v>14</v>
      </c>
      <c r="F56" s="2" t="s">
        <v>35</v>
      </c>
      <c r="G56">
        <f>ROUNDDOWN(H56/13,0)</f>
        <v>3</v>
      </c>
      <c r="H56" s="39">
        <v>41</v>
      </c>
      <c r="I56" s="2" t="s">
        <v>72</v>
      </c>
    </row>
    <row r="57" spans="2:12" x14ac:dyDescent="0.35">
      <c r="H57" s="39">
        <v>4</v>
      </c>
      <c r="I57" s="2" t="s">
        <v>9</v>
      </c>
    </row>
    <row r="58" spans="2:12" ht="15" thickBot="1" x14ac:dyDescent="0.4">
      <c r="E58" s="17" t="s">
        <v>136</v>
      </c>
      <c r="F58" s="17"/>
      <c r="G58">
        <f>ROUNDDOWN(H58/24,0)</f>
        <v>0</v>
      </c>
      <c r="H58" s="39">
        <v>14</v>
      </c>
      <c r="I58" s="16" t="s">
        <v>34</v>
      </c>
      <c r="K58" s="17" t="s">
        <v>138</v>
      </c>
      <c r="L58" s="5"/>
    </row>
    <row r="59" spans="2:12" x14ac:dyDescent="0.35">
      <c r="E59" s="39">
        <v>30</v>
      </c>
      <c r="F59" s="2" t="s">
        <v>29</v>
      </c>
      <c r="H59" s="39">
        <f>SUM(H53:H58)</f>
        <v>97</v>
      </c>
      <c r="I59" s="2" t="s">
        <v>35</v>
      </c>
      <c r="K59" s="39">
        <v>2</v>
      </c>
      <c r="L59" t="s">
        <v>1</v>
      </c>
    </row>
    <row r="60" spans="2:12" x14ac:dyDescent="0.35">
      <c r="E60" s="39">
        <v>0</v>
      </c>
      <c r="F60" s="2" t="s">
        <v>30</v>
      </c>
    </row>
    <row r="61" spans="2:12" x14ac:dyDescent="0.35">
      <c r="E61" s="39">
        <v>0</v>
      </c>
      <c r="F61" s="16" t="s">
        <v>12</v>
      </c>
      <c r="H61" s="2" t="s">
        <v>36</v>
      </c>
      <c r="I61" s="16" t="s">
        <v>193</v>
      </c>
    </row>
    <row r="62" spans="2:12" x14ac:dyDescent="0.35">
      <c r="E62" s="39">
        <f>SUM(E59:E61)</f>
        <v>30</v>
      </c>
      <c r="F62" s="2" t="s">
        <v>35</v>
      </c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7" spans="2:12" ht="21" x14ac:dyDescent="0.5">
      <c r="B67" s="19" t="s">
        <v>60</v>
      </c>
    </row>
    <row r="69" spans="2:12" ht="15" thickBot="1" x14ac:dyDescent="0.4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35">
      <c r="B70" s="31">
        <f>B5+B26+B37</f>
        <v>1</v>
      </c>
      <c r="C70" s="2" t="s">
        <v>41</v>
      </c>
      <c r="D70" s="35">
        <f>E70*15</f>
        <v>195</v>
      </c>
      <c r="E70" s="15">
        <f t="shared" ref="E70:E79" si="0">H5+E37+H37</f>
        <v>13</v>
      </c>
      <c r="F70" s="2" t="s">
        <v>19</v>
      </c>
      <c r="H70" s="13">
        <f>E5+H53</f>
        <v>3</v>
      </c>
      <c r="I70" s="2" t="s">
        <v>44</v>
      </c>
      <c r="K70" s="47">
        <f>B10+E9+B30+B42+H57</f>
        <v>19</v>
      </c>
      <c r="L70" s="2" t="s">
        <v>9</v>
      </c>
    </row>
    <row r="71" spans="2:12" x14ac:dyDescent="0.35">
      <c r="B71" s="26">
        <f>B6+B27+B38</f>
        <v>12</v>
      </c>
      <c r="C71" s="2" t="s">
        <v>42</v>
      </c>
      <c r="D71" s="35">
        <f t="shared" ref="D71:D77" si="1">E71*15</f>
        <v>360</v>
      </c>
      <c r="E71" s="14">
        <f t="shared" si="0"/>
        <v>24</v>
      </c>
      <c r="F71" s="2" t="s">
        <v>20</v>
      </c>
      <c r="H71" s="14">
        <f>E6+E16+E59+H54+E53</f>
        <v>99</v>
      </c>
      <c r="I71" s="2" t="s">
        <v>45</v>
      </c>
      <c r="K71" s="13">
        <f>B11+E10+B31+B43+H58</f>
        <v>34</v>
      </c>
      <c r="L71" s="2" t="s">
        <v>7</v>
      </c>
    </row>
    <row r="72" spans="2:12" x14ac:dyDescent="0.3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5</v>
      </c>
      <c r="L72" s="2" t="s">
        <v>8</v>
      </c>
    </row>
    <row r="73" spans="2:12" x14ac:dyDescent="0.35">
      <c r="B73" s="26">
        <f>B8+B29+B40</f>
        <v>1</v>
      </c>
      <c r="C73" s="2" t="s">
        <v>5</v>
      </c>
      <c r="D73" s="35">
        <f t="shared" si="1"/>
        <v>75</v>
      </c>
      <c r="E73" s="14">
        <f t="shared" si="0"/>
        <v>5</v>
      </c>
      <c r="F73" s="2" t="s">
        <v>21</v>
      </c>
      <c r="H73" s="14">
        <f>E8+H56</f>
        <v>52</v>
      </c>
      <c r="I73" s="2" t="s">
        <v>72</v>
      </c>
      <c r="K73" s="47">
        <f>K53</f>
        <v>3</v>
      </c>
      <c r="L73" s="2" t="s">
        <v>49</v>
      </c>
    </row>
    <row r="74" spans="2:12" x14ac:dyDescent="0.35">
      <c r="B74" s="26">
        <f>B9+B41</f>
        <v>46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7</v>
      </c>
      <c r="L74" s="2" t="s">
        <v>43</v>
      </c>
    </row>
    <row r="75" spans="2:12" x14ac:dyDescent="0.35">
      <c r="B75" s="21">
        <f>B14+B46</f>
        <v>1</v>
      </c>
      <c r="C75" s="2" t="s">
        <v>15</v>
      </c>
      <c r="D75" s="35">
        <f>E75*10</f>
        <v>110</v>
      </c>
      <c r="E75" s="14">
        <f t="shared" si="0"/>
        <v>11</v>
      </c>
      <c r="F75" s="2" t="s">
        <v>22</v>
      </c>
      <c r="K75" s="47">
        <f>K54</f>
        <v>2</v>
      </c>
      <c r="L75" s="2" t="s">
        <v>2</v>
      </c>
    </row>
    <row r="76" spans="2:12" x14ac:dyDescent="0.3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3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3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35">
      <c r="D79" s="35">
        <f>E79*8</f>
        <v>664</v>
      </c>
      <c r="E79" s="14">
        <f t="shared" si="0"/>
        <v>83</v>
      </c>
      <c r="F79" s="2" t="s">
        <v>28</v>
      </c>
    </row>
    <row r="84" spans="2:12" ht="15" thickBot="1" x14ac:dyDescent="0.4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35">
      <c r="B85" s="13">
        <f>B15+B47</f>
        <v>1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35">
      <c r="B86" s="14">
        <f>B16+B48</f>
        <v>1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35">
      <c r="B87" s="14">
        <f>B17+B49</f>
        <v>0</v>
      </c>
      <c r="C87" s="2" t="s">
        <v>17</v>
      </c>
      <c r="G87" s="35">
        <f>H87*10</f>
        <v>50</v>
      </c>
      <c r="H87" s="29">
        <f>K72</f>
        <v>5</v>
      </c>
      <c r="I87" s="2" t="s">
        <v>8</v>
      </c>
      <c r="K87" s="14">
        <f>A9+A41</f>
        <v>2</v>
      </c>
      <c r="L87" s="2" t="s">
        <v>6</v>
      </c>
    </row>
    <row r="88" spans="2:12" x14ac:dyDescent="0.3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35">
      <c r="B89" s="14">
        <f>B19+B51+E18+E55+E61</f>
        <v>1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1</v>
      </c>
      <c r="L89" s="2" t="s">
        <v>45</v>
      </c>
    </row>
    <row r="90" spans="2:12" x14ac:dyDescent="0.35">
      <c r="B90" s="14">
        <f>B20+B52</f>
        <v>1</v>
      </c>
      <c r="C90" s="2" t="s">
        <v>13</v>
      </c>
      <c r="G90" s="35">
        <f>H90*5</f>
        <v>230</v>
      </c>
      <c r="H90" s="21">
        <f>B74</f>
        <v>46</v>
      </c>
      <c r="I90" s="2" t="s">
        <v>48</v>
      </c>
      <c r="K90" s="14">
        <f>D8+G56</f>
        <v>3</v>
      </c>
      <c r="L90" s="2" t="s">
        <v>72</v>
      </c>
    </row>
    <row r="91" spans="2:12" x14ac:dyDescent="0.35">
      <c r="B91" s="14">
        <f>B21+B53</f>
        <v>0</v>
      </c>
      <c r="C91" s="2" t="s">
        <v>18</v>
      </c>
      <c r="G91" s="35">
        <f>H91*8</f>
        <v>416</v>
      </c>
      <c r="H91" s="21">
        <f>H73</f>
        <v>52</v>
      </c>
      <c r="I91" s="2" t="s">
        <v>72</v>
      </c>
      <c r="K91" s="14">
        <f>A11+D10+A43+G58</f>
        <v>0</v>
      </c>
      <c r="L91" s="2" t="s">
        <v>7</v>
      </c>
    </row>
    <row r="92" spans="2:12" x14ac:dyDescent="0.3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G32" sqref="G32"/>
    </sheetView>
  </sheetViews>
  <sheetFormatPr defaultRowHeight="14.5" x14ac:dyDescent="0.35"/>
  <cols>
    <col min="1" max="1" width="3.726562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7.1796875" customWidth="1"/>
    <col min="8" max="8" width="6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1:12" ht="23.65" customHeight="1" thickBot="1" x14ac:dyDescent="0.55000000000000004">
      <c r="B1" s="97" t="s">
        <v>75</v>
      </c>
      <c r="C1" s="97"/>
      <c r="D1" s="96">
        <f>DATE(2024,12,30)+(Mon!C2-1)*7+1</f>
        <v>45958</v>
      </c>
      <c r="E1" s="96"/>
      <c r="F1" s="96"/>
      <c r="H1" s="63" t="s">
        <v>111</v>
      </c>
      <c r="I1" s="64">
        <f>Mon!D1+42-1</f>
        <v>45998</v>
      </c>
    </row>
    <row r="2" spans="1:12" ht="12.4" customHeight="1" x14ac:dyDescent="0.35"/>
    <row r="3" spans="1:12" ht="12.4" customHeight="1" thickBot="1" x14ac:dyDescent="0.4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3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35">
      <c r="A5">
        <f>ROUNDDOWN(B5/24,0)</f>
        <v>0</v>
      </c>
      <c r="B5" s="39">
        <v>17</v>
      </c>
      <c r="C5" s="2" t="s">
        <v>42</v>
      </c>
      <c r="D5">
        <f>ROUNDDOWN(E5/24,0)</f>
        <v>0</v>
      </c>
      <c r="E5" s="39">
        <v>2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</row>
    <row r="6" spans="1:12" ht="12.4" customHeight="1" x14ac:dyDescent="0.3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3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2</v>
      </c>
      <c r="L7" s="2" t="s">
        <v>5</v>
      </c>
    </row>
    <row r="8" spans="1:12" ht="12.4" customHeight="1" x14ac:dyDescent="0.35">
      <c r="A8">
        <f>ROUNDDOWN(B8/20,0)</f>
        <v>1</v>
      </c>
      <c r="B8" s="39">
        <v>20</v>
      </c>
      <c r="C8" s="2" t="s">
        <v>6</v>
      </c>
      <c r="D8">
        <f>ROUNDDOWN(E8/20,0)</f>
        <v>0</v>
      </c>
      <c r="E8" s="39">
        <v>10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6</v>
      </c>
      <c r="L8" s="2" t="s">
        <v>6</v>
      </c>
    </row>
    <row r="9" spans="1:12" ht="12.4" customHeight="1" x14ac:dyDescent="0.35">
      <c r="B9" s="39">
        <v>8</v>
      </c>
      <c r="C9" s="2" t="s">
        <v>9</v>
      </c>
      <c r="E9" s="39">
        <v>2</v>
      </c>
      <c r="F9" s="2" t="s">
        <v>9</v>
      </c>
      <c r="H9" s="39">
        <v>7</v>
      </c>
      <c r="I9" s="2" t="s">
        <v>9</v>
      </c>
      <c r="K9" s="39">
        <v>2</v>
      </c>
      <c r="L9" s="2" t="s">
        <v>9</v>
      </c>
    </row>
    <row r="10" spans="1:12" ht="12.4" customHeight="1" x14ac:dyDescent="0.3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1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0</v>
      </c>
      <c r="L10" s="2" t="s">
        <v>7</v>
      </c>
    </row>
    <row r="11" spans="1:12" ht="12.4" customHeight="1" x14ac:dyDescent="0.3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</row>
    <row r="12" spans="1:12" ht="12.4" customHeight="1" x14ac:dyDescent="0.35">
      <c r="B12" s="39">
        <v>4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43</v>
      </c>
    </row>
    <row r="13" spans="1:12" ht="12.4" customHeight="1" x14ac:dyDescent="0.35">
      <c r="B13" s="39">
        <v>2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3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35">
      <c r="B15" s="39"/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4">
      <c r="B16" s="39">
        <v>1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35">
      <c r="B17" s="39"/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/>
      <c r="L17" s="75" t="s">
        <v>43</v>
      </c>
    </row>
    <row r="18" spans="1:18" ht="12.4" customHeight="1" x14ac:dyDescent="0.35">
      <c r="B18" s="39"/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4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3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35">
      <c r="B21" s="39">
        <f>SUM(B4:B20)</f>
        <v>71</v>
      </c>
      <c r="C21" s="2" t="s">
        <v>35</v>
      </c>
      <c r="E21" s="39">
        <f>SUM(E4:E20)</f>
        <v>17</v>
      </c>
      <c r="F21" s="2" t="s">
        <v>35</v>
      </c>
      <c r="H21" s="39">
        <f>SUM(H4:H20)</f>
        <v>48</v>
      </c>
      <c r="I21" s="2" t="s">
        <v>35</v>
      </c>
      <c r="K21" s="76"/>
      <c r="L21" s="75"/>
    </row>
    <row r="22" spans="1:18" ht="12.4" customHeight="1" x14ac:dyDescent="0.35">
      <c r="K22" s="76"/>
      <c r="L22" s="75"/>
    </row>
    <row r="23" spans="1:18" ht="12.4" customHeight="1" thickBot="1" x14ac:dyDescent="0.4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3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/>
      <c r="F24" s="2" t="s">
        <v>44</v>
      </c>
      <c r="H24" s="39"/>
      <c r="I24" s="2" t="s">
        <v>29</v>
      </c>
      <c r="K24" s="74">
        <v>20</v>
      </c>
      <c r="L24" s="84" t="s">
        <v>43</v>
      </c>
    </row>
    <row r="25" spans="1:18" ht="12.4" customHeight="1" x14ac:dyDescent="0.35">
      <c r="A25">
        <f>ROUNDDOWN(B25/24,0)</f>
        <v>0</v>
      </c>
      <c r="B25" s="39">
        <v>4</v>
      </c>
      <c r="C25" s="2" t="s">
        <v>45</v>
      </c>
      <c r="D25">
        <f>ROUNDDOWN(E25/24,0)</f>
        <v>0</v>
      </c>
      <c r="E25" s="39"/>
      <c r="F25" s="2" t="s">
        <v>45</v>
      </c>
      <c r="H25" s="39"/>
      <c r="I25" s="2" t="s">
        <v>30</v>
      </c>
      <c r="K25" s="76"/>
      <c r="L25" s="75"/>
    </row>
    <row r="26" spans="1:18" ht="12.4" customHeight="1" thickBot="1" x14ac:dyDescent="0.4">
      <c r="B26" s="39">
        <v>0</v>
      </c>
      <c r="C26" s="2" t="s">
        <v>30</v>
      </c>
      <c r="E26" s="39"/>
      <c r="F26" s="2" t="s">
        <v>30</v>
      </c>
      <c r="H26" s="39"/>
      <c r="I26" s="16" t="s">
        <v>12</v>
      </c>
      <c r="K26" s="77" t="s">
        <v>147</v>
      </c>
      <c r="L26" s="83"/>
    </row>
    <row r="27" spans="1:18" ht="12.4" customHeight="1" x14ac:dyDescent="0.35">
      <c r="A27">
        <f>ROUNDDOWN(B27/13,0)</f>
        <v>0</v>
      </c>
      <c r="B27" s="39">
        <v>12</v>
      </c>
      <c r="C27" s="2" t="s">
        <v>72</v>
      </c>
      <c r="D27">
        <f>ROUNDDOWN(E27/13,0)</f>
        <v>0</v>
      </c>
      <c r="E27" s="39"/>
      <c r="F27" s="2" t="s">
        <v>72</v>
      </c>
      <c r="H27" s="39">
        <f>SUM(H24:H26)</f>
        <v>0</v>
      </c>
      <c r="I27" s="2" t="s">
        <v>35</v>
      </c>
      <c r="K27" s="74">
        <v>32</v>
      </c>
      <c r="L27" s="84" t="s">
        <v>43</v>
      </c>
      <c r="R27" s="3"/>
    </row>
    <row r="28" spans="1:18" ht="12.4" customHeight="1" x14ac:dyDescent="0.35">
      <c r="B28" s="39">
        <v>4</v>
      </c>
      <c r="C28" s="2" t="s">
        <v>46</v>
      </c>
      <c r="E28" s="39"/>
      <c r="F28" s="2" t="s">
        <v>46</v>
      </c>
      <c r="K28" s="74">
        <v>2</v>
      </c>
      <c r="L28" s="84" t="s">
        <v>2</v>
      </c>
    </row>
    <row r="29" spans="1:18" ht="12.4" customHeight="1" thickBot="1" x14ac:dyDescent="0.4">
      <c r="A29">
        <f>ROUNDDOWN(B29/24,0)</f>
        <v>0</v>
      </c>
      <c r="B29" s="39">
        <v>6</v>
      </c>
      <c r="C29" s="16" t="s">
        <v>54</v>
      </c>
      <c r="D29">
        <f>ROUNDDOWN(E29/24,0)</f>
        <v>0</v>
      </c>
      <c r="E29" s="39"/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4">
      <c r="B30" s="39">
        <f>SUM(B24:B29)</f>
        <v>27</v>
      </c>
      <c r="C30" s="2" t="s">
        <v>35</v>
      </c>
      <c r="E30" s="39">
        <f>SUM(E24:E29)</f>
        <v>0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35">
      <c r="K31" s="86">
        <f>K17+K20+K24+K27</f>
        <v>57</v>
      </c>
      <c r="L31" s="89" t="s">
        <v>43</v>
      </c>
    </row>
    <row r="32" spans="1:18" ht="12.4" customHeight="1" x14ac:dyDescent="0.35">
      <c r="B32" s="2" t="s">
        <v>36</v>
      </c>
      <c r="C32" s="16">
        <v>4879284250</v>
      </c>
      <c r="E32" s="2" t="s">
        <v>36</v>
      </c>
      <c r="F32" s="16"/>
      <c r="K32" s="86">
        <f>K28</f>
        <v>2</v>
      </c>
      <c r="L32" s="87" t="s">
        <v>2</v>
      </c>
    </row>
    <row r="33" spans="2:12" ht="12.4" customHeight="1" x14ac:dyDescent="0.35">
      <c r="H33" s="22"/>
    </row>
    <row r="34" spans="2:12" ht="12.4" customHeight="1" thickBot="1" x14ac:dyDescent="0.4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35">
      <c r="B35" s="39">
        <v>6</v>
      </c>
      <c r="C35" s="2" t="s">
        <v>47</v>
      </c>
      <c r="E35" s="39">
        <v>10</v>
      </c>
      <c r="F35" t="s">
        <v>43</v>
      </c>
      <c r="H35" s="42"/>
    </row>
    <row r="36" spans="2:12" ht="12.4" customHeight="1" x14ac:dyDescent="0.35">
      <c r="B36" s="39">
        <v>0</v>
      </c>
      <c r="C36" s="2" t="s">
        <v>2</v>
      </c>
      <c r="D36" s="23"/>
      <c r="E36" s="39">
        <v>40</v>
      </c>
      <c r="F36" s="16" t="s">
        <v>48</v>
      </c>
      <c r="H36" s="42"/>
    </row>
    <row r="37" spans="2:12" ht="12.4" customHeight="1" x14ac:dyDescent="0.35">
      <c r="B37" s="39">
        <v>12</v>
      </c>
      <c r="C37" s="2" t="s">
        <v>7</v>
      </c>
      <c r="E37" s="39">
        <f>SUM(E35:E36)</f>
        <v>50</v>
      </c>
      <c r="F37" s="2" t="s">
        <v>35</v>
      </c>
      <c r="G37" s="1"/>
    </row>
    <row r="38" spans="2:12" ht="12.4" customHeight="1" x14ac:dyDescent="0.35">
      <c r="B38" s="42">
        <v>0</v>
      </c>
      <c r="C38" s="16" t="s">
        <v>28</v>
      </c>
    </row>
    <row r="39" spans="2:12" x14ac:dyDescent="0.35">
      <c r="B39" s="39">
        <f>SUM(B35:B38)</f>
        <v>18</v>
      </c>
      <c r="C39" s="2" t="s">
        <v>35</v>
      </c>
    </row>
    <row r="40" spans="2:12" ht="21" x14ac:dyDescent="0.5">
      <c r="B40" s="19" t="s">
        <v>60</v>
      </c>
    </row>
    <row r="42" spans="2:12" ht="15" thickBot="1" x14ac:dyDescent="0.4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3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44</v>
      </c>
      <c r="K43" s="47">
        <f>B9+B28+H9+K9+E9+E28</f>
        <v>23</v>
      </c>
      <c r="L43" s="2" t="s">
        <v>9</v>
      </c>
    </row>
    <row r="44" spans="2:12" x14ac:dyDescent="0.35">
      <c r="B44" s="26">
        <f>B5+H5+K5+E5</f>
        <v>25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4</v>
      </c>
      <c r="I44" s="2" t="s">
        <v>45</v>
      </c>
      <c r="K44" s="13">
        <f>B10+B29+H10+K10+E10+E29+B37</f>
        <v>32</v>
      </c>
      <c r="L44" s="2" t="s">
        <v>7</v>
      </c>
    </row>
    <row r="45" spans="2:12" x14ac:dyDescent="0.3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7</v>
      </c>
      <c r="L45" s="2" t="s">
        <v>8</v>
      </c>
    </row>
    <row r="46" spans="2:12" x14ac:dyDescent="0.3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12</v>
      </c>
      <c r="I46" s="2" t="s">
        <v>71</v>
      </c>
      <c r="K46" s="13"/>
      <c r="L46" s="2" t="s">
        <v>49</v>
      </c>
    </row>
    <row r="47" spans="2:12" x14ac:dyDescent="0.35">
      <c r="B47" s="26">
        <f>B8+H8+K8+E8+E36</f>
        <v>100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79</v>
      </c>
      <c r="L47" s="2" t="s">
        <v>43</v>
      </c>
    </row>
    <row r="48" spans="2:12" x14ac:dyDescent="0.35">
      <c r="B48" s="21">
        <f>B13+H13+E13</f>
        <v>3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3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3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35">
      <c r="C51" s="2"/>
      <c r="D51" s="35">
        <f>E51*8</f>
        <v>0</v>
      </c>
      <c r="E51" s="14"/>
      <c r="F51" s="2" t="s">
        <v>26</v>
      </c>
    </row>
    <row r="52" spans="2:12" x14ac:dyDescent="0.35">
      <c r="D52" s="35">
        <f>E52*8</f>
        <v>0</v>
      </c>
      <c r="E52" s="14">
        <f>B38</f>
        <v>0</v>
      </c>
      <c r="F52" s="2" t="s">
        <v>28</v>
      </c>
    </row>
    <row r="57" spans="2:12" ht="15" thickBot="1" x14ac:dyDescent="0.4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35">
      <c r="B58" s="13">
        <f>B14+H14+E14</f>
        <v>1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35">
      <c r="B59" s="13">
        <f>B15+H15+E15</f>
        <v>0</v>
      </c>
      <c r="C59" s="2" t="s">
        <v>16</v>
      </c>
      <c r="G59" s="35">
        <f t="shared" ref="G59:G62" si="1">H59*15</f>
        <v>45</v>
      </c>
      <c r="H59" s="21">
        <f>B48</f>
        <v>3</v>
      </c>
      <c r="I59" s="2" t="s">
        <v>15</v>
      </c>
      <c r="K59" s="14">
        <f>A5+D5+G5</f>
        <v>0</v>
      </c>
      <c r="L59" t="s">
        <v>42</v>
      </c>
    </row>
    <row r="60" spans="2:12" x14ac:dyDescent="0.35">
      <c r="B60" s="13">
        <f>B16+H16+E16</f>
        <v>1</v>
      </c>
      <c r="C60" s="2" t="s">
        <v>17</v>
      </c>
      <c r="G60" s="35">
        <f>H60*10</f>
        <v>70</v>
      </c>
      <c r="H60" s="29">
        <f>K45</f>
        <v>7</v>
      </c>
      <c r="I60" s="2" t="s">
        <v>8</v>
      </c>
      <c r="K60" s="13">
        <f>A8+D8+G8</f>
        <v>2</v>
      </c>
      <c r="L60" s="2" t="s">
        <v>6</v>
      </c>
    </row>
    <row r="61" spans="2:12" x14ac:dyDescent="0.35">
      <c r="B61" s="13">
        <f>B17+H17+E17</f>
        <v>0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44</v>
      </c>
    </row>
    <row r="62" spans="2:12" x14ac:dyDescent="0.3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45</v>
      </c>
    </row>
    <row r="63" spans="2:12" x14ac:dyDescent="0.35">
      <c r="B63" s="13">
        <f>B19+H19+E19</f>
        <v>1</v>
      </c>
      <c r="C63" s="2" t="s">
        <v>13</v>
      </c>
      <c r="G63" s="35">
        <f>H63*5</f>
        <v>500</v>
      </c>
      <c r="H63" s="21">
        <f>B47</f>
        <v>100</v>
      </c>
      <c r="I63" s="2" t="s">
        <v>48</v>
      </c>
      <c r="K63" s="14">
        <f>A27+D27</f>
        <v>0</v>
      </c>
      <c r="L63" s="2" t="s">
        <v>72</v>
      </c>
    </row>
    <row r="64" spans="2:12" x14ac:dyDescent="0.35">
      <c r="B64" s="13">
        <f>B20+H20+E20</f>
        <v>1</v>
      </c>
      <c r="C64" s="2" t="s">
        <v>18</v>
      </c>
      <c r="G64" s="35">
        <f>H64*8</f>
        <v>96</v>
      </c>
      <c r="H64" s="21">
        <f>H46</f>
        <v>12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35">
      <c r="B65" s="4"/>
      <c r="C65" s="4"/>
      <c r="J65" s="2"/>
      <c r="K65" s="14">
        <f>A11+D11+G11</f>
        <v>0</v>
      </c>
      <c r="L65" s="2" t="s">
        <v>8</v>
      </c>
    </row>
    <row r="66" spans="2:12" x14ac:dyDescent="0.35">
      <c r="J66" s="2"/>
    </row>
    <row r="69" spans="2:12" x14ac:dyDescent="0.35">
      <c r="C69" s="2"/>
      <c r="F69" s="2"/>
      <c r="I69" s="2"/>
      <c r="L69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</row>
    <row r="72" spans="2:12" x14ac:dyDescent="0.35">
      <c r="C72" s="2"/>
      <c r="F72" s="2"/>
      <c r="I72" s="2"/>
    </row>
    <row r="73" spans="2:12" x14ac:dyDescent="0.35">
      <c r="C73" s="2"/>
      <c r="I73" s="2"/>
    </row>
    <row r="74" spans="2:12" x14ac:dyDescent="0.35"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K37" sqref="K37"/>
    </sheetView>
  </sheetViews>
  <sheetFormatPr defaultRowHeight="14.5" x14ac:dyDescent="0.35"/>
  <cols>
    <col min="1" max="1" width="4.26953125" customWidth="1"/>
    <col min="2" max="2" width="6.26953125" customWidth="1"/>
    <col min="3" max="3" width="19.54296875" customWidth="1"/>
    <col min="4" max="4" width="8.26953125" customWidth="1"/>
    <col min="5" max="5" width="5" customWidth="1"/>
    <col min="6" max="6" width="21.7265625" customWidth="1"/>
    <col min="7" max="7" width="7.54296875" customWidth="1"/>
    <col min="8" max="8" width="4.81640625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2:12" ht="19.5" customHeight="1" thickBot="1" x14ac:dyDescent="0.55000000000000004">
      <c r="B1" s="97" t="s">
        <v>75</v>
      </c>
      <c r="C1" s="97"/>
      <c r="D1" s="96">
        <f>DATE(2024,12,30)+(Mon!C2-1)*7+2</f>
        <v>45959</v>
      </c>
      <c r="E1" s="96"/>
      <c r="F1" s="96"/>
      <c r="H1" s="63" t="s">
        <v>111</v>
      </c>
      <c r="I1" s="64">
        <f>Mon!D1+49-1</f>
        <v>46005</v>
      </c>
      <c r="K1" s="17" t="s">
        <v>168</v>
      </c>
      <c r="L1" s="17"/>
    </row>
    <row r="2" spans="2:12" ht="12.75" customHeight="1" x14ac:dyDescent="0.35">
      <c r="K2" s="39">
        <v>1</v>
      </c>
      <c r="L2" s="2" t="s">
        <v>41</v>
      </c>
    </row>
    <row r="3" spans="2:12" ht="12.75" customHeight="1" thickBot="1" x14ac:dyDescent="0.4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6</v>
      </c>
      <c r="L3" s="2" t="s">
        <v>42</v>
      </c>
    </row>
    <row r="4" spans="2:12" ht="12.75" customHeight="1" x14ac:dyDescent="0.35">
      <c r="B4" s="39"/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7</v>
      </c>
      <c r="L4" s="2" t="s">
        <v>2</v>
      </c>
    </row>
    <row r="5" spans="2:12" ht="12.75" customHeight="1" x14ac:dyDescent="0.35">
      <c r="B5" s="25"/>
      <c r="C5" s="2"/>
      <c r="E5" s="39">
        <v>6</v>
      </c>
      <c r="F5" s="2" t="s">
        <v>42</v>
      </c>
      <c r="H5" s="39">
        <v>7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4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3</v>
      </c>
      <c r="L6" s="2" t="s">
        <v>46</v>
      </c>
    </row>
    <row r="7" spans="2:12" ht="12.75" customHeight="1" x14ac:dyDescent="0.35">
      <c r="B7" s="39">
        <v>2</v>
      </c>
      <c r="C7" s="28" t="s">
        <v>1</v>
      </c>
      <c r="E7" s="39">
        <v>8</v>
      </c>
      <c r="F7" s="2" t="s">
        <v>9</v>
      </c>
      <c r="H7" s="39">
        <v>8</v>
      </c>
      <c r="I7" s="16" t="s">
        <v>6</v>
      </c>
      <c r="K7" s="39">
        <v>6</v>
      </c>
      <c r="L7" s="2" t="s">
        <v>49</v>
      </c>
    </row>
    <row r="8" spans="2:12" ht="12.75" customHeight="1" x14ac:dyDescent="0.35">
      <c r="B8" s="24"/>
      <c r="C8" s="2"/>
      <c r="E8" s="39">
        <v>14</v>
      </c>
      <c r="F8" s="16" t="s">
        <v>7</v>
      </c>
      <c r="H8" s="39">
        <f>SUM(H4:H7)</f>
        <v>20</v>
      </c>
      <c r="I8" s="22" t="s">
        <v>35</v>
      </c>
      <c r="K8" s="39">
        <v>5</v>
      </c>
      <c r="L8" s="2" t="s">
        <v>43</v>
      </c>
    </row>
    <row r="9" spans="2:12" ht="12.75" customHeight="1" thickBot="1" x14ac:dyDescent="0.4">
      <c r="B9" s="17" t="s">
        <v>151</v>
      </c>
      <c r="C9" s="5"/>
      <c r="E9" s="39">
        <f>SUM(E4:E8)</f>
        <v>32</v>
      </c>
      <c r="F9" s="22" t="s">
        <v>35</v>
      </c>
      <c r="K9" s="39">
        <v>7</v>
      </c>
      <c r="L9" s="2" t="s">
        <v>54</v>
      </c>
    </row>
    <row r="10" spans="2:12" ht="12.75" customHeight="1" x14ac:dyDescent="0.35">
      <c r="B10" s="39">
        <v>3</v>
      </c>
      <c r="C10" s="28" t="s">
        <v>1</v>
      </c>
      <c r="K10" s="39"/>
      <c r="L10" s="2" t="s">
        <v>115</v>
      </c>
    </row>
    <row r="11" spans="2:12" ht="12.75" customHeight="1" thickBot="1" x14ac:dyDescent="0.4">
      <c r="C11" s="2"/>
      <c r="E11" s="17" t="s">
        <v>159</v>
      </c>
      <c r="F11" s="17"/>
      <c r="H11" s="17" t="s">
        <v>163</v>
      </c>
      <c r="I11" s="17"/>
      <c r="K11" s="39"/>
      <c r="L11" s="16" t="s">
        <v>117</v>
      </c>
    </row>
    <row r="12" spans="2:12" ht="12.75" customHeight="1" thickBot="1" x14ac:dyDescent="0.4">
      <c r="B12" s="17" t="s">
        <v>53</v>
      </c>
      <c r="C12" s="5"/>
      <c r="E12" s="39"/>
      <c r="F12" s="2" t="s">
        <v>41</v>
      </c>
      <c r="H12" s="39">
        <v>6</v>
      </c>
      <c r="I12" s="2" t="s">
        <v>41</v>
      </c>
      <c r="K12" s="39">
        <f>SUM(K2:K11)</f>
        <v>50</v>
      </c>
      <c r="L12" s="22" t="s">
        <v>35</v>
      </c>
    </row>
    <row r="13" spans="2:12" ht="12.75" customHeight="1" x14ac:dyDescent="0.35">
      <c r="B13" s="39"/>
      <c r="C13" s="28" t="s">
        <v>1</v>
      </c>
      <c r="E13" s="39">
        <v>10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4">
      <c r="B14" s="22"/>
      <c r="C14" s="22"/>
      <c r="E14" s="39">
        <v>1</v>
      </c>
      <c r="F14" s="2" t="s">
        <v>5</v>
      </c>
      <c r="H14" s="39">
        <v>3</v>
      </c>
      <c r="I14" s="2" t="s">
        <v>5</v>
      </c>
      <c r="K14" s="17" t="s">
        <v>171</v>
      </c>
      <c r="L14" s="17"/>
    </row>
    <row r="15" spans="2:12" ht="12.75" customHeight="1" thickBot="1" x14ac:dyDescent="0.4">
      <c r="B15" s="17" t="s">
        <v>152</v>
      </c>
      <c r="C15" s="5"/>
      <c r="E15" s="39">
        <v>10</v>
      </c>
      <c r="F15" s="2" t="s">
        <v>6</v>
      </c>
      <c r="H15" s="39">
        <v>20</v>
      </c>
      <c r="I15" s="2" t="s">
        <v>6</v>
      </c>
      <c r="K15" s="39"/>
      <c r="L15" s="2" t="s">
        <v>41</v>
      </c>
    </row>
    <row r="16" spans="2:12" ht="12.75" customHeight="1" x14ac:dyDescent="0.35">
      <c r="B16" s="39">
        <v>1</v>
      </c>
      <c r="C16" s="28" t="s">
        <v>0</v>
      </c>
      <c r="E16" s="39"/>
      <c r="F16" s="2" t="s">
        <v>9</v>
      </c>
      <c r="H16" s="39"/>
      <c r="I16" s="2" t="s">
        <v>115</v>
      </c>
      <c r="K16" s="39">
        <v>6</v>
      </c>
      <c r="L16" s="2" t="s">
        <v>42</v>
      </c>
    </row>
    <row r="17" spans="2:12" ht="12.75" customHeight="1" x14ac:dyDescent="0.35">
      <c r="C17" s="2"/>
      <c r="E17" s="39">
        <v>8</v>
      </c>
      <c r="F17" s="16" t="s">
        <v>7</v>
      </c>
      <c r="G17" s="2"/>
      <c r="H17" s="39"/>
      <c r="I17" s="16" t="s">
        <v>117</v>
      </c>
      <c r="K17" s="39">
        <v>6</v>
      </c>
      <c r="L17" s="2" t="s">
        <v>5</v>
      </c>
    </row>
    <row r="18" spans="2:12" ht="12.75" customHeight="1" thickBot="1" x14ac:dyDescent="0.4">
      <c r="B18" s="17" t="s">
        <v>155</v>
      </c>
      <c r="C18" s="5"/>
      <c r="E18" s="39">
        <f>SUM(E12:E17)</f>
        <v>29</v>
      </c>
      <c r="F18" s="22" t="s">
        <v>35</v>
      </c>
      <c r="H18" s="39">
        <f>SUM(H12:H17)</f>
        <v>41</v>
      </c>
      <c r="I18" s="22" t="s">
        <v>35</v>
      </c>
      <c r="K18" s="39">
        <v>3</v>
      </c>
      <c r="L18" s="2" t="s">
        <v>6</v>
      </c>
    </row>
    <row r="19" spans="2:12" ht="12.75" customHeight="1" x14ac:dyDescent="0.35">
      <c r="B19" s="39"/>
      <c r="C19" s="28" t="s">
        <v>1</v>
      </c>
      <c r="K19" s="39">
        <v>6</v>
      </c>
      <c r="L19" s="2" t="s">
        <v>46</v>
      </c>
    </row>
    <row r="20" spans="2:12" ht="12.75" customHeight="1" x14ac:dyDescent="0.35">
      <c r="F20" s="2"/>
      <c r="K20" s="39">
        <v>8</v>
      </c>
      <c r="L20" s="16" t="s">
        <v>54</v>
      </c>
    </row>
    <row r="21" spans="2:12" ht="12.75" customHeight="1" thickBot="1" x14ac:dyDescent="0.4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29</v>
      </c>
      <c r="L21" s="22" t="s">
        <v>35</v>
      </c>
    </row>
    <row r="22" spans="2:12" ht="12.75" customHeight="1" x14ac:dyDescent="0.35">
      <c r="B22" s="39"/>
      <c r="C22" s="28" t="s">
        <v>0</v>
      </c>
      <c r="E22" s="39">
        <v>3</v>
      </c>
      <c r="F22" s="2" t="s">
        <v>49</v>
      </c>
      <c r="H22" s="39"/>
      <c r="I22" s="28" t="s">
        <v>1</v>
      </c>
    </row>
    <row r="23" spans="2:12" ht="12.75" customHeight="1" thickBot="1" x14ac:dyDescent="0.4">
      <c r="E23" s="39">
        <v>6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4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35">
      <c r="B25" s="39"/>
      <c r="C25" s="2" t="s">
        <v>43</v>
      </c>
      <c r="E25" s="39"/>
      <c r="F25" s="2" t="s">
        <v>1</v>
      </c>
      <c r="H25" s="39"/>
      <c r="I25" s="2" t="s">
        <v>43</v>
      </c>
      <c r="K25" s="39">
        <v>2</v>
      </c>
      <c r="L25" s="2" t="s">
        <v>43</v>
      </c>
    </row>
    <row r="26" spans="2:12" ht="12.75" customHeight="1" x14ac:dyDescent="0.3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>
        <v>1</v>
      </c>
      <c r="L26" s="16" t="s">
        <v>2</v>
      </c>
    </row>
    <row r="27" spans="2:12" ht="12.75" customHeight="1" x14ac:dyDescent="0.35">
      <c r="B27" s="39">
        <f>SUM(B25:B26)</f>
        <v>0</v>
      </c>
      <c r="C27" s="22" t="s">
        <v>35</v>
      </c>
      <c r="E27" s="39"/>
      <c r="F27" s="2" t="s">
        <v>115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35">
      <c r="E28" s="39"/>
      <c r="F28" s="16" t="s">
        <v>117</v>
      </c>
      <c r="I28" s="2"/>
    </row>
    <row r="29" spans="2:12" ht="12.75" customHeight="1" thickBot="1" x14ac:dyDescent="0.4">
      <c r="B29" s="17" t="s">
        <v>154</v>
      </c>
      <c r="C29" s="5"/>
      <c r="E29" s="39">
        <f>SUM(E22:E28)</f>
        <v>12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35">
      <c r="B30" s="39">
        <v>2</v>
      </c>
      <c r="C30" s="2" t="s">
        <v>49</v>
      </c>
      <c r="F30" s="2"/>
      <c r="H30" s="39"/>
      <c r="I30" s="28" t="s">
        <v>43</v>
      </c>
      <c r="K30" s="39"/>
      <c r="L30" s="2" t="s">
        <v>49</v>
      </c>
    </row>
    <row r="31" spans="2:12" ht="12.75" customHeight="1" thickBot="1" x14ac:dyDescent="0.4">
      <c r="B31" s="39">
        <v>1</v>
      </c>
      <c r="C31" s="16" t="s">
        <v>43</v>
      </c>
      <c r="E31" s="30" t="s">
        <v>161</v>
      </c>
      <c r="F31" s="5"/>
      <c r="K31" s="39"/>
      <c r="L31" s="2" t="s">
        <v>43</v>
      </c>
    </row>
    <row r="32" spans="2:12" ht="12.75" customHeight="1" thickBot="1" x14ac:dyDescent="0.4">
      <c r="B32" s="39">
        <f>SUM(B30:B31)</f>
        <v>3</v>
      </c>
      <c r="C32" s="22" t="s">
        <v>35</v>
      </c>
      <c r="E32" s="39"/>
      <c r="F32" s="2" t="s">
        <v>49</v>
      </c>
      <c r="H32" s="17" t="s">
        <v>166</v>
      </c>
      <c r="I32" s="5"/>
      <c r="K32" s="39"/>
      <c r="L32" s="16" t="s">
        <v>2</v>
      </c>
    </row>
    <row r="33" spans="2:12" ht="12.75" customHeight="1" x14ac:dyDescent="0.35">
      <c r="E33" s="39"/>
      <c r="F33" s="2" t="s">
        <v>43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4">
      <c r="B34" s="17" t="s">
        <v>172</v>
      </c>
      <c r="C34" s="5"/>
      <c r="E34" s="39"/>
      <c r="F34" s="16" t="s">
        <v>2</v>
      </c>
      <c r="I34" s="2"/>
    </row>
    <row r="35" spans="2:12" ht="12.75" customHeight="1" thickBot="1" x14ac:dyDescent="0.4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35">
      <c r="H36" s="39"/>
      <c r="I36" s="28" t="s">
        <v>0</v>
      </c>
      <c r="K36" s="39">
        <v>6</v>
      </c>
      <c r="L36" s="2" t="s">
        <v>43</v>
      </c>
    </row>
    <row r="37" spans="2:12" ht="12.75" customHeight="1" x14ac:dyDescent="0.35">
      <c r="D37" s="23"/>
      <c r="G37" s="1"/>
      <c r="K37" s="39"/>
      <c r="L37" s="16" t="s">
        <v>2</v>
      </c>
    </row>
    <row r="38" spans="2:12" ht="12.75" customHeight="1" x14ac:dyDescent="0.35">
      <c r="K38" s="39">
        <f>SUM(K36:K37)</f>
        <v>6</v>
      </c>
      <c r="L38" s="22" t="s">
        <v>35</v>
      </c>
    </row>
    <row r="39" spans="2:12" ht="25.9" customHeight="1" x14ac:dyDescent="0.5">
      <c r="B39" s="19" t="s">
        <v>60</v>
      </c>
    </row>
    <row r="41" spans="2:12" ht="15" thickBot="1" x14ac:dyDescent="0.4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35">
      <c r="B42" s="90">
        <f>E4+E12+H4+H12+K2+K15+K15</f>
        <v>11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17</v>
      </c>
      <c r="L42" s="2" t="s">
        <v>9</v>
      </c>
    </row>
    <row r="43" spans="2:12" x14ac:dyDescent="0.35">
      <c r="B43" s="91">
        <f>E5+E13+H5+H13+K3+K16+K16</f>
        <v>53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37</v>
      </c>
      <c r="L43" s="2" t="s">
        <v>7</v>
      </c>
    </row>
    <row r="44" spans="2:12" x14ac:dyDescent="0.3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35">
      <c r="B45" s="91">
        <f>E6+E14+H6+H14+K17+K17</f>
        <v>21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13</v>
      </c>
      <c r="L45" s="2" t="s">
        <v>49</v>
      </c>
    </row>
    <row r="46" spans="2:12" x14ac:dyDescent="0.35">
      <c r="B46" s="91">
        <f>E15+E26+H7+H15+K5+K18+K18</f>
        <v>59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22</v>
      </c>
      <c r="L46" s="2" t="s">
        <v>43</v>
      </c>
    </row>
    <row r="47" spans="2:12" x14ac:dyDescent="0.3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11</v>
      </c>
      <c r="L47" s="2" t="s">
        <v>2</v>
      </c>
    </row>
    <row r="48" spans="2:12" x14ac:dyDescent="0.3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3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35">
      <c r="C50" s="2"/>
      <c r="D50" s="35">
        <f>E50*8</f>
        <v>0</v>
      </c>
      <c r="E50" s="14"/>
      <c r="F50" s="2" t="s">
        <v>26</v>
      </c>
    </row>
    <row r="51" spans="2:12" x14ac:dyDescent="0.35">
      <c r="D51" s="35">
        <f>E51*8</f>
        <v>0</v>
      </c>
      <c r="E51" s="14"/>
      <c r="F51" s="2" t="s">
        <v>28</v>
      </c>
    </row>
    <row r="56" spans="2:12" ht="15" thickBot="1" x14ac:dyDescent="0.4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3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3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3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35">
      <c r="B60" s="47">
        <f>E27+H16+K10</f>
        <v>0</v>
      </c>
      <c r="C60" s="2" t="s">
        <v>11</v>
      </c>
      <c r="G60" s="35">
        <f t="shared" si="1"/>
        <v>315</v>
      </c>
      <c r="H60" s="26">
        <f>B45</f>
        <v>21</v>
      </c>
      <c r="I60" s="2" t="s">
        <v>5</v>
      </c>
    </row>
    <row r="61" spans="2:12" x14ac:dyDescent="0.3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35">
      <c r="B62" s="13"/>
      <c r="C62" s="2" t="s">
        <v>13</v>
      </c>
      <c r="G62" s="35">
        <f>H62*5</f>
        <v>295</v>
      </c>
      <c r="H62" s="21">
        <f>B46</f>
        <v>59</v>
      </c>
      <c r="I62" s="2" t="s">
        <v>48</v>
      </c>
    </row>
    <row r="63" spans="2:12" x14ac:dyDescent="0.3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35">
      <c r="B66" s="4"/>
      <c r="C66" s="4"/>
      <c r="J66" s="2"/>
    </row>
    <row r="67" spans="2:12" x14ac:dyDescent="0.35">
      <c r="B67" s="9"/>
      <c r="C67" s="7"/>
      <c r="J67" s="2"/>
    </row>
    <row r="68" spans="2:12" x14ac:dyDescent="0.35">
      <c r="J68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  <c r="L72" s="2"/>
    </row>
    <row r="73" spans="2:12" x14ac:dyDescent="0.35">
      <c r="C73" s="2"/>
      <c r="F73" s="2"/>
      <c r="I73" s="2"/>
    </row>
    <row r="74" spans="2:12" x14ac:dyDescent="0.35">
      <c r="C74" s="2"/>
      <c r="F74" s="2"/>
      <c r="I74" s="2"/>
    </row>
    <row r="75" spans="2:12" x14ac:dyDescent="0.35">
      <c r="C75" s="2"/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  <row r="80" spans="2:12" x14ac:dyDescent="0.3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G30" sqref="G30"/>
    </sheetView>
  </sheetViews>
  <sheetFormatPr defaultRowHeight="14.5" x14ac:dyDescent="0.35"/>
  <cols>
    <col min="1" max="1" width="5" customWidth="1"/>
    <col min="2" max="2" width="6.26953125" customWidth="1"/>
    <col min="3" max="3" width="19.54296875" customWidth="1"/>
    <col min="4" max="4" width="7.26953125" customWidth="1"/>
    <col min="5" max="5" width="5" customWidth="1"/>
    <col min="6" max="6" width="21.7265625" customWidth="1"/>
    <col min="7" max="7" width="6.81640625" customWidth="1"/>
    <col min="8" max="8" width="6.7265625" customWidth="1"/>
    <col min="9" max="9" width="17.26953125" customWidth="1"/>
    <col min="10" max="10" width="4.26953125" customWidth="1"/>
    <col min="11" max="11" width="5.1796875" customWidth="1"/>
    <col min="12" max="12" width="15.7265625" customWidth="1"/>
  </cols>
  <sheetData>
    <row r="1" spans="1:12" ht="21.5" thickBot="1" x14ac:dyDescent="0.55000000000000004">
      <c r="B1" s="97" t="s">
        <v>75</v>
      </c>
      <c r="C1" s="97"/>
      <c r="D1" s="96">
        <f>DATE(2024,12,30)+(Mon!C2-1)*7+3</f>
        <v>45960</v>
      </c>
      <c r="E1" s="96"/>
      <c r="F1" s="96"/>
      <c r="G1" s="1"/>
      <c r="H1" s="63" t="s">
        <v>111</v>
      </c>
      <c r="I1" s="64">
        <f>Mon!D1+49-1</f>
        <v>46005</v>
      </c>
      <c r="L1" s="19" t="s">
        <v>38</v>
      </c>
    </row>
    <row r="3" spans="1:12" ht="15" thickBot="1" x14ac:dyDescent="0.4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35">
      <c r="A4">
        <f>ROUNDDOWN(B4/24,0)</f>
        <v>0</v>
      </c>
      <c r="B4" s="39">
        <v>1</v>
      </c>
      <c r="C4" s="2" t="s">
        <v>41</v>
      </c>
      <c r="E4" s="39"/>
      <c r="F4" s="2" t="s">
        <v>3</v>
      </c>
      <c r="G4">
        <f>ROUNDDOWN(H4/24,0)</f>
        <v>0</v>
      </c>
      <c r="H4" s="39">
        <v>3</v>
      </c>
      <c r="I4" s="2" t="s">
        <v>44</v>
      </c>
      <c r="K4" s="44">
        <v>2</v>
      </c>
      <c r="L4" s="2" t="s">
        <v>19</v>
      </c>
    </row>
    <row r="5" spans="1:12" x14ac:dyDescent="0.35">
      <c r="A5">
        <f>ROUNDDOWN(B5/24,0)</f>
        <v>0</v>
      </c>
      <c r="B5" s="39"/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8</v>
      </c>
      <c r="I5" s="2" t="s">
        <v>45</v>
      </c>
      <c r="K5" s="39">
        <v>8</v>
      </c>
      <c r="L5" s="2" t="s">
        <v>20</v>
      </c>
    </row>
    <row r="6" spans="1:12" x14ac:dyDescent="0.35">
      <c r="B6" s="39"/>
      <c r="C6" s="2" t="s">
        <v>4</v>
      </c>
      <c r="E6" s="39"/>
      <c r="F6" s="2" t="s">
        <v>4</v>
      </c>
      <c r="H6" s="39">
        <v>3</v>
      </c>
      <c r="I6" s="2" t="s">
        <v>30</v>
      </c>
      <c r="K6" s="39"/>
      <c r="L6" s="2" t="s">
        <v>27</v>
      </c>
    </row>
    <row r="7" spans="1:12" x14ac:dyDescent="0.3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1</v>
      </c>
      <c r="H7" s="39">
        <v>14</v>
      </c>
      <c r="I7" s="2" t="s">
        <v>72</v>
      </c>
      <c r="K7" s="39"/>
      <c r="L7" s="2" t="s">
        <v>21</v>
      </c>
    </row>
    <row r="8" spans="1:12" x14ac:dyDescent="0.35">
      <c r="A8">
        <f>ROUNDDOWN(B8/20,0)</f>
        <v>1</v>
      </c>
      <c r="B8" s="39">
        <v>26</v>
      </c>
      <c r="C8" s="2" t="s">
        <v>6</v>
      </c>
      <c r="E8" s="39">
        <v>6</v>
      </c>
      <c r="F8" s="2" t="s">
        <v>9</v>
      </c>
      <c r="H8" s="39">
        <v>8</v>
      </c>
      <c r="I8" s="2" t="s">
        <v>46</v>
      </c>
      <c r="K8" s="39"/>
      <c r="L8" s="2" t="s">
        <v>23</v>
      </c>
    </row>
    <row r="9" spans="1:12" x14ac:dyDescent="0.35">
      <c r="B9" s="39">
        <v>8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9</v>
      </c>
      <c r="I9" s="16" t="s">
        <v>7</v>
      </c>
      <c r="K9" s="39">
        <v>5</v>
      </c>
      <c r="L9" s="2" t="s">
        <v>22</v>
      </c>
    </row>
    <row r="10" spans="1:12" x14ac:dyDescent="0.35">
      <c r="A10">
        <f>ROUNDDOWN(B10/24,0)</f>
        <v>0</v>
      </c>
      <c r="B10" s="39">
        <v>7</v>
      </c>
      <c r="C10" s="2" t="s">
        <v>7</v>
      </c>
      <c r="E10" s="39"/>
      <c r="F10" s="16" t="s">
        <v>8</v>
      </c>
      <c r="H10" s="39">
        <f>SUM(H4:H9)</f>
        <v>45</v>
      </c>
      <c r="I10" s="22" t="s">
        <v>35</v>
      </c>
      <c r="K10" s="39"/>
      <c r="L10" s="2" t="s">
        <v>24</v>
      </c>
    </row>
    <row r="11" spans="1:12" x14ac:dyDescent="0.35">
      <c r="A11">
        <f>ROUNDDOWN(B11/24,0)</f>
        <v>0</v>
      </c>
      <c r="B11" s="39">
        <v>5</v>
      </c>
      <c r="C11" s="2" t="s">
        <v>8</v>
      </c>
      <c r="E11" s="39">
        <f>SUM(E4:E10)</f>
        <v>21</v>
      </c>
      <c r="F11" s="22" t="s">
        <v>35</v>
      </c>
      <c r="K11" s="39"/>
      <c r="L11" s="2" t="s">
        <v>25</v>
      </c>
    </row>
    <row r="12" spans="1:12" x14ac:dyDescent="0.35">
      <c r="B12" s="39">
        <v>1</v>
      </c>
      <c r="C12" s="2" t="s">
        <v>43</v>
      </c>
      <c r="F12" s="2"/>
      <c r="H12" s="2" t="s">
        <v>36</v>
      </c>
      <c r="I12" s="16"/>
      <c r="K12" s="39"/>
      <c r="L12" s="2" t="s">
        <v>26</v>
      </c>
    </row>
    <row r="13" spans="1:12" x14ac:dyDescent="0.35">
      <c r="B13" s="39"/>
      <c r="C13" s="2" t="s">
        <v>15</v>
      </c>
      <c r="K13" s="39">
        <v>9</v>
      </c>
      <c r="L13" s="16" t="s">
        <v>28</v>
      </c>
    </row>
    <row r="14" spans="1:12" ht="15" thickBot="1" x14ac:dyDescent="0.4">
      <c r="B14" s="39"/>
      <c r="C14" s="2" t="s">
        <v>14</v>
      </c>
      <c r="H14" s="17" t="s">
        <v>175</v>
      </c>
      <c r="I14" s="17"/>
      <c r="K14" s="39">
        <f>SUM(K4:K13)</f>
        <v>24</v>
      </c>
      <c r="L14" s="22" t="s">
        <v>35</v>
      </c>
    </row>
    <row r="15" spans="1:12" x14ac:dyDescent="0.3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35">
      <c r="B16" s="39"/>
      <c r="C16" s="2" t="s">
        <v>116</v>
      </c>
      <c r="H16" s="39"/>
      <c r="I16" s="2" t="s">
        <v>30</v>
      </c>
      <c r="K16" s="2" t="s">
        <v>36</v>
      </c>
      <c r="L16" s="16"/>
    </row>
    <row r="17" spans="2:10" x14ac:dyDescent="0.35">
      <c r="B17" s="39"/>
      <c r="C17" s="2" t="s">
        <v>115</v>
      </c>
      <c r="H17" s="39"/>
      <c r="I17" s="16" t="s">
        <v>117</v>
      </c>
    </row>
    <row r="18" spans="2:10" x14ac:dyDescent="0.35">
      <c r="B18" s="39"/>
      <c r="C18" s="2" t="s">
        <v>117</v>
      </c>
      <c r="H18" s="39">
        <f>SUM(H15:H17)</f>
        <v>0</v>
      </c>
      <c r="I18" s="22" t="s">
        <v>35</v>
      </c>
      <c r="J18" s="4"/>
    </row>
    <row r="19" spans="2:10" x14ac:dyDescent="0.35">
      <c r="B19" s="39"/>
      <c r="C19" s="2" t="s">
        <v>13</v>
      </c>
      <c r="J19" s="4"/>
    </row>
    <row r="20" spans="2:10" x14ac:dyDescent="0.35">
      <c r="B20" s="39"/>
      <c r="C20" s="16" t="s">
        <v>18</v>
      </c>
      <c r="J20" s="2"/>
    </row>
    <row r="21" spans="2:10" x14ac:dyDescent="0.35">
      <c r="B21" s="39">
        <f>SUM(B4:B20)</f>
        <v>49</v>
      </c>
      <c r="C21" s="22" t="s">
        <v>35</v>
      </c>
      <c r="J21" s="2"/>
    </row>
    <row r="22" spans="2:10" x14ac:dyDescent="0.35">
      <c r="J22" s="2"/>
    </row>
    <row r="24" spans="2:10" ht="15" thickBot="1" x14ac:dyDescent="0.4">
      <c r="B24" s="17" t="s">
        <v>68</v>
      </c>
      <c r="C24" s="5"/>
      <c r="E24" s="17" t="s">
        <v>177</v>
      </c>
      <c r="F24" s="5"/>
      <c r="I24" s="2"/>
    </row>
    <row r="25" spans="2:10" x14ac:dyDescent="0.35">
      <c r="B25" s="39">
        <v>2</v>
      </c>
      <c r="C25" t="s">
        <v>1</v>
      </c>
      <c r="E25" s="39"/>
      <c r="F25" t="s">
        <v>1</v>
      </c>
    </row>
    <row r="27" spans="2:10" ht="15" thickBot="1" x14ac:dyDescent="0.4">
      <c r="B27" s="20" t="s">
        <v>176</v>
      </c>
      <c r="C27" s="5"/>
      <c r="E27" s="17" t="s">
        <v>178</v>
      </c>
      <c r="F27" s="5"/>
    </row>
    <row r="28" spans="2:10" x14ac:dyDescent="0.35">
      <c r="B28" s="44">
        <v>10</v>
      </c>
      <c r="C28" s="2" t="s">
        <v>49</v>
      </c>
      <c r="E28" s="39"/>
      <c r="F28" t="s">
        <v>1</v>
      </c>
    </row>
    <row r="34" spans="1:12" ht="15" thickBot="1" x14ac:dyDescent="0.4"/>
    <row r="35" spans="1:12" ht="21.5" thickBot="1" x14ac:dyDescent="0.55000000000000004">
      <c r="B35" s="97" t="s">
        <v>75</v>
      </c>
      <c r="C35" s="97"/>
      <c r="D35" s="96">
        <f>D1</f>
        <v>45960</v>
      </c>
      <c r="E35" s="96"/>
      <c r="F35" s="96"/>
      <c r="H35" s="63" t="s">
        <v>111</v>
      </c>
      <c r="I35" s="64">
        <f>I1</f>
        <v>46005</v>
      </c>
      <c r="L35" s="19" t="s">
        <v>37</v>
      </c>
    </row>
    <row r="37" spans="1:12" ht="15" thickBot="1" x14ac:dyDescent="0.4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3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>
        <v>1</v>
      </c>
      <c r="I38" s="2" t="s">
        <v>19</v>
      </c>
      <c r="K38" s="39">
        <v>15</v>
      </c>
      <c r="L38" s="2" t="s">
        <v>19</v>
      </c>
    </row>
    <row r="39" spans="1:12" x14ac:dyDescent="0.35">
      <c r="A39">
        <f>ROUNDDOWN(B39/24,0)</f>
        <v>0</v>
      </c>
      <c r="B39" s="39">
        <v>4</v>
      </c>
      <c r="C39" s="2" t="s">
        <v>42</v>
      </c>
      <c r="D39">
        <f>ROUNDDOWN(E39/24,0)</f>
        <v>0</v>
      </c>
      <c r="E39" s="39"/>
      <c r="F39" s="2" t="s">
        <v>31</v>
      </c>
      <c r="H39" s="39">
        <v>24</v>
      </c>
      <c r="I39" s="2" t="s">
        <v>20</v>
      </c>
      <c r="K39" s="39">
        <v>23</v>
      </c>
      <c r="L39" s="2" t="s">
        <v>20</v>
      </c>
    </row>
    <row r="40" spans="1:12" x14ac:dyDescent="0.35">
      <c r="B40" s="39">
        <v>1</v>
      </c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35">
      <c r="B41" s="39"/>
      <c r="C41" s="2" t="s">
        <v>5</v>
      </c>
      <c r="D41">
        <f>ROUNDDOWN(E41/13,0)</f>
        <v>2</v>
      </c>
      <c r="E41" s="39">
        <v>27</v>
      </c>
      <c r="F41" s="2" t="s">
        <v>72</v>
      </c>
      <c r="H41" s="39"/>
      <c r="I41" s="2" t="s">
        <v>21</v>
      </c>
      <c r="K41" s="39">
        <v>1</v>
      </c>
      <c r="L41" s="2" t="s">
        <v>21</v>
      </c>
    </row>
    <row r="42" spans="1:12" x14ac:dyDescent="0.35">
      <c r="A42">
        <f>ROUNDDOWN(B42/20,0)</f>
        <v>0</v>
      </c>
      <c r="B42" s="39">
        <v>8</v>
      </c>
      <c r="C42" s="2" t="s">
        <v>6</v>
      </c>
      <c r="E42" s="39">
        <v>2</v>
      </c>
      <c r="F42" s="2" t="s">
        <v>46</v>
      </c>
      <c r="H42" s="39"/>
      <c r="I42" s="2" t="s">
        <v>23</v>
      </c>
      <c r="K42" s="39">
        <v>1</v>
      </c>
      <c r="L42" s="2" t="s">
        <v>23</v>
      </c>
    </row>
    <row r="43" spans="1:12" x14ac:dyDescent="0.35">
      <c r="B43" s="39">
        <v>6</v>
      </c>
      <c r="C43" s="2" t="s">
        <v>9</v>
      </c>
      <c r="D43">
        <f>ROUNDDOWN(E43/24,0)</f>
        <v>0</v>
      </c>
      <c r="E43" s="39"/>
      <c r="F43" s="16" t="s">
        <v>7</v>
      </c>
      <c r="H43" s="39">
        <v>11</v>
      </c>
      <c r="I43" s="2" t="s">
        <v>22</v>
      </c>
      <c r="K43" s="39">
        <v>23</v>
      </c>
      <c r="L43" s="2" t="s">
        <v>22</v>
      </c>
    </row>
    <row r="44" spans="1:12" x14ac:dyDescent="0.35">
      <c r="A44">
        <f>ROUNDDOWN(B44/24,0)</f>
        <v>1</v>
      </c>
      <c r="B44" s="39">
        <v>24</v>
      </c>
      <c r="C44" s="2" t="s">
        <v>7</v>
      </c>
      <c r="E44" s="39">
        <f>SUM(E38:E43)</f>
        <v>29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3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35">
      <c r="B46" s="39">
        <v>4</v>
      </c>
      <c r="C46" s="2" t="s">
        <v>43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35">
      <c r="B47" s="39">
        <v>1</v>
      </c>
      <c r="C47" s="2" t="s">
        <v>15</v>
      </c>
      <c r="H47" s="39">
        <v>26</v>
      </c>
      <c r="I47" s="16" t="s">
        <v>28</v>
      </c>
      <c r="K47" s="39">
        <v>72</v>
      </c>
      <c r="L47" s="16" t="s">
        <v>28</v>
      </c>
    </row>
    <row r="48" spans="1:12" x14ac:dyDescent="0.35">
      <c r="B48" s="39">
        <v>1</v>
      </c>
      <c r="C48" s="2" t="s">
        <v>14</v>
      </c>
      <c r="H48" s="39">
        <f>SUM(H38:H47)</f>
        <v>62</v>
      </c>
      <c r="I48" s="2" t="s">
        <v>35</v>
      </c>
      <c r="K48" s="39">
        <f>SUM(K38:K47)</f>
        <v>135</v>
      </c>
      <c r="L48" s="2" t="s">
        <v>35</v>
      </c>
    </row>
    <row r="49" spans="2:12" ht="15" thickBot="1" x14ac:dyDescent="0.4">
      <c r="B49" s="39"/>
      <c r="C49" s="2" t="s">
        <v>16</v>
      </c>
      <c r="E49" s="17" t="s">
        <v>119</v>
      </c>
      <c r="F49" s="17"/>
      <c r="L49" s="2"/>
    </row>
    <row r="50" spans="2:12" x14ac:dyDescent="0.3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35">
      <c r="B51" s="39"/>
      <c r="C51" s="2" t="s">
        <v>11</v>
      </c>
      <c r="E51" s="39"/>
      <c r="F51" s="2" t="s">
        <v>30</v>
      </c>
      <c r="G51" s="2"/>
    </row>
    <row r="52" spans="2:12" x14ac:dyDescent="0.35">
      <c r="B52" s="39"/>
      <c r="C52" s="2" t="s">
        <v>12</v>
      </c>
      <c r="E52" s="39"/>
      <c r="F52" s="16" t="s">
        <v>12</v>
      </c>
    </row>
    <row r="53" spans="2:12" ht="15" thickBot="1" x14ac:dyDescent="0.4">
      <c r="B53" s="39">
        <v>1</v>
      </c>
      <c r="C53" s="2" t="s">
        <v>13</v>
      </c>
      <c r="E53" s="39">
        <f>SUM(E50:E52)</f>
        <v>0</v>
      </c>
      <c r="F53" s="2" t="s">
        <v>35</v>
      </c>
      <c r="K53" s="17" t="s">
        <v>120</v>
      </c>
      <c r="L53" s="5"/>
    </row>
    <row r="54" spans="2:12" x14ac:dyDescent="0.35">
      <c r="B54" s="39"/>
      <c r="C54" s="16" t="s">
        <v>18</v>
      </c>
      <c r="I54" s="4"/>
      <c r="K54" s="39">
        <v>5</v>
      </c>
      <c r="L54" t="s">
        <v>49</v>
      </c>
    </row>
    <row r="55" spans="2:12" x14ac:dyDescent="0.35">
      <c r="B55" s="39">
        <f>SUM(B38:B54)</f>
        <v>50</v>
      </c>
      <c r="C55" s="2" t="s">
        <v>35</v>
      </c>
      <c r="I55" s="4"/>
      <c r="K55" s="39">
        <v>4</v>
      </c>
      <c r="L55" s="16" t="s">
        <v>2</v>
      </c>
    </row>
    <row r="56" spans="2:12" ht="15" thickBot="1" x14ac:dyDescent="0.4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35">
      <c r="C57" s="4"/>
      <c r="E57" s="39"/>
      <c r="F57" s="2" t="s">
        <v>29</v>
      </c>
      <c r="I57" s="2"/>
    </row>
    <row r="58" spans="2:12" x14ac:dyDescent="0.35">
      <c r="B58" s="4"/>
      <c r="C58" s="4"/>
      <c r="D58" s="4"/>
      <c r="E58" s="39"/>
      <c r="F58" s="2" t="s">
        <v>30</v>
      </c>
      <c r="J58" s="6"/>
    </row>
    <row r="59" spans="2:12" ht="15" thickBot="1" x14ac:dyDescent="0.4">
      <c r="B59" s="4"/>
      <c r="C59" s="4"/>
      <c r="D59" s="4"/>
      <c r="E59" s="39"/>
      <c r="F59" s="16" t="s">
        <v>12</v>
      </c>
      <c r="G59" s="4"/>
      <c r="J59" s="2"/>
      <c r="K59" s="17" t="s">
        <v>181</v>
      </c>
      <c r="L59" s="5"/>
    </row>
    <row r="60" spans="2:12" x14ac:dyDescent="0.35">
      <c r="B60" s="8"/>
      <c r="C60" s="7"/>
      <c r="D60" s="9"/>
      <c r="E60" s="39">
        <f>SUM(E57:E59)</f>
        <v>0</v>
      </c>
      <c r="F60" s="2" t="s">
        <v>35</v>
      </c>
      <c r="J60" s="2"/>
      <c r="K60" s="39"/>
      <c r="L60" t="s">
        <v>1</v>
      </c>
    </row>
    <row r="61" spans="2:12" x14ac:dyDescent="0.35">
      <c r="D61" s="10"/>
      <c r="E61" s="2"/>
      <c r="J61" s="2"/>
    </row>
    <row r="62" spans="2:12" x14ac:dyDescent="0.35">
      <c r="D62" s="10"/>
      <c r="J62" s="2"/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9" spans="2:12" ht="21" x14ac:dyDescent="0.5">
      <c r="B69" s="19" t="s">
        <v>60</v>
      </c>
    </row>
    <row r="71" spans="2:12" ht="15" thickBot="1" x14ac:dyDescent="0.4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35">
      <c r="B72" s="31">
        <f>B4+E4+B38</f>
        <v>1</v>
      </c>
      <c r="C72" s="2" t="s">
        <v>41</v>
      </c>
      <c r="D72" s="35">
        <f>E72*15</f>
        <v>270</v>
      </c>
      <c r="E72" s="36">
        <f t="shared" ref="E72:E81" si="0">K4+H38+K38</f>
        <v>18</v>
      </c>
      <c r="F72" s="2" t="s">
        <v>19</v>
      </c>
      <c r="H72" s="13">
        <f>H4+E38</f>
        <v>3</v>
      </c>
      <c r="I72" s="2" t="s">
        <v>44</v>
      </c>
      <c r="K72" s="47">
        <f>B9+E8+H8+B43+E42</f>
        <v>30</v>
      </c>
      <c r="L72" s="2" t="s">
        <v>9</v>
      </c>
    </row>
    <row r="73" spans="2:12" x14ac:dyDescent="0.35">
      <c r="B73" s="26">
        <f>B5+E5+B39</f>
        <v>10</v>
      </c>
      <c r="C73" s="2" t="s">
        <v>42</v>
      </c>
      <c r="D73" s="35">
        <f t="shared" ref="D73:D79" si="1">E73*15</f>
        <v>825</v>
      </c>
      <c r="E73" s="37">
        <f t="shared" si="0"/>
        <v>55</v>
      </c>
      <c r="F73" s="2" t="s">
        <v>20</v>
      </c>
      <c r="H73" s="47">
        <f>H5+H15+E50+E39+E57</f>
        <v>8</v>
      </c>
      <c r="I73" s="2" t="s">
        <v>45</v>
      </c>
      <c r="K73" s="47">
        <f>B10+E9+H9+B44+E43</f>
        <v>48</v>
      </c>
      <c r="L73" s="2" t="s">
        <v>7</v>
      </c>
    </row>
    <row r="74" spans="2:12" x14ac:dyDescent="0.3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5</v>
      </c>
      <c r="L74" s="2" t="s">
        <v>8</v>
      </c>
    </row>
    <row r="75" spans="2:12" x14ac:dyDescent="0.35">
      <c r="B75" s="26">
        <f>B7+E7+B41</f>
        <v>2</v>
      </c>
      <c r="C75" s="2" t="s">
        <v>5</v>
      </c>
      <c r="D75" s="35">
        <f t="shared" si="1"/>
        <v>15</v>
      </c>
      <c r="E75" s="37">
        <f t="shared" si="0"/>
        <v>1</v>
      </c>
      <c r="F75" s="2" t="s">
        <v>21</v>
      </c>
      <c r="H75" s="14">
        <f>H7+E41</f>
        <v>41</v>
      </c>
      <c r="I75" s="2" t="s">
        <v>71</v>
      </c>
      <c r="K75" s="47">
        <f>B28+K54</f>
        <v>15</v>
      </c>
      <c r="L75" s="2" t="s">
        <v>49</v>
      </c>
    </row>
    <row r="76" spans="2:12" x14ac:dyDescent="0.35">
      <c r="B76" s="26">
        <f>B8+B42</f>
        <v>34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5</v>
      </c>
      <c r="L76" s="2" t="s">
        <v>43</v>
      </c>
    </row>
    <row r="77" spans="2:12" x14ac:dyDescent="0.35">
      <c r="B77" s="26">
        <f>B13+B47</f>
        <v>1</v>
      </c>
      <c r="C77" s="2" t="s">
        <v>15</v>
      </c>
      <c r="D77" s="35">
        <f>E77*10</f>
        <v>390</v>
      </c>
      <c r="E77" s="37">
        <f t="shared" si="0"/>
        <v>39</v>
      </c>
      <c r="F77" s="2" t="s">
        <v>22</v>
      </c>
      <c r="K77" s="47">
        <f>K55</f>
        <v>4</v>
      </c>
      <c r="L77" s="2" t="s">
        <v>2</v>
      </c>
    </row>
    <row r="78" spans="2:12" x14ac:dyDescent="0.3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3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3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35">
      <c r="D81" s="35">
        <f>E81*8</f>
        <v>856</v>
      </c>
      <c r="E81" s="37">
        <f t="shared" si="0"/>
        <v>107</v>
      </c>
      <c r="F81" s="2" t="s">
        <v>28</v>
      </c>
    </row>
    <row r="86" spans="2:12" ht="15" thickBot="1" x14ac:dyDescent="0.4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35">
      <c r="B87" s="13">
        <f>B14+B48</f>
        <v>1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3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35">
      <c r="B89" s="13">
        <f>B16+B50</f>
        <v>0</v>
      </c>
      <c r="C89" s="2" t="s">
        <v>17</v>
      </c>
      <c r="G89" s="35">
        <f>H89*10</f>
        <v>50</v>
      </c>
      <c r="H89" s="29">
        <f>K74</f>
        <v>5</v>
      </c>
      <c r="I89" s="2" t="s">
        <v>8</v>
      </c>
      <c r="K89" s="14">
        <f>A8+A42</f>
        <v>1</v>
      </c>
      <c r="L89" s="2" t="s">
        <v>6</v>
      </c>
    </row>
    <row r="90" spans="2:12" x14ac:dyDescent="0.3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44</v>
      </c>
    </row>
    <row r="91" spans="2:12" x14ac:dyDescent="0.35">
      <c r="B91" s="13">
        <f>B18+B52+H17+E52+E59</f>
        <v>0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45</v>
      </c>
    </row>
    <row r="92" spans="2:12" x14ac:dyDescent="0.35">
      <c r="B92" s="13">
        <f>B19+B53</f>
        <v>1</v>
      </c>
      <c r="C92" s="2" t="s">
        <v>13</v>
      </c>
      <c r="G92" s="35">
        <f>H92*5</f>
        <v>170</v>
      </c>
      <c r="H92" s="21">
        <f>B76</f>
        <v>34</v>
      </c>
      <c r="I92" s="2" t="s">
        <v>48</v>
      </c>
      <c r="K92" s="14">
        <f>G7+D41</f>
        <v>3</v>
      </c>
      <c r="L92" s="2" t="s">
        <v>72</v>
      </c>
    </row>
    <row r="93" spans="2:12" x14ac:dyDescent="0.35">
      <c r="B93" s="13">
        <f>B20+B54</f>
        <v>0</v>
      </c>
      <c r="C93" s="2" t="s">
        <v>18</v>
      </c>
      <c r="G93" s="35">
        <f>H93*8</f>
        <v>328</v>
      </c>
      <c r="H93" s="21">
        <f>H75</f>
        <v>41</v>
      </c>
      <c r="I93" s="2" t="s">
        <v>72</v>
      </c>
      <c r="K93" s="14">
        <f>A10+G9+A44+D43</f>
        <v>1</v>
      </c>
      <c r="L93" s="2" t="s">
        <v>7</v>
      </c>
    </row>
    <row r="94" spans="2:12" x14ac:dyDescent="0.3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B8" sqref="B8"/>
    </sheetView>
  </sheetViews>
  <sheetFormatPr defaultRowHeight="14.5" x14ac:dyDescent="0.35"/>
  <cols>
    <col min="1" max="1" width="3.453125" customWidth="1"/>
    <col min="2" max="2" width="6.26953125" customWidth="1"/>
    <col min="3" max="3" width="16.1796875" customWidth="1"/>
    <col min="4" max="4" width="7.54296875" customWidth="1"/>
    <col min="5" max="5" width="5" customWidth="1"/>
    <col min="6" max="6" width="16.7265625" customWidth="1"/>
    <col min="7" max="7" width="6.26953125" customWidth="1"/>
    <col min="8" max="8" width="4.81640625" customWidth="1"/>
    <col min="9" max="9" width="15.26953125" customWidth="1"/>
    <col min="10" max="10" width="2.7265625" customWidth="1"/>
    <col min="11" max="11" width="5.1796875" customWidth="1"/>
    <col min="12" max="12" width="16.1796875" customWidth="1"/>
    <col min="13" max="13" width="2.7265625" customWidth="1"/>
    <col min="14" max="14" width="4.7265625" customWidth="1"/>
    <col min="15" max="15" width="8.81640625" customWidth="1"/>
    <col min="16" max="16" width="3.26953125" customWidth="1"/>
  </cols>
  <sheetData>
    <row r="1" spans="1:15" ht="18.399999999999999" customHeight="1" thickBot="1" x14ac:dyDescent="0.55000000000000004">
      <c r="B1" s="97" t="s">
        <v>75</v>
      </c>
      <c r="C1" s="97"/>
      <c r="D1" s="96">
        <f>DATE(2024,12,30)+(Mon!C2-1)*7+4</f>
        <v>45961</v>
      </c>
      <c r="E1" s="96"/>
      <c r="F1" s="96"/>
      <c r="H1" s="63" t="s">
        <v>111</v>
      </c>
      <c r="I1" s="64">
        <f>Mon!D1+49-1</f>
        <v>46005</v>
      </c>
    </row>
    <row r="2" spans="1:15" ht="3.65" customHeight="1" x14ac:dyDescent="0.35"/>
    <row r="3" spans="1:15" ht="12.75" customHeight="1" thickBot="1" x14ac:dyDescent="0.4">
      <c r="B3" s="17" t="s">
        <v>66</v>
      </c>
      <c r="C3" s="17"/>
      <c r="E3" s="17" t="s">
        <v>183</v>
      </c>
      <c r="F3" s="17"/>
      <c r="H3" s="17" t="s">
        <v>190</v>
      </c>
      <c r="I3" s="17"/>
      <c r="K3" s="17" t="s">
        <v>187</v>
      </c>
      <c r="L3" s="27"/>
      <c r="N3" s="17" t="s">
        <v>192</v>
      </c>
      <c r="O3" s="17"/>
    </row>
    <row r="4" spans="1:15" ht="12.75" customHeight="1" x14ac:dyDescent="0.3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4</v>
      </c>
      <c r="O4" s="2" t="s">
        <v>41</v>
      </c>
    </row>
    <row r="5" spans="1:15" ht="12.75" customHeight="1" x14ac:dyDescent="0.3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3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4</v>
      </c>
      <c r="L5" s="2" t="s">
        <v>42</v>
      </c>
      <c r="N5" s="39">
        <v>6</v>
      </c>
      <c r="O5" s="2" t="s">
        <v>42</v>
      </c>
    </row>
    <row r="6" spans="1:15" ht="12.75" customHeight="1" x14ac:dyDescent="0.3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2</v>
      </c>
      <c r="O6" s="2" t="s">
        <v>4</v>
      </c>
    </row>
    <row r="7" spans="1:15" ht="12.75" customHeight="1" x14ac:dyDescent="0.35">
      <c r="B7" s="39">
        <v>2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35">
      <c r="A8">
        <f>ROUNDDOWN(B8/20,0)</f>
        <v>2</v>
      </c>
      <c r="B8" s="39">
        <v>40</v>
      </c>
      <c r="C8" s="2" t="s">
        <v>6</v>
      </c>
      <c r="D8">
        <f>ROUNDDOWN(E8/20,0)</f>
        <v>0</v>
      </c>
      <c r="E8" s="39">
        <v>10</v>
      </c>
      <c r="F8" s="2" t="s">
        <v>6</v>
      </c>
      <c r="G8">
        <f>ROUNDDOWN(H8/20,0)</f>
        <v>1</v>
      </c>
      <c r="H8" s="39">
        <v>28</v>
      </c>
      <c r="I8" s="2" t="s">
        <v>6</v>
      </c>
      <c r="K8" s="39">
        <v>8</v>
      </c>
      <c r="L8" s="2" t="s">
        <v>6</v>
      </c>
      <c r="N8" s="39">
        <v>30</v>
      </c>
      <c r="O8" s="2" t="s">
        <v>6</v>
      </c>
    </row>
    <row r="9" spans="1:15" ht="12.75" customHeight="1" x14ac:dyDescent="0.35">
      <c r="B9" s="39">
        <v>6</v>
      </c>
      <c r="C9" s="2" t="s">
        <v>9</v>
      </c>
      <c r="E9" s="39">
        <v>1</v>
      </c>
      <c r="F9" s="2" t="s">
        <v>9</v>
      </c>
      <c r="H9" s="39">
        <v>6</v>
      </c>
      <c r="I9" s="2" t="s">
        <v>9</v>
      </c>
      <c r="K9" s="39">
        <v>2</v>
      </c>
      <c r="L9" s="2" t="s">
        <v>9</v>
      </c>
      <c r="N9" s="39">
        <v>6</v>
      </c>
      <c r="O9" s="2" t="s">
        <v>9</v>
      </c>
    </row>
    <row r="10" spans="1:15" ht="12.75" customHeight="1" x14ac:dyDescent="0.3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4</v>
      </c>
      <c r="L10" s="2" t="s">
        <v>7</v>
      </c>
      <c r="N10" s="39">
        <v>10</v>
      </c>
      <c r="O10" s="2" t="s">
        <v>7</v>
      </c>
    </row>
    <row r="11" spans="1:15" ht="12.75" customHeight="1" x14ac:dyDescent="0.3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1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10</v>
      </c>
      <c r="O11" s="2" t="s">
        <v>8</v>
      </c>
    </row>
    <row r="12" spans="1:15" ht="12.75" customHeight="1" x14ac:dyDescent="0.35">
      <c r="B12" s="39">
        <v>5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35">
      <c r="B13" s="39">
        <v>6</v>
      </c>
      <c r="C13" s="2" t="s">
        <v>15</v>
      </c>
      <c r="E13" s="39">
        <v>1</v>
      </c>
      <c r="F13" s="2" t="s">
        <v>15</v>
      </c>
      <c r="H13" s="39">
        <v>1</v>
      </c>
      <c r="I13" s="2" t="s">
        <v>15</v>
      </c>
      <c r="K13" s="39">
        <f>SUM(K4:K12)</f>
        <v>18</v>
      </c>
      <c r="L13" s="40" t="s">
        <v>35</v>
      </c>
      <c r="N13" s="39">
        <f>SUM(N4:N12)</f>
        <v>68</v>
      </c>
      <c r="O13" s="22" t="s">
        <v>35</v>
      </c>
    </row>
    <row r="14" spans="1:15" ht="12.75" customHeight="1" x14ac:dyDescent="0.3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4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3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12</v>
      </c>
      <c r="L16" s="75" t="s">
        <v>43</v>
      </c>
    </row>
    <row r="17" spans="1:15" ht="12.75" customHeight="1" x14ac:dyDescent="0.3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4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184</v>
      </c>
      <c r="L18" s="78"/>
    </row>
    <row r="19" spans="1:15" ht="12.75" customHeight="1" x14ac:dyDescent="0.3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15</v>
      </c>
      <c r="L19" s="75" t="s">
        <v>43</v>
      </c>
    </row>
    <row r="20" spans="1:15" ht="12.75" customHeight="1" x14ac:dyDescent="0.3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4">
      <c r="B21" s="39">
        <f>SUM(B4:B20)</f>
        <v>75</v>
      </c>
      <c r="C21" s="22" t="s">
        <v>35</v>
      </c>
      <c r="E21" s="39">
        <f>SUM(E4:E20)</f>
        <v>20</v>
      </c>
      <c r="F21" s="22" t="s">
        <v>35</v>
      </c>
      <c r="H21" s="39">
        <f>SUM(H4:H20)</f>
        <v>51</v>
      </c>
      <c r="I21" s="22" t="s">
        <v>35</v>
      </c>
      <c r="K21" s="77" t="s">
        <v>185</v>
      </c>
      <c r="L21" s="78"/>
    </row>
    <row r="22" spans="1:15" ht="13.15" customHeight="1" x14ac:dyDescent="0.35">
      <c r="K22" s="74">
        <v>5</v>
      </c>
      <c r="L22" s="75" t="s">
        <v>43</v>
      </c>
    </row>
    <row r="23" spans="1:15" ht="12.75" customHeight="1" thickBot="1" x14ac:dyDescent="0.4">
      <c r="B23" s="20" t="s">
        <v>140</v>
      </c>
      <c r="C23" s="5"/>
      <c r="E23" s="20" t="s">
        <v>191</v>
      </c>
      <c r="F23" s="5"/>
      <c r="H23" s="17" t="s">
        <v>189</v>
      </c>
      <c r="I23" s="17"/>
      <c r="K23" s="76"/>
      <c r="L23" s="75"/>
    </row>
    <row r="24" spans="1:15" ht="12.75" customHeight="1" thickBot="1" x14ac:dyDescent="0.4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3</v>
      </c>
      <c r="I24" s="2" t="s">
        <v>29</v>
      </c>
      <c r="K24" s="77" t="s">
        <v>186</v>
      </c>
      <c r="L24" s="83"/>
    </row>
    <row r="25" spans="1:15" ht="12.75" customHeight="1" x14ac:dyDescent="0.35">
      <c r="A25">
        <f>ROUNDDOWN(B25/24,0)</f>
        <v>0</v>
      </c>
      <c r="B25" s="39">
        <v>8</v>
      </c>
      <c r="C25" s="2" t="s">
        <v>45</v>
      </c>
      <c r="D25">
        <f>ROUNDDOWN(E25/24,0)</f>
        <v>0</v>
      </c>
      <c r="E25" s="39">
        <v>10</v>
      </c>
      <c r="F25" s="2" t="s">
        <v>45</v>
      </c>
      <c r="H25" s="39">
        <v>0</v>
      </c>
      <c r="I25" s="2" t="s">
        <v>30</v>
      </c>
      <c r="K25" s="74">
        <v>28</v>
      </c>
      <c r="L25" s="84" t="s">
        <v>43</v>
      </c>
    </row>
    <row r="26" spans="1:15" ht="12.75" customHeight="1" x14ac:dyDescent="0.35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117</v>
      </c>
      <c r="K26" s="95">
        <v>2</v>
      </c>
      <c r="L26" s="75" t="s">
        <v>194</v>
      </c>
    </row>
    <row r="27" spans="1:15" ht="12.75" customHeight="1" thickBot="1" x14ac:dyDescent="0.4">
      <c r="A27">
        <f>ROUNDDOWN(B27/13,0)</f>
        <v>0</v>
      </c>
      <c r="B27" s="39">
        <v>6</v>
      </c>
      <c r="C27" s="2" t="s">
        <v>72</v>
      </c>
      <c r="D27">
        <f>ROUNDDOWN(E27/13,0)</f>
        <v>0</v>
      </c>
      <c r="E27" s="39">
        <v>7</v>
      </c>
      <c r="F27" s="2" t="s">
        <v>72</v>
      </c>
      <c r="H27" s="39">
        <f>SUM(H24:H26)</f>
        <v>3</v>
      </c>
      <c r="I27" s="22" t="s">
        <v>35</v>
      </c>
      <c r="K27" s="77" t="s">
        <v>127</v>
      </c>
      <c r="L27" s="78"/>
    </row>
    <row r="28" spans="1:15" ht="12.75" customHeight="1" x14ac:dyDescent="0.35">
      <c r="B28" s="39">
        <v>2</v>
      </c>
      <c r="C28" s="2" t="s">
        <v>46</v>
      </c>
      <c r="E28" s="39">
        <v>8</v>
      </c>
      <c r="F28" s="2" t="s">
        <v>46</v>
      </c>
      <c r="K28" s="74">
        <v>20</v>
      </c>
      <c r="L28" s="84" t="s">
        <v>43</v>
      </c>
    </row>
    <row r="29" spans="1:15" ht="12.75" customHeight="1" x14ac:dyDescent="0.35">
      <c r="A29">
        <f>ROUNDDOWN(B29/24,0)</f>
        <v>0</v>
      </c>
      <c r="B29" s="39">
        <v>10</v>
      </c>
      <c r="C29" s="16" t="s">
        <v>7</v>
      </c>
      <c r="D29">
        <f>ROUNDDOWN(E29/24,0)</f>
        <v>0</v>
      </c>
      <c r="E29" s="39">
        <v>4</v>
      </c>
      <c r="F29" s="16" t="s">
        <v>7</v>
      </c>
      <c r="I29" s="3"/>
      <c r="K29" s="76"/>
      <c r="L29" s="75"/>
    </row>
    <row r="30" spans="1:15" ht="12.75" customHeight="1" thickBot="1" x14ac:dyDescent="0.4">
      <c r="B30" s="39">
        <f>SUM(B24:B29)</f>
        <v>28</v>
      </c>
      <c r="C30" s="22" t="s">
        <v>35</v>
      </c>
      <c r="E30" s="39">
        <f>SUM(E24:E29)</f>
        <v>31</v>
      </c>
      <c r="F30" s="22" t="s">
        <v>35</v>
      </c>
      <c r="K30" s="85" t="s">
        <v>114</v>
      </c>
      <c r="L30" s="79"/>
    </row>
    <row r="31" spans="1:15" ht="12.75" customHeight="1" x14ac:dyDescent="0.35">
      <c r="K31" s="86">
        <f>K16+K19+K22+K25+K28</f>
        <v>80</v>
      </c>
      <c r="L31" s="87" t="s">
        <v>43</v>
      </c>
    </row>
    <row r="32" spans="1:15" ht="12.75" customHeight="1" x14ac:dyDescent="0.35">
      <c r="B32" s="2" t="s">
        <v>36</v>
      </c>
      <c r="C32" s="16">
        <v>4879384519</v>
      </c>
      <c r="E32" s="2" t="s">
        <v>36</v>
      </c>
      <c r="F32" s="13">
        <v>4879410584</v>
      </c>
      <c r="N32" s="22"/>
      <c r="O32" s="22"/>
    </row>
    <row r="33" spans="2:15" ht="4.1500000000000004" customHeight="1" x14ac:dyDescent="0.35">
      <c r="N33" s="42"/>
      <c r="O33" s="2"/>
    </row>
    <row r="34" spans="2:15" ht="12.75" customHeight="1" thickBot="1" x14ac:dyDescent="0.4">
      <c r="B34" s="17" t="s">
        <v>143</v>
      </c>
      <c r="C34" s="17"/>
      <c r="E34" s="17" t="s">
        <v>70</v>
      </c>
      <c r="F34" s="5"/>
      <c r="H34" s="17" t="s">
        <v>182</v>
      </c>
      <c r="I34" s="5"/>
      <c r="K34" s="17" t="s">
        <v>188</v>
      </c>
      <c r="L34" s="5"/>
    </row>
    <row r="35" spans="2:15" ht="12.75" customHeight="1" x14ac:dyDescent="0.35">
      <c r="B35" s="39">
        <v>8</v>
      </c>
      <c r="C35" s="2" t="s">
        <v>47</v>
      </c>
      <c r="E35" s="21">
        <v>0</v>
      </c>
      <c r="F35" t="s">
        <v>1</v>
      </c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3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4">
      <c r="B37" s="39">
        <v>8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35">
      <c r="B38" s="39">
        <f>SUM(B35:B37)</f>
        <v>16</v>
      </c>
      <c r="C38" s="22" t="s">
        <v>35</v>
      </c>
      <c r="E38" s="21">
        <v>12</v>
      </c>
      <c r="F38" t="s">
        <v>43</v>
      </c>
    </row>
    <row r="39" spans="2:15" ht="12.75" customHeight="1" x14ac:dyDescent="0.35">
      <c r="E39" s="13">
        <v>30</v>
      </c>
      <c r="F39" s="16" t="s">
        <v>48</v>
      </c>
    </row>
    <row r="40" spans="2:15" ht="12.65" customHeight="1" x14ac:dyDescent="0.35">
      <c r="E40" s="11">
        <f>SUM(E38:E39)</f>
        <v>42</v>
      </c>
      <c r="F40" s="2" t="s">
        <v>35</v>
      </c>
    </row>
    <row r="41" spans="2:15" ht="20.5" customHeight="1" x14ac:dyDescent="0.5">
      <c r="B41" s="19" t="s">
        <v>60</v>
      </c>
      <c r="E41" s="11"/>
      <c r="F41" s="2"/>
    </row>
    <row r="43" spans="2:15" ht="15" thickBot="1" x14ac:dyDescent="0.4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35">
      <c r="B44" s="31">
        <f>B4+E4+K4+H4+N4</f>
        <v>6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44</v>
      </c>
      <c r="K44" s="47">
        <f>B9+E9+B29+K9+E29+H9+N9</f>
        <v>35</v>
      </c>
      <c r="L44" s="2" t="s">
        <v>9</v>
      </c>
    </row>
    <row r="45" spans="2:15" x14ac:dyDescent="0.35">
      <c r="B45" s="26">
        <f>B5+E5+K5+H5+N5</f>
        <v>22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21</v>
      </c>
      <c r="I45" s="2" t="s">
        <v>45</v>
      </c>
      <c r="K45" s="47">
        <f>B37+B10+B28+E10+K10+H10+N10+E28</f>
        <v>45</v>
      </c>
      <c r="L45" s="2" t="s">
        <v>7</v>
      </c>
    </row>
    <row r="46" spans="2:15" x14ac:dyDescent="0.3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20</v>
      </c>
      <c r="L46" s="2" t="s">
        <v>8</v>
      </c>
    </row>
    <row r="47" spans="2:15" x14ac:dyDescent="0.3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13</v>
      </c>
      <c r="I47" s="2" t="s">
        <v>71</v>
      </c>
      <c r="K47" s="13"/>
      <c r="L47" s="2" t="s">
        <v>49</v>
      </c>
    </row>
    <row r="48" spans="2:15" x14ac:dyDescent="0.35">
      <c r="B48" s="26">
        <f>B8+E8+K8+H8+N8+E39</f>
        <v>146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87</v>
      </c>
      <c r="L48" s="2" t="s">
        <v>43</v>
      </c>
    </row>
    <row r="49" spans="2:12" x14ac:dyDescent="0.35">
      <c r="B49" s="26">
        <f>B13+E13+H13</f>
        <v>8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3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3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35">
      <c r="C52" s="2"/>
      <c r="D52" s="35">
        <f>E52*8</f>
        <v>0</v>
      </c>
      <c r="E52" s="14"/>
      <c r="F52" s="2" t="s">
        <v>26</v>
      </c>
    </row>
    <row r="53" spans="2:12" x14ac:dyDescent="0.35">
      <c r="D53" s="35">
        <f>E53*8</f>
        <v>0</v>
      </c>
      <c r="E53" s="14"/>
      <c r="F53" s="2" t="s">
        <v>28</v>
      </c>
    </row>
    <row r="58" spans="2:12" ht="15" thickBot="1" x14ac:dyDescent="0.4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35">
      <c r="B59" s="13">
        <f>B14+E14+H14</f>
        <v>0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35">
      <c r="B60" s="13">
        <f>B15+E15+H15</f>
        <v>0</v>
      </c>
      <c r="C60" s="2" t="s">
        <v>16</v>
      </c>
      <c r="G60" s="35">
        <f t="shared" ref="G60:G62" si="1">H60*15</f>
        <v>120</v>
      </c>
      <c r="H60" s="21">
        <f>B49</f>
        <v>8</v>
      </c>
      <c r="I60" s="2" t="s">
        <v>15</v>
      </c>
      <c r="K60" s="14">
        <f>A5+D5+G5</f>
        <v>0</v>
      </c>
      <c r="L60" t="s">
        <v>42</v>
      </c>
    </row>
    <row r="61" spans="2:12" x14ac:dyDescent="0.35">
      <c r="B61" s="13">
        <f>B16+E16+H16</f>
        <v>0</v>
      </c>
      <c r="C61" s="2" t="s">
        <v>17</v>
      </c>
      <c r="G61" s="35">
        <f>H61*10</f>
        <v>200</v>
      </c>
      <c r="H61" s="29">
        <f>K46</f>
        <v>20</v>
      </c>
      <c r="I61" s="2" t="s">
        <v>8</v>
      </c>
      <c r="K61" s="13">
        <f>A8+D8+G8</f>
        <v>3</v>
      </c>
      <c r="L61" s="2" t="s">
        <v>6</v>
      </c>
    </row>
    <row r="62" spans="2:12" x14ac:dyDescent="0.3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44</v>
      </c>
    </row>
    <row r="63" spans="2:12" x14ac:dyDescent="0.3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45</v>
      </c>
    </row>
    <row r="64" spans="2:12" x14ac:dyDescent="0.35">
      <c r="B64" s="13">
        <f>B19+E19+H19</f>
        <v>0</v>
      </c>
      <c r="C64" s="2" t="s">
        <v>13</v>
      </c>
      <c r="G64" s="35">
        <f>H64*5</f>
        <v>730</v>
      </c>
      <c r="H64" s="21">
        <f>B48</f>
        <v>146</v>
      </c>
      <c r="I64" s="2" t="s">
        <v>48</v>
      </c>
      <c r="K64" s="14">
        <f>A27+D27</f>
        <v>0</v>
      </c>
      <c r="L64" s="2" t="s">
        <v>72</v>
      </c>
    </row>
    <row r="65" spans="2:12" x14ac:dyDescent="0.35">
      <c r="B65" s="13">
        <f>B20+E20+H20</f>
        <v>0</v>
      </c>
      <c r="C65" s="2" t="s">
        <v>18</v>
      </c>
      <c r="G65" s="35">
        <f>H65*8</f>
        <v>104</v>
      </c>
      <c r="H65" s="21">
        <f>H47</f>
        <v>13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35">
      <c r="K66" s="14">
        <f>A11+D11+G11</f>
        <v>0</v>
      </c>
      <c r="L66" s="2" t="s">
        <v>8</v>
      </c>
    </row>
    <row r="67" spans="2:12" x14ac:dyDescent="0.35">
      <c r="J67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</row>
    <row r="73" spans="2:12" x14ac:dyDescent="0.35">
      <c r="C73" s="2"/>
      <c r="F73" s="2"/>
      <c r="I73" s="2"/>
    </row>
    <row r="74" spans="2:12" x14ac:dyDescent="0.35">
      <c r="C74" s="2"/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H28" sqref="H28"/>
    </sheetView>
  </sheetViews>
  <sheetFormatPr defaultRowHeight="14.5" x14ac:dyDescent="0.35"/>
  <cols>
    <col min="1" max="1" width="6.26953125" customWidth="1"/>
    <col min="2" max="2" width="8.453125" customWidth="1"/>
    <col min="3" max="3" width="12.26953125" customWidth="1"/>
    <col min="4" max="4" width="5" customWidth="1"/>
    <col min="5" max="5" width="8.7265625" customWidth="1"/>
    <col min="6" max="6" width="6.7265625" customWidth="1"/>
    <col min="7" max="7" width="10.26953125" customWidth="1"/>
    <col min="8" max="8" width="6.26953125" customWidth="1"/>
    <col min="9" max="9" width="7.54296875" customWidth="1"/>
    <col min="10" max="10" width="6.26953125" customWidth="1"/>
    <col min="11" max="11" width="16.1796875" customWidth="1"/>
    <col min="12" max="12" width="4.453125" customWidth="1"/>
    <col min="13" max="13" width="4.1796875" customWidth="1"/>
    <col min="14" max="14" width="8.81640625" customWidth="1"/>
    <col min="15" max="15" width="4.453125" customWidth="1"/>
  </cols>
  <sheetData>
    <row r="1" spans="1:14" ht="18.399999999999999" customHeight="1" thickBot="1" x14ac:dyDescent="0.55000000000000004">
      <c r="A1" s="97" t="s">
        <v>78</v>
      </c>
      <c r="B1" s="97"/>
      <c r="C1" s="45">
        <f>Mon!C2+1</f>
        <v>45</v>
      </c>
      <c r="D1" s="46"/>
      <c r="E1" s="46"/>
      <c r="F1" s="63" t="s">
        <v>111</v>
      </c>
      <c r="G1" s="64">
        <f>Mon!D1+49-1</f>
        <v>46005</v>
      </c>
    </row>
    <row r="2" spans="1:14" ht="12.4" customHeight="1" x14ac:dyDescent="0.35"/>
    <row r="3" spans="1:14" ht="12.75" customHeight="1" x14ac:dyDescent="0.35">
      <c r="D3" s="18"/>
      <c r="G3" s="22"/>
      <c r="J3" s="22"/>
      <c r="K3" s="2"/>
      <c r="M3" s="22"/>
      <c r="N3" s="22"/>
    </row>
    <row r="4" spans="1:14" ht="12.75" customHeight="1" thickBot="1" x14ac:dyDescent="0.4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3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35">
      <c r="A6" s="35">
        <f t="shared" ref="A6:A12" si="0">B6/48</f>
        <v>7</v>
      </c>
      <c r="B6" s="39">
        <v>336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4</v>
      </c>
      <c r="J6" s="39">
        <v>192</v>
      </c>
      <c r="K6" s="2" t="s">
        <v>43</v>
      </c>
      <c r="M6" s="42"/>
      <c r="N6" s="2"/>
    </row>
    <row r="7" spans="1:14" ht="12.75" customHeight="1" x14ac:dyDescent="0.3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3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3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</v>
      </c>
      <c r="J9" s="39">
        <v>144</v>
      </c>
      <c r="K9" s="2" t="s">
        <v>54</v>
      </c>
      <c r="M9" s="42"/>
      <c r="N9" s="2"/>
    </row>
    <row r="10" spans="1:14" ht="12.75" customHeight="1" x14ac:dyDescent="0.3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3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35">
      <c r="A12" s="35">
        <f t="shared" si="0"/>
        <v>12</v>
      </c>
      <c r="B12" s="44">
        <f>SUM(B5:B11)</f>
        <v>576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3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35">
      <c r="A14" s="42"/>
      <c r="B14" s="2"/>
      <c r="D14" s="42"/>
      <c r="G14" s="42"/>
      <c r="H14" s="2"/>
      <c r="J14" s="42"/>
      <c r="K14" s="2"/>
    </row>
    <row r="15" spans="1:14" ht="12.75" customHeight="1" x14ac:dyDescent="0.35">
      <c r="A15" s="42"/>
      <c r="B15" s="2"/>
      <c r="F15" s="2"/>
      <c r="G15" s="42"/>
      <c r="H15" s="2"/>
      <c r="J15" s="42"/>
      <c r="K15" s="2"/>
    </row>
    <row r="16" spans="1:14" ht="12.75" customHeight="1" x14ac:dyDescent="0.3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3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3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3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35">
      <c r="A20" s="42"/>
      <c r="B20" s="2"/>
      <c r="G20" s="42"/>
      <c r="H20" s="2"/>
      <c r="J20" s="42"/>
      <c r="K20" s="2"/>
    </row>
    <row r="21" spans="1:14" ht="12.75" customHeight="1" x14ac:dyDescent="0.35">
      <c r="D21" s="22"/>
      <c r="E21" s="22"/>
      <c r="G21" s="42"/>
      <c r="H21" s="2"/>
      <c r="J21" s="42"/>
      <c r="K21" s="2"/>
    </row>
    <row r="22" spans="1:14" ht="12.75" customHeight="1" x14ac:dyDescent="0.35">
      <c r="D22" s="42"/>
      <c r="E22" s="2"/>
      <c r="G22" s="42"/>
      <c r="H22" s="2"/>
      <c r="J22" s="42"/>
      <c r="K22" s="2"/>
    </row>
    <row r="23" spans="1:14" ht="12.75" customHeight="1" x14ac:dyDescent="0.35">
      <c r="D23" s="42"/>
      <c r="E23" s="2"/>
      <c r="G23" s="42"/>
      <c r="H23" s="40"/>
      <c r="J23" s="42"/>
      <c r="K23" s="2"/>
    </row>
    <row r="24" spans="1:14" ht="12.75" customHeight="1" x14ac:dyDescent="0.35">
      <c r="D24" s="42"/>
      <c r="E24" s="2"/>
      <c r="J24" s="42"/>
      <c r="K24" s="2"/>
    </row>
    <row r="25" spans="1:14" ht="12.75" customHeight="1" x14ac:dyDescent="0.35">
      <c r="D25" s="42"/>
      <c r="E25" s="2"/>
      <c r="G25" s="22"/>
      <c r="H25" s="22"/>
      <c r="J25" s="42"/>
      <c r="K25" s="22"/>
    </row>
    <row r="26" spans="1:14" ht="12.75" customHeight="1" x14ac:dyDescent="0.35">
      <c r="D26" s="42"/>
      <c r="E26" s="2"/>
      <c r="G26" s="42"/>
      <c r="H26" s="2"/>
    </row>
    <row r="27" spans="1:14" ht="12.75" customHeight="1" x14ac:dyDescent="0.35">
      <c r="D27" s="42"/>
      <c r="E27" s="2"/>
      <c r="G27" s="42"/>
      <c r="H27" s="2"/>
    </row>
    <row r="28" spans="1:14" ht="12.75" customHeight="1" x14ac:dyDescent="0.35">
      <c r="D28" s="42"/>
      <c r="E28" s="2"/>
      <c r="G28" s="42"/>
      <c r="H28" s="2"/>
      <c r="J28" s="18"/>
    </row>
    <row r="29" spans="1:14" ht="12.75" customHeight="1" x14ac:dyDescent="0.35">
      <c r="D29" s="42"/>
      <c r="E29" s="2"/>
      <c r="G29" s="42"/>
      <c r="H29" s="22"/>
      <c r="J29" s="42"/>
      <c r="K29" s="2"/>
    </row>
    <row r="30" spans="1:14" ht="12.75" customHeight="1" x14ac:dyDescent="0.35">
      <c r="D30" s="42"/>
      <c r="E30" s="2"/>
      <c r="H30" s="3"/>
      <c r="J30" s="42"/>
      <c r="K30" s="2"/>
    </row>
    <row r="31" spans="1:14" ht="12.75" customHeight="1" x14ac:dyDescent="0.35">
      <c r="A31" s="22"/>
      <c r="D31" s="42"/>
      <c r="E31" s="2"/>
      <c r="J31" s="42"/>
      <c r="K31" s="2"/>
    </row>
    <row r="32" spans="1:14" ht="12.75" customHeight="1" x14ac:dyDescent="0.35">
      <c r="A32" s="24"/>
      <c r="D32" s="42"/>
      <c r="E32" s="2"/>
      <c r="J32" s="42"/>
      <c r="K32" s="2"/>
      <c r="M32" s="22"/>
      <c r="N32" s="22"/>
    </row>
    <row r="33" spans="1:14" ht="12.75" customHeight="1" x14ac:dyDescent="0.35">
      <c r="D33" s="42"/>
      <c r="E33" s="2"/>
      <c r="J33" s="42"/>
      <c r="K33" s="2"/>
      <c r="M33" s="42"/>
      <c r="N33" s="2"/>
    </row>
    <row r="34" spans="1:14" ht="12.75" customHeight="1" x14ac:dyDescent="0.35">
      <c r="D34" s="42"/>
      <c r="E34" s="2"/>
      <c r="J34" s="42"/>
      <c r="K34" s="2"/>
    </row>
    <row r="35" spans="1:14" ht="12.75" customHeight="1" x14ac:dyDescent="0.35">
      <c r="A35" s="22"/>
      <c r="D35" s="42"/>
      <c r="E35" s="2"/>
      <c r="F35" s="1"/>
      <c r="J35" s="42"/>
      <c r="K35" s="22"/>
    </row>
    <row r="36" spans="1:14" ht="12.75" customHeight="1" x14ac:dyDescent="0.35">
      <c r="A36" s="24"/>
      <c r="D36" s="42"/>
      <c r="E36" s="2"/>
    </row>
    <row r="37" spans="1:14" ht="12.75" customHeight="1" x14ac:dyDescent="0.35">
      <c r="B37" s="2"/>
      <c r="C37" s="23"/>
      <c r="D37" s="42"/>
      <c r="E37" s="2"/>
      <c r="G37" s="18"/>
      <c r="J37" s="2"/>
    </row>
    <row r="38" spans="1:14" ht="12.75" customHeight="1" x14ac:dyDescent="0.35">
      <c r="A38" s="11"/>
      <c r="B38" s="2"/>
      <c r="D38" s="42"/>
      <c r="E38" s="2"/>
    </row>
    <row r="39" spans="1:14" ht="12.75" customHeight="1" x14ac:dyDescent="0.35">
      <c r="A39" s="22"/>
      <c r="B39" s="22"/>
      <c r="D39" s="42"/>
      <c r="E39" s="22"/>
    </row>
    <row r="40" spans="1:14" ht="21" x14ac:dyDescent="0.5">
      <c r="A40" s="19" t="s">
        <v>60</v>
      </c>
    </row>
    <row r="42" spans="1:14" ht="15" thickBot="1" x14ac:dyDescent="0.4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3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3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144</v>
      </c>
      <c r="K44" s="2" t="s">
        <v>7</v>
      </c>
    </row>
    <row r="45" spans="1:14" x14ac:dyDescent="0.3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3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48</v>
      </c>
      <c r="K46" s="2" t="s">
        <v>49</v>
      </c>
    </row>
    <row r="47" spans="1:14" x14ac:dyDescent="0.3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552</v>
      </c>
      <c r="K47" s="2" t="s">
        <v>43</v>
      </c>
    </row>
    <row r="48" spans="1:14" x14ac:dyDescent="0.3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35">
      <c r="B49" s="2"/>
      <c r="C49" s="35">
        <f t="shared" si="3"/>
        <v>0</v>
      </c>
      <c r="D49" s="14"/>
      <c r="E49" s="2" t="s">
        <v>24</v>
      </c>
      <c r="J49" s="48">
        <f>B10+F10+J10</f>
        <v>120</v>
      </c>
      <c r="K49" s="2" t="s">
        <v>1</v>
      </c>
    </row>
    <row r="50" spans="1:11" x14ac:dyDescent="0.3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35">
      <c r="B51" s="2"/>
      <c r="C51" s="35">
        <f>D51*8</f>
        <v>0</v>
      </c>
      <c r="D51" s="14"/>
      <c r="E51" s="2" t="s">
        <v>26</v>
      </c>
    </row>
    <row r="52" spans="1:11" x14ac:dyDescent="0.35">
      <c r="C52" s="35">
        <f>D52*8</f>
        <v>0</v>
      </c>
      <c r="D52" s="14"/>
      <c r="E52" s="2" t="s">
        <v>28</v>
      </c>
    </row>
    <row r="57" spans="1:11" ht="15" thickBot="1" x14ac:dyDescent="0.4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3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3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3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3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3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3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3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1">
    <mergeCell ref="A1:B1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4.5" x14ac:dyDescent="0.35"/>
  <cols>
    <col min="1" max="1" width="6.26953125" customWidth="1"/>
    <col min="2" max="2" width="18.7265625" customWidth="1"/>
    <col min="3" max="3" width="6.453125" customWidth="1"/>
    <col min="4" max="4" width="5" customWidth="1"/>
    <col min="5" max="5" width="15.1796875" customWidth="1"/>
    <col min="6" max="6" width="3.7265625" customWidth="1"/>
    <col min="7" max="7" width="6.7265625" customWidth="1"/>
    <col min="8" max="8" width="9.7265625" customWidth="1"/>
    <col min="9" max="9" width="9.26953125" customWidth="1"/>
    <col min="10" max="10" width="7.453125" customWidth="1"/>
    <col min="11" max="11" width="10.7265625" customWidth="1"/>
    <col min="12" max="12" width="9" customWidth="1"/>
    <col min="13" max="13" width="9.26953125" customWidth="1"/>
    <col min="14" max="14" width="20.54296875" customWidth="1"/>
    <col min="15" max="15" width="6.7265625" customWidth="1"/>
    <col min="18" max="18" width="10.26953125" customWidth="1"/>
  </cols>
  <sheetData>
    <row r="1" spans="1:24" ht="18.399999999999999" customHeight="1" thickBot="1" x14ac:dyDescent="0.55000000000000004">
      <c r="A1" s="97" t="s">
        <v>81</v>
      </c>
      <c r="B1" s="97"/>
      <c r="C1" s="45">
        <f>Mon!C2</f>
        <v>44</v>
      </c>
      <c r="D1" s="46"/>
      <c r="E1" s="46"/>
      <c r="N1" t="s">
        <v>98</v>
      </c>
      <c r="R1" t="s">
        <v>90</v>
      </c>
    </row>
    <row r="2" spans="1:24" ht="12.4" customHeight="1" x14ac:dyDescent="0.3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4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1488</v>
      </c>
      <c r="P3" s="53">
        <f>O3/125</f>
        <v>11.904</v>
      </c>
      <c r="R3" s="51" t="s">
        <v>85</v>
      </c>
      <c r="S3" s="55">
        <f>12*(D8+J4)</f>
        <v>1524</v>
      </c>
      <c r="T3" s="55">
        <f>15*(A4+D4+G4+J7+J5)+20*D12</f>
        <v>7230</v>
      </c>
      <c r="U3" s="55">
        <f>15*(A5+A9+D5+D9+D10+D11+G5+J6+J8+J10)+20*(A8+D13+G7)</f>
        <v>33825</v>
      </c>
      <c r="V3" s="55">
        <f>15*(A6+J11)</f>
        <v>2385</v>
      </c>
      <c r="W3" s="55">
        <f>15*D6</f>
        <v>0</v>
      </c>
      <c r="X3" s="55">
        <f>15*(A7+D7+G6+J9)</f>
        <v>1635</v>
      </c>
    </row>
    <row r="4" spans="1:24" ht="12.75" customHeight="1" x14ac:dyDescent="0.35">
      <c r="A4" s="31">
        <f>Mon!B70+Tues!B43+Wed!B42+Thurs!B72+Fri!B44+NFLD!A43</f>
        <v>22</v>
      </c>
      <c r="B4" s="2" t="s">
        <v>41</v>
      </c>
      <c r="C4" s="7"/>
      <c r="D4" s="31">
        <f>Mon!E70+Tues!E43+Wed!E42+Thurs!E72+Fri!E44+NFLD!D43</f>
        <v>31</v>
      </c>
      <c r="E4" s="2" t="s">
        <v>19</v>
      </c>
      <c r="F4" s="7"/>
      <c r="G4" s="31">
        <f>Mon!H70+Tues!H43+Wed!H42+Thurs!H72+Fri!H44+NFLD!G43</f>
        <v>10</v>
      </c>
      <c r="H4" s="2" t="s">
        <v>44</v>
      </c>
      <c r="I4" s="7"/>
      <c r="J4" s="31">
        <f>Mon!K70+Tues!K43+Wed!K42+Thurs!K72+Fri!K44+NFLD!J43</f>
        <v>124</v>
      </c>
      <c r="K4" s="2" t="s">
        <v>9</v>
      </c>
      <c r="M4" s="42"/>
      <c r="N4" s="52" t="s">
        <v>7</v>
      </c>
      <c r="O4" s="53">
        <f>J5*10</f>
        <v>3400</v>
      </c>
      <c r="P4" s="53">
        <f>O4/130</f>
        <v>26.153846153846153</v>
      </c>
      <c r="R4" s="51" t="s">
        <v>86</v>
      </c>
      <c r="S4" s="55">
        <f t="shared" ref="S4:X4" si="0">S3/15</f>
        <v>101.6</v>
      </c>
      <c r="T4" s="55">
        <f t="shared" si="0"/>
        <v>482</v>
      </c>
      <c r="U4" s="55">
        <f t="shared" si="0"/>
        <v>2255</v>
      </c>
      <c r="V4" s="55">
        <f t="shared" si="0"/>
        <v>159</v>
      </c>
      <c r="W4" s="55">
        <f t="shared" si="0"/>
        <v>0</v>
      </c>
      <c r="X4" s="55">
        <f t="shared" si="0"/>
        <v>109</v>
      </c>
    </row>
    <row r="5" spans="1:24" ht="12.75" customHeight="1" x14ac:dyDescent="0.35">
      <c r="A5" s="26">
        <f>Mon!B71+Tues!B44+Wed!B43+Thurs!B73+Fri!B45+NFLD!A44</f>
        <v>122</v>
      </c>
      <c r="B5" s="2" t="s">
        <v>42</v>
      </c>
      <c r="C5" s="24"/>
      <c r="D5" s="26">
        <f>Mon!E71+Tues!E44+Wed!E43+Thurs!E73+Fri!E45+NFLD!D44</f>
        <v>79</v>
      </c>
      <c r="E5" s="2" t="s">
        <v>20</v>
      </c>
      <c r="G5" s="26">
        <f>Mon!H71+Tues!H44+Wed!H43+Thurs!H73+Fri!H45+NFLD!G44</f>
        <v>132</v>
      </c>
      <c r="H5" s="2" t="s">
        <v>45</v>
      </c>
      <c r="J5" s="26">
        <f>Mon!K71+Tues!K44+Wed!K43+Thurs!K73+Fri!K45+NFLD!J44</f>
        <v>340</v>
      </c>
      <c r="K5" s="2" t="s">
        <v>7</v>
      </c>
      <c r="M5" s="42"/>
      <c r="N5" s="52" t="s">
        <v>8</v>
      </c>
      <c r="O5" s="53">
        <f>J6*10</f>
        <v>370</v>
      </c>
      <c r="P5" s="53">
        <f t="shared" ref="P5:P25" si="1">O5/130</f>
        <v>2.8461538461538463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3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7</v>
      </c>
      <c r="H6" s="2" t="s">
        <v>30</v>
      </c>
      <c r="J6" s="26">
        <f>Mon!K72+Tues!K45+Wed!K44+Thurs!K74+Fri!K46+NFLD!J45</f>
        <v>37</v>
      </c>
      <c r="K6" s="2" t="s">
        <v>8</v>
      </c>
      <c r="M6" s="42"/>
      <c r="N6" s="52" t="s">
        <v>49</v>
      </c>
      <c r="O6" s="53">
        <f>J7*15</f>
        <v>1185</v>
      </c>
      <c r="P6" s="53">
        <f>O6/150</f>
        <v>7.9</v>
      </c>
    </row>
    <row r="7" spans="1:24" ht="12.75" customHeight="1" x14ac:dyDescent="0.35">
      <c r="A7" s="26">
        <f>Mon!B73+Tues!B46+Wed!B45+Thurs!B75+Fri!B47+NFLD!A46</f>
        <v>31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118</v>
      </c>
      <c r="H7" s="2" t="s">
        <v>71</v>
      </c>
      <c r="J7" s="26">
        <f>Mon!K73+Tues!K46+Wed!K45+Thurs!K75+Fri!K47+NFLD!J46</f>
        <v>79</v>
      </c>
      <c r="K7" s="2" t="s">
        <v>49</v>
      </c>
      <c r="M7" s="42"/>
      <c r="N7" s="52" t="s">
        <v>43</v>
      </c>
      <c r="O7" s="53">
        <f t="shared" ref="O7" si="2">J8*15</f>
        <v>11280</v>
      </c>
      <c r="P7" s="53">
        <f t="shared" ref="P7:P8" si="3">O7/150</f>
        <v>75.2</v>
      </c>
      <c r="R7" s="12" t="s">
        <v>74</v>
      </c>
      <c r="S7" s="60">
        <f>Mon!C2</f>
        <v>44</v>
      </c>
    </row>
    <row r="8" spans="1:24" ht="12.75" customHeight="1" x14ac:dyDescent="0.35">
      <c r="A8" s="26">
        <f>Mon!B74+Tues!B47+Wed!B46+Thurs!B76+Fri!B48+NFLD!A47</f>
        <v>385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752</v>
      </c>
      <c r="K8" s="2" t="s">
        <v>43</v>
      </c>
      <c r="M8" s="42"/>
      <c r="N8" s="52" t="s">
        <v>2</v>
      </c>
      <c r="O8" s="53">
        <f>J9*15</f>
        <v>975</v>
      </c>
      <c r="P8" s="53">
        <f t="shared" si="3"/>
        <v>6.5</v>
      </c>
      <c r="S8" s="57"/>
      <c r="T8" s="58"/>
      <c r="U8" s="58"/>
    </row>
    <row r="9" spans="1:24" ht="12.75" customHeight="1" x14ac:dyDescent="0.35">
      <c r="A9" s="33">
        <f>Mon!B75+Tues!B48+Wed!B47+Thurs!B77+Fri!B49+NFLD!A48</f>
        <v>13</v>
      </c>
      <c r="B9" s="2" t="s">
        <v>15</v>
      </c>
      <c r="C9" s="24"/>
      <c r="D9" s="26">
        <f>Mon!E75+Tues!E48+Wed!E47+Thurs!E77+Fri!E49+NFLD!D48</f>
        <v>50</v>
      </c>
      <c r="E9" s="2" t="s">
        <v>22</v>
      </c>
      <c r="J9" s="26">
        <f>Mon!K75+Tues!K48+Wed!K47+Thurs!K77+Fri!K49+NFLD!J48</f>
        <v>65</v>
      </c>
      <c r="K9" s="2" t="s">
        <v>2</v>
      </c>
      <c r="M9" s="42"/>
      <c r="N9" s="52" t="s">
        <v>89</v>
      </c>
      <c r="O9" s="53">
        <f>7*(J10+J11)+8*(D12+D13+G7)+5*A9</f>
        <v>4629</v>
      </c>
      <c r="P9" s="53">
        <f>O9/140</f>
        <v>33.064285714285717</v>
      </c>
      <c r="S9" s="59"/>
    </row>
    <row r="10" spans="1:24" ht="12.75" customHeight="1" x14ac:dyDescent="0.3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146</v>
      </c>
      <c r="K10" s="2" t="s">
        <v>1</v>
      </c>
      <c r="M10" s="42"/>
      <c r="N10" s="52" t="s">
        <v>41</v>
      </c>
      <c r="O10" s="53">
        <f>A4*15</f>
        <v>330</v>
      </c>
      <c r="P10" s="53">
        <f>O10/250</f>
        <v>1.32</v>
      </c>
      <c r="S10" s="59"/>
    </row>
    <row r="11" spans="1:24" ht="12.75" customHeight="1" x14ac:dyDescent="0.3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154</v>
      </c>
      <c r="K11" s="2" t="s">
        <v>0</v>
      </c>
      <c r="M11" s="42"/>
      <c r="N11" s="52" t="s">
        <v>42</v>
      </c>
      <c r="O11" s="53">
        <f t="shared" ref="O11:O12" si="4">A5*15</f>
        <v>1830</v>
      </c>
      <c r="P11" s="53">
        <f t="shared" ref="P11:P13" si="5">O11/250</f>
        <v>7.32</v>
      </c>
      <c r="S11" s="59"/>
    </row>
    <row r="12" spans="1:24" ht="13.9" customHeight="1" x14ac:dyDescent="0.3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35">
      <c r="A13" s="7"/>
      <c r="C13" s="24"/>
      <c r="D13" s="26">
        <f>Mon!E79+Tues!E52+Wed!E51+Thurs!E81+Fri!E53+NFLD!D52</f>
        <v>190</v>
      </c>
      <c r="E13" s="2" t="s">
        <v>28</v>
      </c>
      <c r="M13" s="42"/>
      <c r="N13" s="52" t="s">
        <v>5</v>
      </c>
      <c r="O13" s="53">
        <f>A7*15</f>
        <v>465</v>
      </c>
      <c r="P13" s="53">
        <f t="shared" si="5"/>
        <v>1.86</v>
      </c>
      <c r="S13" s="59"/>
    </row>
    <row r="14" spans="1:24" ht="12.75" customHeight="1" x14ac:dyDescent="0.35">
      <c r="A14" s="7"/>
      <c r="N14" s="52" t="s">
        <v>94</v>
      </c>
      <c r="O14" s="53">
        <f>5*A9</f>
        <v>65</v>
      </c>
      <c r="P14" s="53">
        <f>O14/50</f>
        <v>1.3</v>
      </c>
      <c r="S14" s="59"/>
    </row>
    <row r="15" spans="1:24" ht="12.75" customHeight="1" x14ac:dyDescent="0.35">
      <c r="A15" s="7"/>
      <c r="D15" s="24"/>
      <c r="L15" s="2"/>
      <c r="N15" s="52" t="s">
        <v>15</v>
      </c>
      <c r="O15" s="53">
        <f>15*A9</f>
        <v>195</v>
      </c>
      <c r="P15" s="53">
        <f>O15/250</f>
        <v>0.78</v>
      </c>
    </row>
    <row r="16" spans="1:24" ht="12.75" customHeight="1" thickBot="1" x14ac:dyDescent="0.4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150</v>
      </c>
      <c r="P16" s="53">
        <f t="shared" ref="P16:P18" si="6">O16/250</f>
        <v>0.6</v>
      </c>
    </row>
    <row r="17" spans="1:24" ht="12.75" customHeight="1" x14ac:dyDescent="0.35">
      <c r="A17" s="32">
        <f>Mon!B85+Tues!B58+Wed!B57+Thurs!B87+Fri!B59+NFLD!A58</f>
        <v>3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1980</v>
      </c>
      <c r="P17" s="53">
        <f t="shared" si="6"/>
        <v>7.92</v>
      </c>
    </row>
    <row r="18" spans="1:24" ht="12.75" customHeight="1" x14ac:dyDescent="0.35">
      <c r="A18" s="26">
        <f>Mon!B86+Tues!B59+Wed!B58+Thurs!B88+Fri!B60+NFLD!A59</f>
        <v>1</v>
      </c>
      <c r="B18" s="2" t="s">
        <v>16</v>
      </c>
      <c r="D18" s="21">
        <f>A9</f>
        <v>13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35">
      <c r="A19" s="26">
        <f>Mon!B87+Tues!B60+Wed!B59+Thurs!B89+Fri!B61+NFLD!A60</f>
        <v>1</v>
      </c>
      <c r="B19" s="2" t="s">
        <v>17</v>
      </c>
      <c r="D19" s="29">
        <f>J6</f>
        <v>37</v>
      </c>
      <c r="E19" s="2" t="s">
        <v>8</v>
      </c>
      <c r="F19" s="24"/>
      <c r="G19" s="14">
        <f>Mon!K87+Tues!K60+Thurs!K89+Fri!K61</f>
        <v>8</v>
      </c>
      <c r="H19" s="2" t="s">
        <v>6</v>
      </c>
      <c r="N19" s="52" t="s">
        <v>95</v>
      </c>
      <c r="O19" s="53">
        <f>8*G7</f>
        <v>944</v>
      </c>
      <c r="P19" s="53">
        <f>O19/50</f>
        <v>18.88</v>
      </c>
    </row>
    <row r="20" spans="1:24" ht="12.75" customHeight="1" x14ac:dyDescent="0.35">
      <c r="A20" s="26">
        <f>Mon!B88+Tues!B61+Wed!B60+Thurs!B90+Fri!B62+NFLD!A61</f>
        <v>0</v>
      </c>
      <c r="B20" s="2" t="s">
        <v>11</v>
      </c>
      <c r="D20" s="26">
        <f>A7</f>
        <v>31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465</v>
      </c>
      <c r="P20" s="53">
        <f>O20/150</f>
        <v>3.1</v>
      </c>
    </row>
    <row r="21" spans="1:24" ht="12.75" customHeight="1" x14ac:dyDescent="0.35">
      <c r="A21" s="26">
        <f>Mon!B89+Tues!B62+Wed!B61+Thurs!B91+Fri!B63+NFLD!A62</f>
        <v>1</v>
      </c>
      <c r="B21" s="2" t="s">
        <v>12</v>
      </c>
      <c r="D21" s="21">
        <f>G6</f>
        <v>7</v>
      </c>
      <c r="E21" s="2" t="s">
        <v>30</v>
      </c>
      <c r="F21" s="24"/>
      <c r="G21" s="14">
        <f>Mon!K89+Tues!K62+Thurs!K91+Fri!K63</f>
        <v>1</v>
      </c>
      <c r="H21" s="2" t="s">
        <v>45</v>
      </c>
      <c r="N21" s="52" t="s">
        <v>20</v>
      </c>
      <c r="O21" s="53">
        <f t="shared" ref="O21:O23" si="8">15*D5</f>
        <v>1185</v>
      </c>
      <c r="P21" s="53">
        <f t="shared" ref="P21:P23" si="9">O21/150</f>
        <v>7.9</v>
      </c>
    </row>
    <row r="22" spans="1:24" ht="12.75" customHeight="1" x14ac:dyDescent="0.35">
      <c r="A22" s="26">
        <f>Mon!B90+Tues!B63+Wed!B62+Thurs!B92+Fri!B64+NFLD!A63</f>
        <v>3</v>
      </c>
      <c r="B22" s="2" t="s">
        <v>13</v>
      </c>
      <c r="D22" s="21">
        <f>A8</f>
        <v>385</v>
      </c>
      <c r="E22" s="2" t="s">
        <v>48</v>
      </c>
      <c r="F22" s="24"/>
      <c r="G22" s="14">
        <f>Mon!K90+Tues!K63+Thurs!K92+Fri!K64</f>
        <v>6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35">
      <c r="A23" s="26">
        <f>Mon!B91+Tues!B64+Wed!B63+Thurs!B93+Fri!B65+NFLD!A64</f>
        <v>1</v>
      </c>
      <c r="B23" s="2" t="s">
        <v>18</v>
      </c>
      <c r="D23" s="21">
        <f>G7</f>
        <v>118</v>
      </c>
      <c r="E23" s="2" t="s">
        <v>72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3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35">
      <c r="F25" s="24"/>
      <c r="N25" s="52" t="s">
        <v>22</v>
      </c>
      <c r="O25" s="53">
        <f>10*D9</f>
        <v>500</v>
      </c>
      <c r="P25" s="53">
        <f t="shared" si="1"/>
        <v>3.8461538461538463</v>
      </c>
    </row>
    <row r="26" spans="1:24" ht="12.75" customHeight="1" x14ac:dyDescent="0.3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3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3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35">
      <c r="D29" s="42"/>
      <c r="E29" s="2"/>
      <c r="J29" s="42"/>
      <c r="N29" s="52" t="s">
        <v>97</v>
      </c>
      <c r="O29" s="53">
        <f>8*D13</f>
        <v>1520</v>
      </c>
      <c r="P29" s="53">
        <f>O29/50</f>
        <v>30.4</v>
      </c>
    </row>
    <row r="30" spans="1:24" ht="12.75" customHeight="1" x14ac:dyDescent="0.35">
      <c r="D30" s="42"/>
      <c r="E30" s="2"/>
      <c r="J30" s="42"/>
    </row>
    <row r="31" spans="1:24" ht="12.75" customHeight="1" x14ac:dyDescent="0.3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35">
      <c r="D32" s="42"/>
      <c r="E32" s="2"/>
      <c r="J32" s="42"/>
      <c r="M32" s="22"/>
      <c r="N32" s="52" t="s">
        <v>99</v>
      </c>
      <c r="O32" s="51">
        <f>A4+D4+G4+J5+J7-24*(G17+G20+G23)</f>
        <v>458</v>
      </c>
      <c r="P32" s="51">
        <f>O32/25-24*(G17+G20+G23)</f>
        <v>-5.68</v>
      </c>
      <c r="R32" s="98" t="s">
        <v>108</v>
      </c>
      <c r="S32" s="98"/>
      <c r="T32" s="98"/>
      <c r="U32" s="98"/>
      <c r="V32" s="98"/>
      <c r="W32" s="98"/>
      <c r="X32" s="98"/>
    </row>
    <row r="33" spans="1:24" ht="18.399999999999999" customHeight="1" x14ac:dyDescent="0.3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1482</v>
      </c>
      <c r="P33" s="51">
        <f>O33/25-24*(G18+G21+G24)-20*G19</f>
        <v>-124.72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35">
      <c r="D34" s="42"/>
      <c r="E34" s="2"/>
      <c r="G34" s="2"/>
      <c r="J34" s="42"/>
      <c r="N34" s="51" t="s">
        <v>101</v>
      </c>
      <c r="O34" s="51">
        <f>D8+D9+J4</f>
        <v>177</v>
      </c>
      <c r="P34" s="51">
        <f t="shared" ref="P34:P36" si="10">O34/25</f>
        <v>7.08</v>
      </c>
    </row>
    <row r="35" spans="1:24" ht="12.75" customHeight="1" x14ac:dyDescent="0.35">
      <c r="D35" s="42"/>
      <c r="E35" s="2"/>
      <c r="F35" s="1"/>
      <c r="G35" s="2"/>
      <c r="J35" s="42"/>
      <c r="N35" s="51" t="s">
        <v>102</v>
      </c>
      <c r="O35" s="51">
        <f>A6+J11</f>
        <v>159</v>
      </c>
      <c r="P35" s="51">
        <f t="shared" si="10"/>
        <v>6.36</v>
      </c>
    </row>
    <row r="36" spans="1:24" ht="12.75" customHeight="1" x14ac:dyDescent="0.35">
      <c r="A36" s="24"/>
      <c r="D36" s="42"/>
      <c r="E36" s="2"/>
      <c r="N36" s="51" t="s">
        <v>107</v>
      </c>
      <c r="O36" s="51">
        <f>A7+G6+D7+D6+J9</f>
        <v>109</v>
      </c>
      <c r="P36" s="51">
        <f t="shared" si="10"/>
        <v>4.3600000000000003</v>
      </c>
    </row>
    <row r="37" spans="1:24" ht="12.75" customHeight="1" x14ac:dyDescent="0.35">
      <c r="B37" s="2"/>
      <c r="C37" s="23"/>
      <c r="D37" s="42"/>
      <c r="E37" s="2"/>
      <c r="G37" s="18"/>
      <c r="J37" s="2"/>
      <c r="N37" s="51" t="s">
        <v>103</v>
      </c>
      <c r="O37" s="51">
        <f>D12+D13</f>
        <v>190</v>
      </c>
      <c r="P37" s="51">
        <f>O37/20</f>
        <v>9.5</v>
      </c>
    </row>
    <row r="38" spans="1:24" ht="12.75" customHeight="1" x14ac:dyDescent="0.35">
      <c r="A38" s="11"/>
      <c r="B38" s="2"/>
      <c r="D38" s="42"/>
      <c r="E38" s="2"/>
      <c r="N38" s="51" t="s">
        <v>106</v>
      </c>
      <c r="O38" s="51">
        <f>G7-13*G22</f>
        <v>40</v>
      </c>
      <c r="P38" s="51">
        <f>O38/20-13*G22</f>
        <v>-76</v>
      </c>
    </row>
    <row r="39" spans="1:24" ht="12.75" customHeight="1" x14ac:dyDescent="0.35">
      <c r="A39" s="22"/>
      <c r="B39" s="22"/>
      <c r="D39" s="42"/>
      <c r="E39" s="22"/>
    </row>
    <row r="40" spans="1:24" ht="21" x14ac:dyDescent="0.5">
      <c r="A40" s="19"/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aaron eyking</cp:lastModifiedBy>
  <cp:lastPrinted>2025-10-30T17:04:34Z</cp:lastPrinted>
  <dcterms:created xsi:type="dcterms:W3CDTF">2014-06-06T13:58:10Z</dcterms:created>
  <dcterms:modified xsi:type="dcterms:W3CDTF">2026-03-11T18:26:28Z</dcterms:modified>
</cp:coreProperties>
</file>