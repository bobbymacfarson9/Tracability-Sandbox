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8_{71FCF6B2-63A6-4AF4-95C9-F76A6FC61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89" i="4" l="1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<sst xmlns="http://schemas.openxmlformats.org/spreadsheetml/2006/main" count="1139" uniqueCount="194">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</sst>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45859</v>
      </c>
      <c r="E1" s="96"/>
      <c r="F1" s="96"/>
      <c r="H1" s="63" t="s">
        <v>143</v>
      </c>
      <c r="I1" s="64">
        <f>D1+42-1</f>
        <v>45900</v>
      </c>
      <c r="L1" s="19" t="s">
        <v>38</v>
      </c>
    </row>
    <row r="2" spans="1:12" ht="15.75" x14ac:dyDescent="0.25">
      <c r="B2" s="41" t="s">
        <v>105</v>
      </c>
      <c r="C2" s="50">
        <v>30</v>
      </c>
    </row>
    <row r="4" spans="1:12" ht="15.75" thickBot="1" x14ac:dyDescent="0.3">
      <c r="B4" s="17" t="s">
        <v>72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45</v>
      </c>
      <c r="H5" s="39"/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46</v>
      </c>
      <c r="H6" s="39"/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/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103</v>
      </c>
      <c r="H8" s="39"/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47</v>
      </c>
      <c r="H9" s="39"/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/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/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/>
      <c r="I12" s="2" t="s">
        <v>25</v>
      </c>
    </row>
    <row r="13" spans="1:12" x14ac:dyDescent="0.25">
      <c r="B13" s="39"/>
      <c r="C13" s="2" t="s">
        <v>44</v>
      </c>
      <c r="E13" s="2" t="s">
        <v>36</v>
      </c>
      <c r="F13" s="16"/>
      <c r="H13" s="39"/>
      <c r="I13" s="2" t="s">
        <v>26</v>
      </c>
    </row>
    <row r="14" spans="1:12" x14ac:dyDescent="0.25">
      <c r="B14" s="39"/>
      <c r="C14" s="2" t="s">
        <v>15</v>
      </c>
      <c r="H14" s="39"/>
      <c r="I14" s="16" t="s">
        <v>28</v>
      </c>
    </row>
    <row r="15" spans="1:12" ht="15.75" thickBot="1" x14ac:dyDescent="0.3">
      <c r="B15" s="39"/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/>
      <c r="F16" s="2" t="s">
        <v>29</v>
      </c>
      <c r="G16" s="3"/>
      <c r="I16" s="2"/>
    </row>
    <row r="17" spans="2:10" x14ac:dyDescent="0.25">
      <c r="B17" s="39"/>
      <c r="C17" s="2" t="s">
        <v>152</v>
      </c>
      <c r="E17" s="39"/>
      <c r="F17" s="2" t="s">
        <v>30</v>
      </c>
      <c r="H17" s="2" t="s">
        <v>36</v>
      </c>
      <c r="I17" s="16"/>
    </row>
    <row r="18" spans="2:10" x14ac:dyDescent="0.25">
      <c r="B18" s="39"/>
      <c r="C18" s="2" t="s">
        <v>151</v>
      </c>
      <c r="E18" s="39"/>
      <c r="F18" s="16" t="s">
        <v>12</v>
      </c>
    </row>
    <row r="19" spans="2:10" x14ac:dyDescent="0.25">
      <c r="B19" s="39"/>
      <c r="C19" s="2" t="s">
        <v>153</v>
      </c>
      <c r="E19" s="39">
        <f>SUM(E16:E18)</f>
        <v>0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/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/>
      <c r="I25" t="s">
        <v>44</v>
      </c>
      <c r="J25" s="75"/>
    </row>
    <row r="26" spans="2:10" x14ac:dyDescent="0.25">
      <c r="B26" s="39"/>
      <c r="C26" s="2" t="s">
        <v>3</v>
      </c>
      <c r="D26" s="4"/>
      <c r="E26" s="76"/>
      <c r="G26" s="2"/>
      <c r="J26" s="75"/>
    </row>
    <row r="27" spans="2:10" ht="15.75" thickBot="1" x14ac:dyDescent="0.3">
      <c r="B27" s="39"/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/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/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/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/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/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45859</v>
      </c>
      <c r="E34" s="96"/>
      <c r="F34" s="96"/>
      <c r="H34" s="63" t="s">
        <v>143</v>
      </c>
      <c r="I34" s="67">
        <f>I1</f>
        <v>45900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/>
      <c r="F37" s="2" t="s">
        <v>19</v>
      </c>
      <c r="H37" s="39"/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/>
      <c r="F38" s="2" t="s">
        <v>20</v>
      </c>
      <c r="H38" s="39"/>
      <c r="I38" s="2" t="s">
        <v>20</v>
      </c>
    </row>
    <row r="39" spans="1:12" x14ac:dyDescent="0.25">
      <c r="B39" s="39"/>
      <c r="C39" s="2" t="s">
        <v>4</v>
      </c>
      <c r="E39" s="39"/>
      <c r="F39" s="2" t="s">
        <v>27</v>
      </c>
      <c r="H39" s="39"/>
      <c r="I39" s="2" t="s">
        <v>27</v>
      </c>
    </row>
    <row r="40" spans="1:12" x14ac:dyDescent="0.25">
      <c r="B40" s="39"/>
      <c r="C40" s="2" t="s">
        <v>5</v>
      </c>
      <c r="E40" s="39"/>
      <c r="F40" s="2" t="s">
        <v>21</v>
      </c>
      <c r="H40" s="39"/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/>
      <c r="F41" s="2" t="s">
        <v>23</v>
      </c>
      <c r="H41" s="39"/>
      <c r="I41" s="2" t="s">
        <v>23</v>
      </c>
    </row>
    <row r="42" spans="1:12" x14ac:dyDescent="0.25">
      <c r="B42" s="39"/>
      <c r="C42" s="2" t="s">
        <v>9</v>
      </c>
      <c r="E42" s="39"/>
      <c r="F42" s="2" t="s">
        <v>22</v>
      </c>
      <c r="H42" s="39"/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/>
      <c r="F43" s="2" t="s">
        <v>24</v>
      </c>
      <c r="H43" s="39"/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/>
      <c r="F44" s="2" t="s">
        <v>25</v>
      </c>
      <c r="H44" s="39"/>
      <c r="I44" s="2" t="s">
        <v>25</v>
      </c>
    </row>
    <row r="45" spans="1:12" x14ac:dyDescent="0.25">
      <c r="B45" s="39"/>
      <c r="C45" s="2" t="s">
        <v>44</v>
      </c>
      <c r="E45" s="39"/>
      <c r="F45" s="2" t="s">
        <v>26</v>
      </c>
      <c r="H45" s="39"/>
      <c r="I45" s="2" t="s">
        <v>26</v>
      </c>
    </row>
    <row r="46" spans="1:12" x14ac:dyDescent="0.25">
      <c r="B46" s="39"/>
      <c r="C46" s="2" t="s">
        <v>15</v>
      </c>
      <c r="E46" s="39"/>
      <c r="F46" s="16" t="s">
        <v>28</v>
      </c>
      <c r="H46" s="39"/>
      <c r="I46" s="16" t="s">
        <v>28</v>
      </c>
    </row>
    <row r="47" spans="1:12" x14ac:dyDescent="0.25">
      <c r="B47" s="39"/>
      <c r="C47" s="2" t="s">
        <v>14</v>
      </c>
      <c r="E47" s="39">
        <f>SUM(E37:E46)</f>
        <v>0</v>
      </c>
      <c r="F47" s="2" t="s">
        <v>35</v>
      </c>
      <c r="H47" s="39">
        <f>SUM(H37:H46)</f>
        <v>0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2" x14ac:dyDescent="0.25">
      <c r="B49" s="39"/>
      <c r="C49" s="2" t="s">
        <v>152</v>
      </c>
      <c r="E49" s="2" t="s">
        <v>36</v>
      </c>
      <c r="F49" s="16"/>
      <c r="H49" s="2" t="s">
        <v>36</v>
      </c>
      <c r="I49" s="16"/>
    </row>
    <row r="50" spans="2:12" x14ac:dyDescent="0.25">
      <c r="B50" s="39"/>
      <c r="C50" s="2" t="s">
        <v>151</v>
      </c>
      <c r="G50" s="2"/>
    </row>
    <row r="51" spans="2:12" x14ac:dyDescent="0.25">
      <c r="B51" s="39"/>
      <c r="C51" s="2" t="s">
        <v>153</v>
      </c>
    </row>
    <row r="52" spans="2:12" ht="15.75" thickBot="1" x14ac:dyDescent="0.3">
      <c r="B52" s="39"/>
      <c r="C52" s="2" t="s">
        <v>13</v>
      </c>
      <c r="E52" s="17" t="s">
        <v>75</v>
      </c>
      <c r="F52" s="17"/>
      <c r="H52" s="17" t="s">
        <v>77</v>
      </c>
      <c r="I52" s="17"/>
      <c r="K52" s="17" t="s">
        <v>160</v>
      </c>
      <c r="L52" s="5"/>
    </row>
    <row r="53" spans="2:12" x14ac:dyDescent="0.25">
      <c r="B53" s="39"/>
      <c r="C53" s="16" t="s">
        <v>18</v>
      </c>
      <c r="E53" s="39"/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51</v>
      </c>
    </row>
    <row r="54" spans="2:12" x14ac:dyDescent="0.25">
      <c r="B54" s="39">
        <f>SUM(B37:B53)</f>
        <v>0</v>
      </c>
      <c r="C54" s="2" t="s">
        <v>35</v>
      </c>
      <c r="E54" s="39"/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/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/>
      <c r="I56" s="2" t="s">
        <v>103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/>
      <c r="I58" s="16" t="s">
        <v>34</v>
      </c>
      <c r="K58" s="17" t="s">
        <v>161</v>
      </c>
      <c r="L58" s="5"/>
    </row>
    <row r="59" spans="2:12" x14ac:dyDescent="0.25">
      <c r="E59" s="39"/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/>
      <c r="F60" s="2" t="s">
        <v>30</v>
      </c>
    </row>
    <row r="61" spans="2:12" x14ac:dyDescent="0.25">
      <c r="E61" s="39"/>
      <c r="F61" s="16" t="s">
        <v>12</v>
      </c>
      <c r="H61" s="2" t="s">
        <v>36</v>
      </c>
      <c r="I61" s="16"/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45</v>
      </c>
      <c r="K70" s="47">
        <f>B10+E9+B30+B42+H57</f>
        <v>0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0</v>
      </c>
      <c r="E71" s="14">
        <f t="shared" si="0"/>
        <v>0</v>
      </c>
      <c r="F71" s="2" t="s">
        <v>20</v>
      </c>
      <c r="H71" s="14">
        <f>E6+E16+E59+H54+E53</f>
        <v>0</v>
      </c>
      <c r="I71" s="2" t="s">
        <v>46</v>
      </c>
      <c r="K71" s="13">
        <f>B11+E10+B31+B43+H58</f>
        <v>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0</v>
      </c>
      <c r="I73" s="2" t="s">
        <v>103</v>
      </c>
      <c r="K73" s="47">
        <f>K53</f>
        <v>0</v>
      </c>
      <c r="L73" s="2" t="s">
        <v>51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0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0</v>
      </c>
      <c r="E75" s="14">
        <f t="shared" si="0"/>
        <v>0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0</v>
      </c>
      <c r="E79" s="14">
        <f t="shared" si="0"/>
        <v>0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>H88*15</f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>H89*15</f>
        <v>0</v>
      </c>
      <c r="H89" s="21">
        <f>H72</f>
        <v>0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2" sqref="I2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45860</v>
      </c>
      <c r="E1" s="95"/>
      <c r="F1" s="95"/>
      <c r="H1" s="63" t="s">
        <v>143</v>
      </c>
      <c r="I1" s="64">
        <f>Mon!D1+42-1</f>
        <v>45900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44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69" t="s">
        <v>164</v>
      </c>
      <c r="L16" s="73"/>
    </row>
    <row r="17" spans="1:18" ht="12.4" customHeight="1" x14ac:dyDescent="0.25">
      <c r="B17" s="39"/>
      <c r="C17" s="2" t="s">
        <v>151</v>
      </c>
      <c r="E17" s="39"/>
      <c r="F17" s="2" t="s">
        <v>151</v>
      </c>
      <c r="G17" s="2"/>
      <c r="H17" s="39"/>
      <c r="I17" s="2" t="s">
        <v>151</v>
      </c>
      <c r="K17" s="74"/>
      <c r="L17" s="75" t="s">
        <v>44</v>
      </c>
    </row>
    <row r="18" spans="1:18" ht="12.4" customHeight="1" x14ac:dyDescent="0.25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166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4"/>
      <c r="L24" s="84" t="s">
        <v>44</v>
      </c>
    </row>
    <row r="25" spans="1:18" ht="12.4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" t="s">
        <v>35</v>
      </c>
      <c r="K27" s="74"/>
      <c r="L27" s="84" t="s">
        <v>44</v>
      </c>
      <c r="R27" s="3"/>
    </row>
    <row r="28" spans="1:18" ht="12.4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62</v>
      </c>
      <c r="D29">
        <f>ROUNDDOWN(E29/24,0)</f>
        <v>0</v>
      </c>
      <c r="E29" s="39"/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0</v>
      </c>
      <c r="L31" s="89" t="s">
        <v>44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172</v>
      </c>
      <c r="F34" s="5"/>
      <c r="H34" s="22"/>
    </row>
    <row r="35" spans="2:12" ht="12.4" customHeight="1" x14ac:dyDescent="0.25">
      <c r="B35" s="39"/>
      <c r="C35" s="2" t="s">
        <v>49</v>
      </c>
      <c r="E35" s="39"/>
      <c r="F35" t="s">
        <v>44</v>
      </c>
      <c r="H35" s="42"/>
    </row>
    <row r="36" spans="2:12" ht="12.4" customHeight="1" x14ac:dyDescent="0.25">
      <c r="B36" s="39"/>
      <c r="C36" s="2" t="s">
        <v>2</v>
      </c>
      <c r="D36" s="23"/>
      <c r="E36" s="39"/>
      <c r="F36" s="16" t="s">
        <v>50</v>
      </c>
      <c r="H36" s="42"/>
      <c r="I36" s="2"/>
    </row>
    <row r="37" spans="2:12" ht="12.4" customHeight="1" x14ac:dyDescent="0.25">
      <c r="B37" s="39"/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45</v>
      </c>
      <c r="K43" s="47">
        <f>B9+B28+H9+K9+E9+E28</f>
        <v>0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46</v>
      </c>
      <c r="K44" s="13">
        <f>B10+B29+H10+K10+E10+E29+B37</f>
        <v>0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0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>H61*15</f>
        <v>0</v>
      </c>
      <c r="H61" s="26">
        <f>B46</f>
        <v>0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>H62*15</f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10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45861</v>
      </c>
      <c r="E1" s="95"/>
      <c r="F1" s="95"/>
      <c r="H1" s="63" t="s">
        <v>143</v>
      </c>
      <c r="I1" s="64">
        <f>Mon!D1+49-1</f>
        <v>45907</v>
      </c>
      <c r="K1" s="17" t="s">
        <v>94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151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153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/>
      <c r="F24" s="2" t="s">
        <v>2</v>
      </c>
      <c r="H24" s="17" t="s">
        <v>90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86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>H60*15</f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>H61*15</f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45862</v>
      </c>
      <c r="E1" s="95"/>
      <c r="F1" s="95"/>
      <c r="G1" s="1"/>
      <c r="H1" s="63" t="s">
        <v>143</v>
      </c>
      <c r="I1" s="64">
        <f>Mon!D1+49-1</f>
        <v>45907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103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152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151</v>
      </c>
      <c r="H17" s="39"/>
      <c r="I17" s="16" t="s">
        <v>153</v>
      </c>
    </row>
    <row r="18" spans="2:10" x14ac:dyDescent="0.25">
      <c r="B18" s="39"/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156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144</v>
      </c>
      <c r="C27" s="5"/>
      <c r="E27" s="17" t="s">
        <v>157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45862</v>
      </c>
      <c r="E35" s="95"/>
      <c r="F35" s="95"/>
      <c r="H35" s="63" t="s">
        <v>143</v>
      </c>
      <c r="I35" s="64">
        <f>I1</f>
        <v>45907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103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76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155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102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>H90*15</f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I2" sqref="I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45863</v>
      </c>
      <c r="E1" s="95"/>
      <c r="F1" s="95"/>
      <c r="H1" s="63" t="s">
        <v>143</v>
      </c>
      <c r="I1" s="64">
        <f>Mon!D1+49-1</f>
        <v>45907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/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164</v>
      </c>
      <c r="L15" s="73"/>
    </row>
    <row r="16" spans="1:15" ht="12.75" customHeight="1" x14ac:dyDescent="0.25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74"/>
      <c r="L16" s="75" t="s">
        <v>44</v>
      </c>
    </row>
    <row r="17" spans="1:15" ht="12.75" customHeight="1" x14ac:dyDescent="0.25">
      <c r="B17" s="39"/>
      <c r="C17" s="2" t="s">
        <v>151</v>
      </c>
      <c r="E17" s="39"/>
      <c r="F17" s="2" t="s">
        <v>151</v>
      </c>
      <c r="H17" s="39"/>
      <c r="I17" s="2" t="s">
        <v>151</v>
      </c>
      <c r="K17" s="76"/>
      <c r="L17" s="75"/>
    </row>
    <row r="18" spans="1:15" ht="12.75" customHeight="1" thickBot="1" x14ac:dyDescent="0.3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7" t="s">
        <v>182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183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>H62*15</f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31</v>
      </c>
      <c r="D1" s="46"/>
      <c r="E1" s="46"/>
      <c r="F1" s="63" t="s">
        <v>143</v>
      </c>
      <c r="G1" s="64">
        <f>Mon!D1+49-1</f>
        <v>45907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>B7+F7+J7</f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>G61*15</f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30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0</v>
      </c>
      <c r="P3" s="53">
        <f>O3/125</f>
        <v>0</v>
      </c>
      <c r="R3" s="51" t="s">
        <v>117</v>
      </c>
      <c r="S3" s="55">
        <f>12*(D8+J4)</f>
        <v>0</v>
      </c>
      <c r="T3" s="55">
        <f>15*(A4+D4+G4+J7+J5)+20*D12</f>
        <v>0</v>
      </c>
      <c r="U3" s="55">
        <f>15*(A5+A9+D5+D9+D10+D11+G5+J6+J8+J10)+20*(A8+D13+G7)</f>
        <v>285</v>
      </c>
      <c r="V3" s="55">
        <f>15*(A6+J11)</f>
        <v>90</v>
      </c>
      <c r="W3" s="55">
        <f>15*D6</f>
        <v>0</v>
      </c>
      <c r="X3" s="55">
        <f>15*(A7+D7+G6+J9)</f>
        <v>0</v>
      </c>
    </row>
    <row r="4" spans="1:24" ht="12.75" customHeight="1" x14ac:dyDescent="0.25">
      <c r="A4" s="31">
        <f>Mon!B70+Tues!B43+Wed!B42+Thurs!B72+Fri!B44+NFLD!A43</f>
        <v>0</v>
      </c>
      <c r="B4" s="2" t="s">
        <v>41</v>
      </c>
      <c r="C4" s="7"/>
      <c r="D4" s="31">
        <f>Mon!E70+Tues!E43+Wed!E42+Thurs!E72+Fri!E44+NFLD!D43</f>
        <v>0</v>
      </c>
      <c r="E4" s="2" t="s">
        <v>19</v>
      </c>
      <c r="F4" s="7"/>
      <c r="G4" s="31">
        <f>Mon!H70+Tues!H43+Wed!H42+Thurs!H72+Fri!H44+NFLD!G43</f>
        <v>0</v>
      </c>
      <c r="H4" s="2" t="s">
        <v>45</v>
      </c>
      <c r="I4" s="7"/>
      <c r="J4" s="31">
        <f>Mon!K70+Tues!K43+Wed!K42+Thurs!K72+Fri!K44+NFLD!J43</f>
        <v>0</v>
      </c>
      <c r="K4" s="2" t="s">
        <v>9</v>
      </c>
      <c r="M4" s="42"/>
      <c r="N4" s="52" t="s">
        <v>7</v>
      </c>
      <c r="O4" s="53">
        <f>J5*10</f>
        <v>0</v>
      </c>
      <c r="P4" s="53">
        <f>O4/130</f>
        <v>0</v>
      </c>
      <c r="R4" s="51" t="s">
        <v>118</v>
      </c>
      <c r="S4" s="55">
        <f t="shared" ref="S4:X4" si="0">S3/15</f>
        <v>0</v>
      </c>
      <c r="T4" s="55">
        <f t="shared" si="0"/>
        <v>0</v>
      </c>
      <c r="U4" s="55">
        <f t="shared" si="0"/>
        <v>19</v>
      </c>
      <c r="V4" s="55">
        <f t="shared" si="0"/>
        <v>6</v>
      </c>
      <c r="W4" s="55">
        <f t="shared" si="0"/>
        <v>0</v>
      </c>
      <c r="X4" s="55">
        <f t="shared" si="0"/>
        <v>0</v>
      </c>
    </row>
    <row r="5" spans="1:24" ht="12.75" customHeight="1" x14ac:dyDescent="0.25">
      <c r="A5" s="26">
        <f>Mon!B71+Tues!B44+Wed!B43+Thurs!B73+Fri!B45+NFLD!A44</f>
        <v>0</v>
      </c>
      <c r="B5" s="2" t="s">
        <v>42</v>
      </c>
      <c r="C5" s="24"/>
      <c r="D5" s="26">
        <f>Mon!E71+Tues!E44+Wed!E43+Thurs!E73+Fri!E45+NFLD!D44</f>
        <v>0</v>
      </c>
      <c r="E5" s="2" t="s">
        <v>20</v>
      </c>
      <c r="G5" s="26">
        <f>Mon!H71+Tues!H44+Wed!H43+Thurs!H73+Fri!H45+NFLD!G44</f>
        <v>0</v>
      </c>
      <c r="H5" s="2" t="s">
        <v>46</v>
      </c>
      <c r="J5" s="26">
        <f>Mon!K71+Tues!K44+Wed!K43+Thurs!K73+Fri!K45+NFLD!J44</f>
        <v>0</v>
      </c>
      <c r="K5" s="2" t="s">
        <v>7</v>
      </c>
      <c r="M5" s="42"/>
      <c r="N5" s="52" t="s">
        <v>8</v>
      </c>
      <c r="O5" s="53">
        <f>J6*10</f>
        <v>0</v>
      </c>
      <c r="P5" s="53">
        <f>O5/130</f>
        <v>0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0</v>
      </c>
      <c r="H6" s="2" t="s">
        <v>30</v>
      </c>
      <c r="J6" s="26">
        <f>Mon!K72+Tues!K45+Wed!K44+Thurs!K74+Fri!K46+NFLD!J45</f>
        <v>0</v>
      </c>
      <c r="K6" s="2" t="s">
        <v>8</v>
      </c>
      <c r="M6" s="42"/>
      <c r="N6" s="52" t="s">
        <v>51</v>
      </c>
      <c r="O6" s="53">
        <f>J7*15</f>
        <v>0</v>
      </c>
      <c r="P6" s="53">
        <f>O6/150</f>
        <v>0</v>
      </c>
    </row>
    <row r="7" spans="1:24" ht="12.75" customHeight="1" x14ac:dyDescent="0.25">
      <c r="A7" s="26">
        <f>Mon!B73+Tues!B46+Wed!B45+Thurs!B75+Fri!B47+NFLD!A46</f>
        <v>0</v>
      </c>
      <c r="B7" s="2" t="s">
        <v>5</v>
      </c>
      <c r="C7" s="24"/>
      <c r="D7" s="26">
        <f>Mon!E73+Tues!E46+Wed!E45+Thurs!E75+Fri!E47+NFLD!D46</f>
        <v>0</v>
      </c>
      <c r="E7" s="2" t="s">
        <v>21</v>
      </c>
      <c r="G7" s="26">
        <f>Mon!H73+Tues!H46+Wed!H45+Thurs!H75+Fri!H47+NFLD!G46</f>
        <v>0</v>
      </c>
      <c r="H7" s="2" t="s">
        <v>102</v>
      </c>
      <c r="J7" s="26">
        <f>Mon!K73+Tues!K46+Wed!K45+Thurs!K75+Fri!K47+NFLD!J46</f>
        <v>0</v>
      </c>
      <c r="K7" s="2" t="s">
        <v>51</v>
      </c>
      <c r="M7" s="42"/>
      <c r="N7" s="52" t="s">
        <v>44</v>
      </c>
      <c r="O7" s="53">
        <f>J8*15</f>
        <v>0</v>
      </c>
      <c r="P7" s="53">
        <f>O7/150</f>
        <v>0</v>
      </c>
      <c r="R7" s="12" t="s">
        <v>105</v>
      </c>
      <c r="S7" s="60">
        <f>Mon!C2</f>
        <v>30</v>
      </c>
    </row>
    <row r="8" spans="1:24" ht="12.75" customHeight="1" x14ac:dyDescent="0.25">
      <c r="A8" s="26">
        <f>Mon!B74+Tues!B47+Wed!B46+Thurs!B76+Fri!B48+NFLD!A47</f>
        <v>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0</v>
      </c>
      <c r="K8" s="2" t="s">
        <v>44</v>
      </c>
      <c r="M8" s="42"/>
      <c r="N8" s="52" t="s">
        <v>2</v>
      </c>
      <c r="O8" s="53">
        <f>J9*15</f>
        <v>0</v>
      </c>
      <c r="P8" s="53">
        <f>O8/150</f>
        <v>0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0</v>
      </c>
      <c r="B9" s="2" t="s">
        <v>15</v>
      </c>
      <c r="C9" s="24"/>
      <c r="D9" s="26">
        <f>Mon!E75+Tues!E48+Wed!E47+Thurs!E77+Fri!E49+NFLD!D48</f>
        <v>0</v>
      </c>
      <c r="E9" s="2" t="s">
        <v>22</v>
      </c>
      <c r="J9" s="26">
        <f>Mon!K75+Tues!K48+Wed!K47+Thurs!K77+Fri!K49+NFLD!J48</f>
        <v>0</v>
      </c>
      <c r="K9" s="2" t="s">
        <v>2</v>
      </c>
      <c r="M9" s="42"/>
      <c r="N9" s="52" t="s">
        <v>121</v>
      </c>
      <c r="O9" s="53">
        <f>7*(J10+J11)+8*(D12+D13+G7)+5*A9</f>
        <v>175</v>
      </c>
      <c r="P9" s="53">
        <f>O9/140</f>
        <v>1.25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19</v>
      </c>
      <c r="K10" s="2" t="s">
        <v>1</v>
      </c>
      <c r="M10" s="42"/>
      <c r="N10" s="52" t="s">
        <v>41</v>
      </c>
      <c r="O10" s="53">
        <f>A4*15</f>
        <v>0</v>
      </c>
      <c r="P10" s="53">
        <f>O10/250</f>
        <v>0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6</v>
      </c>
      <c r="K11" s="2" t="s">
        <v>0</v>
      </c>
      <c r="M11" s="42"/>
      <c r="N11" s="52" t="s">
        <v>42</v>
      </c>
      <c r="O11" s="53">
        <f>A5*15</f>
        <v>0</v>
      </c>
      <c r="P11" s="53">
        <f>O11/250</f>
        <v>0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>A6*15</f>
        <v>0</v>
      </c>
      <c r="P12" s="53">
        <f>O12/250</f>
        <v>0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0</v>
      </c>
      <c r="E13" s="2" t="s">
        <v>28</v>
      </c>
      <c r="M13" s="42"/>
      <c r="N13" s="52" t="s">
        <v>5</v>
      </c>
      <c r="O13" s="53">
        <f>A7*15</f>
        <v>0</v>
      </c>
      <c r="P13" s="53">
        <f>O13/250</f>
        <v>0</v>
      </c>
      <c r="S13" s="59"/>
    </row>
    <row r="14" spans="1:24" ht="12.75" customHeight="1" x14ac:dyDescent="0.25">
      <c r="A14" s="7"/>
      <c r="N14" s="52" t="s">
        <v>126</v>
      </c>
      <c r="O14" s="53">
        <f>5*A9</f>
        <v>0</v>
      </c>
      <c r="P14" s="53">
        <f>O14/50</f>
        <v>0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0</v>
      </c>
      <c r="P15" s="53">
        <f>O15/250</f>
        <v>0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0</v>
      </c>
      <c r="P16" s="53">
        <f>O16/250</f>
        <v>0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>15*G5</f>
        <v>0</v>
      </c>
      <c r="P17" s="53">
        <f>O17/250</f>
        <v>0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0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>15*G6</f>
        <v>0</v>
      </c>
      <c r="P18" s="53">
        <f>O18/250</f>
        <v>0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0</v>
      </c>
      <c r="E19" s="2" t="s">
        <v>8</v>
      </c>
      <c r="F19" s="24"/>
      <c r="G19" s="14">
        <f>Mon!K87+Tues!K60+Thurs!K89+Fri!K61</f>
        <v>0</v>
      </c>
      <c r="H19" s="2" t="s">
        <v>6</v>
      </c>
      <c r="N19" s="52" t="s">
        <v>127</v>
      </c>
      <c r="O19" s="53">
        <f>8*G7</f>
        <v>0</v>
      </c>
      <c r="P19" s="53">
        <f>O19/50</f>
        <v>0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0</v>
      </c>
      <c r="P20" s="53">
        <f>O20/150</f>
        <v>0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0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>15*D5</f>
        <v>0</v>
      </c>
      <c r="P21" s="53">
        <f>O21/150</f>
        <v>0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0</v>
      </c>
      <c r="E22" s="2" t="s">
        <v>50</v>
      </c>
      <c r="F22" s="24"/>
      <c r="G22" s="14">
        <f>Mon!K90+Tues!K63+Thurs!K92+Fri!K64</f>
        <v>0</v>
      </c>
      <c r="H22" s="2" t="s">
        <v>103</v>
      </c>
      <c r="N22" s="52" t="s">
        <v>27</v>
      </c>
      <c r="O22" s="53">
        <f>15*D6</f>
        <v>0</v>
      </c>
      <c r="P22" s="53">
        <f>O22/150</f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0</v>
      </c>
      <c r="E23" s="2" t="s">
        <v>103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>15*D7</f>
        <v>0</v>
      </c>
      <c r="P23" s="53">
        <f>O23/150</f>
        <v>0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0</v>
      </c>
      <c r="P25" s="53">
        <f>O25/130</f>
        <v>0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0</v>
      </c>
      <c r="P29" s="53">
        <f>O29/50</f>
        <v>0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0</v>
      </c>
      <c r="P32" s="51">
        <f>O32/25-24*(G17+G20+G23)</f>
        <v>0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19</v>
      </c>
      <c r="P33" s="51">
        <f>O33/25-24*(G18+G21+G24)-20*G19</f>
        <v>0.76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0</v>
      </c>
      <c r="P34" s="51">
        <f>O34/25</f>
        <v>0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6</v>
      </c>
      <c r="P35" s="51">
        <f>O35/25</f>
        <v>0.24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0</v>
      </c>
      <c r="P36" s="51">
        <f>O36/25</f>
        <v>0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0</v>
      </c>
      <c r="P37" s="51">
        <f>O37/20</f>
        <v>0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0</v>
      </c>
      <c r="P38" s="51">
        <f>O38/20-13*G22</f>
        <v>0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2025-07-11T18:00:22Z</cp:lastPrinted>
  <dcterms:created xsi:type="dcterms:W3CDTF">2014-06-06T13:58:10Z</dcterms:created>
  <dcterms:modified xsi:type="dcterms:W3CDTF">2025-07-21T11:39:44Z</dcterms:modified>
</cp:coreProperties>
</file>