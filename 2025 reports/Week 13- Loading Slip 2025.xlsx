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B5D1632C-3613-4DA7-8615-D17B8DF9068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P32" i="12" l="1"/>
  <c r="P33" i="12"/>
  <c r="P34" i="12"/>
  <c r="P35" i="12"/>
  <c r="P36" i="12"/>
  <c r="P37" i="12"/>
  <c r="P38" i="12"/>
  <c r="D1" i="4" l="1"/>
  <c r="K47" i="10" l="1"/>
  <c r="K46" i="10"/>
  <c r="G1" i="11" l="1"/>
  <c r="C1" i="11"/>
  <c r="D1" i="9"/>
  <c r="D1" i="8"/>
  <c r="D35" i="8" s="1"/>
  <c r="D1" i="10"/>
  <c r="D1" i="7"/>
  <c r="I1" i="10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2" i="8"/>
  <c r="K91" i="8"/>
  <c r="K90" i="8"/>
  <c r="K94" i="8"/>
  <c r="K61" i="7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O38" i="12"/>
  <c r="O34" i="12"/>
  <c r="O14" i="12"/>
  <c r="P14" i="12" s="1"/>
  <c r="O15" i="12"/>
  <c r="P15" i="12" s="1"/>
  <c r="O36" i="12"/>
  <c r="O33" i="12"/>
  <c r="O32" i="12"/>
  <c r="W3" i="12"/>
  <c r="W4" i="12" s="1"/>
  <c r="O24" i="12"/>
  <c r="P24" i="12" s="1"/>
  <c r="O37" i="12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<sst xmlns="http://schemas.openxmlformats.org/spreadsheetml/2006/main" count="1137" uniqueCount="193">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</sst>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G1" sqref="G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45740</v>
      </c>
      <c r="E1" s="96"/>
      <c r="F1" s="96"/>
      <c r="H1" s="63" t="s">
        <v>143</v>
      </c>
      <c r="I1" s="64">
        <f>D1+42-1</f>
        <v>45781</v>
      </c>
      <c r="L1" s="19" t="s">
        <v>38</v>
      </c>
    </row>
    <row r="2" spans="1:12" ht="15.75" x14ac:dyDescent="0.25">
      <c r="B2" s="41" t="s">
        <v>105</v>
      </c>
      <c r="C2" s="50">
        <v>13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26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7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6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4874619277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2</v>
      </c>
      <c r="C19" s="2" t="s">
        <v>153</v>
      </c>
      <c r="E19" s="39">
        <f>SUM(E16:E18)</f>
        <v>25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48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45740</v>
      </c>
      <c r="E34" s="96"/>
      <c r="F34" s="96"/>
      <c r="H34" s="63" t="s">
        <v>143</v>
      </c>
      <c r="I34" s="67">
        <f>I1</f>
        <v>45781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4</v>
      </c>
      <c r="F37" s="2" t="s">
        <v>19</v>
      </c>
      <c r="H37" s="39">
        <v>8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24</v>
      </c>
      <c r="F38" s="2" t="s">
        <v>20</v>
      </c>
      <c r="H38" s="39">
        <v>24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2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8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11</v>
      </c>
      <c r="F42" s="2" t="s">
        <v>22</v>
      </c>
      <c r="H42" s="39">
        <v>25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6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27</v>
      </c>
      <c r="F46" s="16" t="s">
        <v>28</v>
      </c>
      <c r="H46" s="39">
        <v>65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69</v>
      </c>
      <c r="F47" s="2" t="s">
        <v>35</v>
      </c>
      <c r="H47" s="39">
        <f>SUM(H37:H46)</f>
        <v>125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9996</v>
      </c>
      <c r="H49" s="2" t="s">
        <v>36</v>
      </c>
      <c r="I49" s="16">
        <v>292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1</v>
      </c>
      <c r="C51" s="2" t="s">
        <v>153</v>
      </c>
    </row>
    <row r="52" spans="2:12" ht="15.75" thickBot="1" x14ac:dyDescent="0.3">
      <c r="B52" s="39">
        <v>1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33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0</v>
      </c>
      <c r="H56" s="39">
        <v>0</v>
      </c>
      <c r="I56" s="2" t="s">
        <v>103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/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180</v>
      </c>
      <c r="E70" s="15">
        <f t="shared" ref="E70:E79" si="0">H5+E37+H37</f>
        <v>12</v>
      </c>
      <c r="F70" s="2" t="s">
        <v>19</v>
      </c>
      <c r="H70" s="13">
        <f>E5+H53</f>
        <v>0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720</v>
      </c>
      <c r="E71" s="14">
        <f t="shared" si="0"/>
        <v>48</v>
      </c>
      <c r="F71" s="2" t="s">
        <v>20</v>
      </c>
      <c r="H71" s="14">
        <f>E6+E16+E59+H54+E53</f>
        <v>74</v>
      </c>
      <c r="I71" s="2" t="s">
        <v>46</v>
      </c>
      <c r="K71" s="13">
        <f>B11+E10+B31+B43+H58</f>
        <v>18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6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10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34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9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360</v>
      </c>
      <c r="E75" s="14">
        <f t="shared" si="0"/>
        <v>36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736</v>
      </c>
      <c r="E79" s="14">
        <f t="shared" si="0"/>
        <v>92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60</v>
      </c>
      <c r="H87" s="29">
        <f>K72</f>
        <v>6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5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170</v>
      </c>
      <c r="H90" s="21">
        <f>B74</f>
        <v>34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80</v>
      </c>
      <c r="H91" s="21">
        <f>H73</f>
        <v>10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4: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45741</v>
      </c>
      <c r="E1" s="95"/>
      <c r="F1" s="95"/>
      <c r="H1" s="63" t="s">
        <v>143</v>
      </c>
      <c r="I1" s="64">
        <f>Mon!D1+42-1</f>
        <v>45781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5</v>
      </c>
      <c r="F9" s="2" t="s">
        <v>9</v>
      </c>
      <c r="H9" s="39">
        <v>4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7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1</v>
      </c>
      <c r="I17" s="2" t="s">
        <v>151</v>
      </c>
      <c r="K17" s="74">
        <v>5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83</v>
      </c>
      <c r="C21" s="2" t="s">
        <v>35</v>
      </c>
      <c r="E21" s="39">
        <f>SUM(E4:E20)</f>
        <v>42</v>
      </c>
      <c r="F21" s="2" t="s">
        <v>35</v>
      </c>
      <c r="H21" s="39">
        <f>SUM(H4:H20)</f>
        <v>56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5</v>
      </c>
      <c r="F27" s="2" t="s">
        <v>103</v>
      </c>
      <c r="H27" s="39">
        <f>SUM(H24:H26)</f>
        <v>10</v>
      </c>
      <c r="I27" s="2" t="s">
        <v>35</v>
      </c>
      <c r="K27" s="74">
        <v>26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7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46</v>
      </c>
      <c r="C30" s="2" t="s">
        <v>35</v>
      </c>
      <c r="E30" s="39">
        <f>SUM(E24:E29)</f>
        <v>26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50</v>
      </c>
      <c r="L31" s="89" t="s">
        <v>44</v>
      </c>
    </row>
    <row r="32" spans="1:18" ht="12.4" customHeight="1" x14ac:dyDescent="0.25">
      <c r="B32" s="2" t="s">
        <v>36</v>
      </c>
      <c r="C32" s="16">
        <v>4874673384</v>
      </c>
      <c r="E32" s="2" t="s">
        <v>36</v>
      </c>
      <c r="F32" s="16">
        <v>4874673393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23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15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30</v>
      </c>
      <c r="L43" s="2" t="s">
        <v>9</v>
      </c>
    </row>
    <row r="44" spans="2:12" x14ac:dyDescent="0.25">
      <c r="B44" s="26">
        <f>B5+H5+K5+E5</f>
        <v>20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41</v>
      </c>
      <c r="I44" s="2" t="s">
        <v>46</v>
      </c>
      <c r="K44" s="13">
        <f>B10+B29+H10+K10+E10+E29+B37</f>
        <v>41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19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73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555</v>
      </c>
      <c r="H63" s="21">
        <f>B47</f>
        <v>111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152</v>
      </c>
      <c r="H64" s="21">
        <f>H46</f>
        <v>19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16" sqref="G1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45742</v>
      </c>
      <c r="E1" s="95"/>
      <c r="F1" s="95"/>
      <c r="H1" s="63" t="s">
        <v>143</v>
      </c>
      <c r="I1" s="64">
        <f>Mon!D1+49-1</f>
        <v>45788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5</v>
      </c>
      <c r="F5" s="2" t="s">
        <v>42</v>
      </c>
      <c r="H5" s="39">
        <v>7</v>
      </c>
      <c r="I5" s="2" t="s">
        <v>42</v>
      </c>
      <c r="K5" s="39">
        <v>16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1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6</v>
      </c>
      <c r="I7" s="16" t="s">
        <v>6</v>
      </c>
      <c r="K7" s="39">
        <v>5</v>
      </c>
      <c r="L7" s="2" t="s">
        <v>51</v>
      </c>
    </row>
    <row r="8" spans="2:12" ht="12.75" customHeight="1" x14ac:dyDescent="0.25">
      <c r="B8" s="24"/>
      <c r="C8" s="2"/>
      <c r="E8" s="39">
        <v>17</v>
      </c>
      <c r="F8" s="16" t="s">
        <v>7</v>
      </c>
      <c r="H8" s="39">
        <f>SUM(H4:H7)</f>
        <v>16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34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4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31</v>
      </c>
      <c r="F18" s="22" t="s">
        <v>35</v>
      </c>
      <c r="H18" s="39">
        <f>SUM(H12:H17)</f>
        <v>31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6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16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11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0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86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2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10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4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41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12</v>
      </c>
      <c r="L45" s="2" t="s">
        <v>51</v>
      </c>
    </row>
    <row r="46" spans="2:12" x14ac:dyDescent="0.25">
      <c r="B46" s="91">
        <f>E15+E26+H7+H15+K5+K18+K18</f>
        <v>44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8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150</v>
      </c>
      <c r="H60" s="26">
        <f>B45</f>
        <v>10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220</v>
      </c>
      <c r="H62" s="21">
        <f>B46</f>
        <v>44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31" sqref="I31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45743</v>
      </c>
      <c r="E1" s="95"/>
      <c r="F1" s="95"/>
      <c r="G1" s="1"/>
      <c r="H1" s="63" t="s">
        <v>143</v>
      </c>
      <c r="I1" s="64">
        <f>Mon!D1+49-1</f>
        <v>45788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6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4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8</v>
      </c>
      <c r="C10" s="2" t="s">
        <v>7</v>
      </c>
      <c r="E10" s="39">
        <v>0</v>
      </c>
      <c r="F10" s="16" t="s">
        <v>8</v>
      </c>
      <c r="H10" s="39">
        <f>SUM(H4:H9)</f>
        <v>32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4874704737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28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1832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9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45743</v>
      </c>
      <c r="E35" s="95"/>
      <c r="F35" s="95"/>
      <c r="H35" s="63" t="s">
        <v>143</v>
      </c>
      <c r="I35" s="64">
        <f>I1</f>
        <v>45788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4</v>
      </c>
      <c r="I38" s="2" t="s">
        <v>19</v>
      </c>
      <c r="K38" s="39">
        <v>6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3</v>
      </c>
      <c r="E39" s="39">
        <v>72</v>
      </c>
      <c r="F39" s="2" t="s">
        <v>31</v>
      </c>
      <c r="H39" s="39">
        <v>16</v>
      </c>
      <c r="I39" s="2" t="s">
        <v>20</v>
      </c>
      <c r="K39" s="39">
        <v>22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4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0</v>
      </c>
      <c r="E41" s="39">
        <v>0</v>
      </c>
      <c r="F41" s="2" t="s">
        <v>103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1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20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102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44</v>
      </c>
      <c r="E46" s="2" t="s">
        <v>36</v>
      </c>
      <c r="F46" s="16">
        <v>4874710988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32</v>
      </c>
      <c r="I47" s="16" t="s">
        <v>28</v>
      </c>
      <c r="K47" s="39">
        <v>59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74</v>
      </c>
      <c r="I48" s="2" t="s">
        <v>35</v>
      </c>
      <c r="K48" s="39">
        <f>SUM(K38:K47)</f>
        <v>124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1865</v>
      </c>
      <c r="K50" s="2" t="s">
        <v>36</v>
      </c>
      <c r="L50" s="16">
        <v>1859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40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62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3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180</v>
      </c>
      <c r="E72" s="36">
        <f t="shared" ref="E72:E81" si="0">K4+H38+K38</f>
        <v>12</v>
      </c>
      <c r="F72" s="2" t="s">
        <v>19</v>
      </c>
      <c r="H72" s="13">
        <f>H4+E38</f>
        <v>4</v>
      </c>
      <c r="I72" s="2" t="s">
        <v>45</v>
      </c>
      <c r="K72" s="47">
        <f>B9+E8+H8+B43+E42</f>
        <v>23</v>
      </c>
      <c r="L72" s="2" t="s">
        <v>9</v>
      </c>
    </row>
    <row r="73" spans="2:12" x14ac:dyDescent="0.25">
      <c r="B73" s="26">
        <f>B5+E5+B39</f>
        <v>20</v>
      </c>
      <c r="C73" s="2" t="s">
        <v>42</v>
      </c>
      <c r="D73" s="35">
        <f t="shared" ref="D73:D79" si="1">E73*15</f>
        <v>735</v>
      </c>
      <c r="E73" s="37">
        <f t="shared" si="0"/>
        <v>49</v>
      </c>
      <c r="F73" s="2" t="s">
        <v>20</v>
      </c>
      <c r="H73" s="47">
        <f>H5+H15+E50+E39+E57</f>
        <v>156</v>
      </c>
      <c r="I73" s="2" t="s">
        <v>46</v>
      </c>
      <c r="K73" s="47">
        <f>B10+E9+H9+B44+E43</f>
        <v>66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7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12</v>
      </c>
      <c r="I75" s="2" t="s">
        <v>102</v>
      </c>
      <c r="K75" s="47">
        <f>B28+K54</f>
        <v>14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2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590</v>
      </c>
      <c r="E77" s="37">
        <f t="shared" si="0"/>
        <v>59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808</v>
      </c>
      <c r="E81" s="37">
        <f t="shared" si="0"/>
        <v>101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5</v>
      </c>
      <c r="C91" s="2" t="s">
        <v>12</v>
      </c>
      <c r="G91" s="35">
        <f>H91*15</f>
        <v>105</v>
      </c>
      <c r="H91" s="21">
        <f>H74</f>
        <v>7</v>
      </c>
      <c r="I91" s="2" t="s">
        <v>30</v>
      </c>
      <c r="K91" s="14">
        <f>G5+D39</f>
        <v>3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96</v>
      </c>
      <c r="H93" s="21">
        <f>H75</f>
        <v>12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39" sqref="L3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45744</v>
      </c>
      <c r="E1" s="95"/>
      <c r="F1" s="95"/>
      <c r="H1" s="63" t="s">
        <v>143</v>
      </c>
      <c r="I1" s="64">
        <f>Mon!D1+49-1</f>
        <v>45788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6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1</v>
      </c>
      <c r="F16" s="2" t="s">
        <v>152</v>
      </c>
      <c r="H16" s="39">
        <v>0</v>
      </c>
      <c r="I16" s="2" t="s">
        <v>152</v>
      </c>
      <c r="K16" s="74">
        <v>10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25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79</v>
      </c>
      <c r="C21" s="22" t="s">
        <v>35</v>
      </c>
      <c r="E21" s="39">
        <f>SUM(E4:E20)</f>
        <v>43</v>
      </c>
      <c r="F21" s="22" t="s">
        <v>35</v>
      </c>
      <c r="H21" s="39">
        <f>SUM(H4:H20)</f>
        <v>63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10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40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7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25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44</v>
      </c>
      <c r="C30" s="22" t="s">
        <v>35</v>
      </c>
      <c r="E30" s="39">
        <f>SUM(E24:E29)</f>
        <v>38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110</v>
      </c>
      <c r="L31" s="87" t="s">
        <v>44</v>
      </c>
    </row>
    <row r="32" spans="1:15" ht="12.75" customHeight="1" x14ac:dyDescent="0.25">
      <c r="B32" s="2" t="s">
        <v>36</v>
      </c>
      <c r="C32" s="16">
        <v>4874725849</v>
      </c>
      <c r="E32" s="2" t="s">
        <v>36</v>
      </c>
      <c r="F32" s="13">
        <v>4874725695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6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19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28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56</v>
      </c>
      <c r="L44" s="2" t="s">
        <v>9</v>
      </c>
    </row>
    <row r="45" spans="2:15" x14ac:dyDescent="0.25">
      <c r="B45" s="26">
        <f>B5+E5+K5+H5+N5</f>
        <v>23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46</v>
      </c>
      <c r="K45" s="47">
        <f>B37+B10+B28+E10+K10+H10+N10+E28</f>
        <v>38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14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116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111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6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140</v>
      </c>
      <c r="H61" s="29">
        <f>K46</f>
        <v>14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580</v>
      </c>
      <c r="H64" s="21">
        <f>B48</f>
        <v>116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9" sqref="E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14</v>
      </c>
      <c r="D1" s="46"/>
      <c r="E1" s="46"/>
      <c r="F1" s="63" t="s">
        <v>143</v>
      </c>
      <c r="G1" s="64">
        <f>Mon!D1+49-1</f>
        <v>45788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>
        <v>0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13</v>
      </c>
      <c r="B6" s="39">
        <v>624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2</v>
      </c>
      <c r="J6" s="39">
        <v>96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6</v>
      </c>
      <c r="J12" s="44">
        <f>SUM(J5:J11)</f>
        <v>288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720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19" sqref="K19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13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2352</v>
      </c>
      <c r="P3" s="53">
        <f>O3/125</f>
        <v>18.815999999999999</v>
      </c>
      <c r="R3" s="51" t="s">
        <v>117</v>
      </c>
      <c r="S3" s="55">
        <f>12*(D8+J4)</f>
        <v>2400</v>
      </c>
      <c r="T3" s="55">
        <f>15*(A4+D4+G4+J7+J5)+20*D12</f>
        <v>7935</v>
      </c>
      <c r="U3" s="55">
        <f>15*(A5+A9+D5+D9+D10+D11+G5+J6+J8+J10)+20*(A8+D13+G7)</f>
        <v>39010</v>
      </c>
      <c r="V3" s="55">
        <f>15*(A6+J11)</f>
        <v>3105</v>
      </c>
      <c r="W3" s="55">
        <f>15*D6</f>
        <v>0</v>
      </c>
      <c r="X3" s="55">
        <f>15*(A7+D7+G6+J9)</f>
        <v>2310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24</v>
      </c>
      <c r="E4" s="2" t="s">
        <v>19</v>
      </c>
      <c r="F4" s="7"/>
      <c r="G4" s="31">
        <f>Mon!H70+Tues!H43+Wed!H42+Thurs!H72+Fri!H44+NFLD!G43</f>
        <v>10</v>
      </c>
      <c r="H4" s="2" t="s">
        <v>45</v>
      </c>
      <c r="I4" s="7"/>
      <c r="J4" s="31">
        <f>Mon!K70+Tues!K43+Wed!K42+Thurs!K72+Fri!K44+NFLD!J43</f>
        <v>196</v>
      </c>
      <c r="K4" s="2" t="s">
        <v>9</v>
      </c>
      <c r="M4" s="42"/>
      <c r="N4" s="52" t="s">
        <v>7</v>
      </c>
      <c r="O4" s="53">
        <f>J5*10</f>
        <v>3920</v>
      </c>
      <c r="P4" s="53">
        <f>O4/130</f>
        <v>30.153846153846153</v>
      </c>
      <c r="R4" s="51" t="s">
        <v>118</v>
      </c>
      <c r="S4" s="55">
        <f t="shared" ref="S4:X4" si="0">S3/15</f>
        <v>160</v>
      </c>
      <c r="T4" s="55">
        <f t="shared" si="0"/>
        <v>529</v>
      </c>
      <c r="U4" s="55">
        <f t="shared" si="0"/>
        <v>2600.6666666666665</v>
      </c>
      <c r="V4" s="55">
        <f t="shared" si="0"/>
        <v>207</v>
      </c>
      <c r="W4" s="55">
        <f t="shared" si="0"/>
        <v>0</v>
      </c>
      <c r="X4" s="55">
        <f t="shared" si="0"/>
        <v>154</v>
      </c>
    </row>
    <row r="5" spans="1:24" ht="12.75" customHeight="1" x14ac:dyDescent="0.25">
      <c r="A5" s="26">
        <f>Mon!B71+Tues!B44+Wed!B43+Thurs!B73+Fri!B45+NFLD!A44</f>
        <v>106</v>
      </c>
      <c r="B5" s="2" t="s">
        <v>42</v>
      </c>
      <c r="C5" s="24"/>
      <c r="D5" s="26">
        <f>Mon!E71+Tues!E44+Wed!E43+Thurs!E73+Fri!E45+NFLD!D44</f>
        <v>97</v>
      </c>
      <c r="E5" s="2" t="s">
        <v>20</v>
      </c>
      <c r="G5" s="26">
        <f>Mon!H71+Tues!H44+Wed!H43+Thurs!H73+Fri!H45+NFLD!G44</f>
        <v>286</v>
      </c>
      <c r="H5" s="2" t="s">
        <v>46</v>
      </c>
      <c r="J5" s="26">
        <f>Mon!K71+Tues!K44+Wed!K43+Thurs!K73+Fri!K45+NFLD!J44</f>
        <v>392</v>
      </c>
      <c r="K5" s="2" t="s">
        <v>7</v>
      </c>
      <c r="M5" s="42"/>
      <c r="N5" s="52" t="s">
        <v>8</v>
      </c>
      <c r="O5" s="53">
        <f>J6*10</f>
        <v>330</v>
      </c>
      <c r="P5" s="53">
        <f t="shared" ref="P5:P25" si="1">O5/130</f>
        <v>2.5384615384615383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33</v>
      </c>
      <c r="K6" s="2" t="s">
        <v>8</v>
      </c>
      <c r="M6" s="42"/>
      <c r="N6" s="52" t="s">
        <v>51</v>
      </c>
      <c r="O6" s="53">
        <f>J7*15</f>
        <v>1185</v>
      </c>
      <c r="P6" s="53">
        <f>O6/150</f>
        <v>7.9</v>
      </c>
    </row>
    <row r="7" spans="1:24" ht="12.75" customHeight="1" x14ac:dyDescent="0.25">
      <c r="A7" s="26">
        <f>Mon!B73+Tues!B46+Wed!B45+Thurs!B75+Fri!B47+NFLD!A46</f>
        <v>19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67</v>
      </c>
      <c r="H7" s="2" t="s">
        <v>102</v>
      </c>
      <c r="J7" s="26">
        <f>Mon!K73+Tues!K46+Wed!K45+Thurs!K75+Fri!K47+NFLD!J46</f>
        <v>79</v>
      </c>
      <c r="K7" s="2" t="s">
        <v>51</v>
      </c>
      <c r="M7" s="42"/>
      <c r="N7" s="52" t="s">
        <v>44</v>
      </c>
      <c r="O7" s="53">
        <f t="shared" ref="O7" si="2">J8*15</f>
        <v>14160</v>
      </c>
      <c r="P7" s="53">
        <f t="shared" ref="P7:P8" si="3">O7/150</f>
        <v>94.4</v>
      </c>
      <c r="R7" s="12" t="s">
        <v>105</v>
      </c>
      <c r="S7" s="60">
        <f>Mon!C2</f>
        <v>13</v>
      </c>
    </row>
    <row r="8" spans="1:24" ht="12.75" customHeight="1" x14ac:dyDescent="0.25">
      <c r="A8" s="26">
        <f>Mon!B74+Tues!B47+Wed!B46+Thurs!B76+Fri!B48+NFLD!A47</f>
        <v>345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944</v>
      </c>
      <c r="K8" s="2" t="s">
        <v>44</v>
      </c>
      <c r="M8" s="42"/>
      <c r="N8" s="52" t="s">
        <v>2</v>
      </c>
      <c r="O8" s="53">
        <f>J9*15</f>
        <v>1740</v>
      </c>
      <c r="P8" s="53">
        <f t="shared" si="3"/>
        <v>11.6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95</v>
      </c>
      <c r="E9" s="2" t="s">
        <v>22</v>
      </c>
      <c r="J9" s="26">
        <f>Mon!K75+Tues!K48+Wed!K47+Thurs!K77+Fri!K49+NFLD!J48</f>
        <v>116</v>
      </c>
      <c r="K9" s="2" t="s">
        <v>2</v>
      </c>
      <c r="M9" s="42"/>
      <c r="N9" s="52" t="s">
        <v>121</v>
      </c>
      <c r="O9" s="53">
        <f>7*(J10+J11)+8*(D12+D13+G7)+5*A9</f>
        <v>5119</v>
      </c>
      <c r="P9" s="53">
        <f>O9/140</f>
        <v>36.564285714285717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230</v>
      </c>
      <c r="K10" s="2" t="s">
        <v>1</v>
      </c>
      <c r="M10" s="42"/>
      <c r="N10" s="52" t="s">
        <v>41</v>
      </c>
      <c r="O10" s="53">
        <f>A4*15</f>
        <v>360</v>
      </c>
      <c r="P10" s="5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1590</v>
      </c>
      <c r="P11" s="53">
        <f t="shared" ref="P11:P13" si="5">O11/250</f>
        <v>6.36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193</v>
      </c>
      <c r="E13" s="2" t="s">
        <v>28</v>
      </c>
      <c r="M13" s="42"/>
      <c r="N13" s="52" t="s">
        <v>5</v>
      </c>
      <c r="O13" s="53">
        <f>A7*15</f>
        <v>285</v>
      </c>
      <c r="P13" s="53">
        <f t="shared" si="5"/>
        <v>1.1399999999999999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4290</v>
      </c>
      <c r="P17" s="53">
        <f t="shared" si="6"/>
        <v>17.16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33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536</v>
      </c>
      <c r="P19" s="53">
        <f>O19/50</f>
        <v>10.72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19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Mon!B89+Tues!B62+Wed!B61+Thurs!B91+Fri!B63+NFLD!A62</f>
        <v>12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4</v>
      </c>
      <c r="H21" s="2" t="s">
        <v>46</v>
      </c>
      <c r="N21" s="52" t="s">
        <v>20</v>
      </c>
      <c r="O21" s="53">
        <f t="shared" ref="O21:O23" si="8">15*D5</f>
        <v>1455</v>
      </c>
      <c r="P21" s="53">
        <f t="shared" ref="P21:P23" si="9">O21/150</f>
        <v>9.6999999999999993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345</v>
      </c>
      <c r="E22" s="2" t="s">
        <v>50</v>
      </c>
      <c r="F22" s="24"/>
      <c r="G22" s="14">
        <f>Mon!K90+Tues!K63+Thurs!K92+Fri!K64</f>
        <v>2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67</v>
      </c>
      <c r="E23" s="2" t="s">
        <v>103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950</v>
      </c>
      <c r="P25" s="53">
        <f t="shared" si="1"/>
        <v>7.3076923076923075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1544</v>
      </c>
      <c r="P29" s="53">
        <f>O29/50</f>
        <v>30.88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457</v>
      </c>
      <c r="P32" s="51">
        <f>O32/25-24*(G17+G20+G23)</f>
        <v>-53.72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1728</v>
      </c>
      <c r="P33" s="51">
        <f>O33/25-24*(G18+G21+G24)-20*G19</f>
        <v>-246.88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295</v>
      </c>
      <c r="P34" s="51">
        <f t="shared" ref="P34:P36" si="10">O34/25</f>
        <v>11.8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154</v>
      </c>
      <c r="P36" s="51">
        <f t="shared" si="10"/>
        <v>6.16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193</v>
      </c>
      <c r="P37" s="51">
        <f>O37/20</f>
        <v>9.65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41</v>
      </c>
      <c r="P38" s="51">
        <f>O38/20-13*G22</f>
        <v>-23.95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2025-03-26T17:47:11Z</cp:lastPrinted>
  <dcterms:created xsi:type="dcterms:W3CDTF">2014-06-06T13:58:10Z</dcterms:created>
  <dcterms:modified xsi:type="dcterms:W3CDTF">2025-03-31T11:55:37Z</dcterms:modified>
</cp:coreProperties>
</file>