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1F76EBE3-583E-495C-8112-1580B1FBB7D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3" i="9"/>
  <c r="K66" i="9"/>
  <c r="K92" i="8"/>
  <c r="K91" i="8"/>
  <c r="K94" i="8"/>
  <c r="K87" i="8"/>
  <c r="K61" i="7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<sst xmlns="http://schemas.openxmlformats.org/spreadsheetml/2006/main" count="1139" uniqueCount="195">
  <si>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</si>
  <si>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</si>
  <si>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</si>
  <si>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</si>
  <si>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</si>
  <si>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</si>
  <si>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</si>
  <si>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</si>
  <si>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</si>
  <si>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</si>
  <si>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</si>
  <si>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</si>
  <si>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</si>
  <si>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</si>
  <si>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</si>
  <si>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</si>
  <si>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</si>
  <si>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</si>
  <si>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</si>
  <si>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</si>
  <si>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</si>
  <si>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</si>
  <si>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</si>
  <si>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</si>
  <si>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</si>
  <si>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</si>
  <si>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</si>
  <si>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</si>
  <si>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</si>
  <si>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</si>
  <si>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</si>
  <si>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</si>
  <si>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</si>
  <si>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</si>
  <si>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</si>
  <si>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</si>
  <si>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</si>
  <si>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</si>
  <si>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</si>
  <si>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</si>
  <si>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</si>
  <si>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</si>
  <si>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</si>
  <si>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</si>
  <si>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</si>
  <si>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</si>
  <si>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</si>
  <si>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</si>
  <si>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</si>
  <si>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</si>
  <si>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</si>
  <si>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</si>
  <si>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</si>
  <si>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</si>
  <si>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</si>
  <si>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</si>
  <si>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</si>
  <si>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</si>
  <si>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</si>
  <si>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</si>
  <si>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</si>
  <si>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</si>
  <si>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</si>
  <si>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</si>
  <si>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</si>
  <si>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</si>
  <si>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</si>
  <si>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</si>
  <si>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</si>
  <si>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</si>
  <si>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</si>
  <si>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</si>
  <si>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</si>
  <si>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</si>
  <si>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</si>
  <si>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</si>
  <si>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</si>
  <si>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</si>
  <si>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</si>
  <si>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</si>
  <si>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</si>
  <si>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</si>
  <si>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</si>
  <si>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</si>
  <si>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</si>
  <si>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</si>
  <si>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</si>
  <si>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</si>
  <si>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</si>
  <si>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</si>
  <si>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</si>
  <si>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</si>
  <si>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</si>
  <si>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</si>
  <si>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</si>
  <si>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</si>
  <si>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</si>
  <si>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</si>
  <si>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</si>
  <si>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</si>
  <si>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</si>
  <si>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</si>
  <si>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</si>
  <si>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</si>
  <si>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</si>
  <si>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</si>
  <si>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</si>
  <si>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</si>
  <si>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</si>
  <si>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</si>
  <si>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</si>
  <si>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</si>
  <si>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</si>
  <si>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</si>
  <si>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</si>
  <si>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</si>
  <si>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</si>
  <si>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</si>
  <si>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</si>
  <si>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</si>
  <si>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</si>
  <si>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</si>
  <si>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</si>
  <si>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</si>
  <si>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</si>
  <si>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</si>
  <si>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</si>
  <si>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</si>
  <si>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</si>
  <si>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</si>
  <si>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</si>
  <si>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</si>
  <si>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</si>
  <si>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</si>
  <si>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</si>
  <si>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</si>
  <si>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</si>
  <si>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</si>
  <si>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</si>
  <si>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</si>
  <si>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</si>
  <si>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</si>
  <si>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</si>
  <si>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</si>
  <si>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</si>
  <si>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</si>
  <si>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</si>
  <si>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</si>
  <si>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</si>
  <si>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</si>
  <si>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</si>
  <si>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</si>
  <si>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</si>
  <si>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</si>
  <si>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</si>
  <si>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</si>
  <si>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</si>
  <si>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</si>
  <si>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</si>
  <si>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</si>
  <si>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</si>
  <si>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</si>
  <si>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</si>
  <si>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</si>
  <si>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</si>
  <si>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</si>
  <si>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</si>
  <si>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</si>
  <si>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</si>
  <si>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</si>
  <si>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</si>
  <si>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</si>
  <si>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</si>
  <si>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</si>
  <si>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</si>
  <si>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</si>
  <si>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</si>
  <si>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</si>
  <si>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</si>
  <si>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</si>
  <si>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</si>
  <si>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</si>
  <si>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</si>
  <si>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</si>
  <si>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</si>
  <si>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</si>
  <si>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</si>
  <si>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</si>
  <si>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</si>
  <si>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</si>
  <si>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</si>
  <si>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</si>
  <si>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</si>
  <si>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</si>
  <si>
    <t>4875908147/4875941031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</si>
</sst>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2" sqref="L1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45796</v>
      </c>
      <c r="E1" s="96"/>
      <c r="F1" s="96"/>
      <c r="H1" s="63" t="s">
        <v>143</v>
      </c>
      <c r="I1" s="64">
        <f>D1+42-1</f>
        <v>45837</v>
      </c>
      <c r="L1" s="19" t="s">
        <v>38</v>
      </c>
    </row>
    <row r="2" spans="1:12" ht="15.75" x14ac:dyDescent="0.25">
      <c r="B2" s="41" t="s">
        <v>105</v>
      </c>
      <c r="C2" s="50">
        <v>21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9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4</v>
      </c>
      <c r="F10" s="16" t="s">
        <v>7</v>
      </c>
      <c r="H10" s="39">
        <v>10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27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4875855353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5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5401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34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45796</v>
      </c>
      <c r="E34" s="96"/>
      <c r="F34" s="96"/>
      <c r="H34" s="63" t="s">
        <v>143</v>
      </c>
      <c r="I34" s="67">
        <f>I1</f>
        <v>45837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13</v>
      </c>
      <c r="F38" s="2" t="s">
        <v>20</v>
      </c>
      <c r="H38" s="39">
        <v>16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12</v>
      </c>
      <c r="F42" s="2" t="s">
        <v>22</v>
      </c>
      <c r="H42" s="39">
        <v>12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17</v>
      </c>
      <c r="F46" s="16" t="s">
        <v>28</v>
      </c>
      <c r="H46" s="39">
        <v>30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64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5373</v>
      </c>
      <c r="H49" s="2" t="s">
        <v>36</v>
      </c>
      <c r="I49" s="16">
        <v>4962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7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18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20</v>
      </c>
      <c r="F56" s="2" t="s">
        <v>35</v>
      </c>
      <c r="G56">
        <f>ROUNDDOWN(H56/13,0)</f>
        <v>0</v>
      </c>
      <c r="H56" s="39">
        <v>12</v>
      </c>
      <c r="I56" s="2" t="s">
        <v>103</v>
      </c>
    </row>
    <row r="57" spans="2:12" x14ac:dyDescent="0.25">
      <c r="H57" s="39">
        <v>5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15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53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4875802991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570</v>
      </c>
      <c r="E71" s="14">
        <f t="shared" si="0"/>
        <v>38</v>
      </c>
      <c r="F71" s="2" t="s">
        <v>20</v>
      </c>
      <c r="H71" s="14">
        <f>E6+E16+E59+H54+E53</f>
        <v>91</v>
      </c>
      <c r="I71" s="2" t="s">
        <v>46</v>
      </c>
      <c r="K71" s="13">
        <f>B11+E10+B31+B43+H58</f>
        <v>27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20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20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2</v>
      </c>
      <c r="C75" s="2" t="s">
        <v>15</v>
      </c>
      <c r="D75" s="35">
        <f>E75*10</f>
        <v>340</v>
      </c>
      <c r="E75" s="14">
        <f t="shared" si="0"/>
        <v>34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416</v>
      </c>
      <c r="E79" s="14">
        <f t="shared" si="0"/>
        <v>52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160</v>
      </c>
      <c r="H91" s="21">
        <f>H73</f>
        <v>20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45797</v>
      </c>
      <c r="E1" s="95"/>
      <c r="F1" s="95"/>
      <c r="H1" s="63" t="s">
        <v>143</v>
      </c>
      <c r="I1" s="64">
        <f>Mon!D1+42-1</f>
        <v>45837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2</v>
      </c>
      <c r="F9" s="2" t="s">
        <v>9</v>
      </c>
      <c r="H9" s="39">
        <v>5</v>
      </c>
      <c r="I9" s="2" t="s">
        <v>9</v>
      </c>
      <c r="K9" s="39">
        <v>5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5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9</v>
      </c>
      <c r="C13" s="2" t="s">
        <v>15</v>
      </c>
      <c r="E13" s="39">
        <v>2</v>
      </c>
      <c r="F13" s="2" t="s">
        <v>15</v>
      </c>
      <c r="H13" s="39">
        <v>1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81</v>
      </c>
      <c r="C21" s="2" t="s">
        <v>35</v>
      </c>
      <c r="E21" s="39">
        <f>SUM(E4:E20)</f>
        <v>29</v>
      </c>
      <c r="F21" s="2" t="s">
        <v>35</v>
      </c>
      <c r="H21" s="39">
        <f>SUM(H4:H20)</f>
        <v>45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7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10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7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35</v>
      </c>
      <c r="C30" s="2" t="s">
        <v>35</v>
      </c>
      <c r="E30" s="39">
        <f>SUM(E24:E29)</f>
        <v>30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52</v>
      </c>
      <c r="L31" s="89" t="s">
        <v>44</v>
      </c>
    </row>
    <row r="32" spans="1:18" ht="12.4" customHeight="1" x14ac:dyDescent="0.25">
      <c r="B32" s="2" t="s">
        <v>36</v>
      </c>
      <c r="C32" s="16">
        <v>4875827361</v>
      </c>
      <c r="E32" s="2" t="s">
        <v>36</v>
      </c>
      <c r="F32" s="16">
        <v>4875853393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18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10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23</v>
      </c>
      <c r="I44" s="2" t="s">
        <v>46</v>
      </c>
      <c r="K44" s="13">
        <f>B10+B29+H10+K10+E10+E29+B37</f>
        <v>46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7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84</v>
      </c>
      <c r="L47" s="2" t="s">
        <v>44</v>
      </c>
    </row>
    <row r="48" spans="2:12" x14ac:dyDescent="0.25">
      <c r="B48" s="21">
        <f>B13+H13+E13</f>
        <v>12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180</v>
      </c>
      <c r="H59" s="21">
        <f>B48</f>
        <v>12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70</v>
      </c>
      <c r="H60" s="29">
        <f>K45</f>
        <v>7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520</v>
      </c>
      <c r="H63" s="21">
        <f>B47</f>
        <v>104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160</v>
      </c>
      <c r="H64" s="21">
        <f>H46</f>
        <v>20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45798</v>
      </c>
      <c r="E1" s="95"/>
      <c r="F1" s="95"/>
      <c r="H1" s="63" t="s">
        <v>143</v>
      </c>
      <c r="I1" s="64">
        <f>Mon!D1+49-1</f>
        <v>45844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5</v>
      </c>
      <c r="F5" s="2" t="s">
        <v>42</v>
      </c>
      <c r="H5" s="39">
        <v>4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6</v>
      </c>
      <c r="F7" s="2" t="s">
        <v>9</v>
      </c>
      <c r="H7" s="39">
        <v>6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12</v>
      </c>
      <c r="F8" s="16" t="s">
        <v>7</v>
      </c>
      <c r="H8" s="39">
        <f>SUM(H4:H7)</f>
        <v>15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27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0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8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2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15</v>
      </c>
      <c r="F18" s="22" t="s">
        <v>35</v>
      </c>
      <c r="H18" s="39">
        <f>SUM(H12:H17)</f>
        <v>33</v>
      </c>
      <c r="I18" s="22" t="s">
        <v>35</v>
      </c>
      <c r="K18" s="39">
        <v>1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27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18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0</v>
      </c>
      <c r="C31" s="16" t="s">
        <v>44</v>
      </c>
      <c r="E31" s="30" t="s">
        <v>86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2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1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15</v>
      </c>
      <c r="L42" s="2" t="s">
        <v>9</v>
      </c>
    </row>
    <row r="43" spans="2:12" x14ac:dyDescent="0.25">
      <c r="B43" s="91">
        <f>E5+E13+H5+H13+K3+K16+K16</f>
        <v>34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46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230</v>
      </c>
      <c r="H62" s="21">
        <f>B46</f>
        <v>46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6" sqref="I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45799</v>
      </c>
      <c r="E1" s="95"/>
      <c r="F1" s="95"/>
      <c r="G1" s="1"/>
      <c r="H1" s="63" t="s">
        <v>143</v>
      </c>
      <c r="I1" s="64">
        <f>Mon!D1+49-1</f>
        <v>45844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3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5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5</v>
      </c>
      <c r="F8" s="2" t="s">
        <v>9</v>
      </c>
      <c r="H8" s="39">
        <v>3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10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6</v>
      </c>
      <c r="C11" s="2" t="s">
        <v>8</v>
      </c>
      <c r="E11" s="39">
        <f>SUM(E4:E10)</f>
        <v>22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4875933522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2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4760</v>
      </c>
    </row>
    <row r="17" spans="2:10" x14ac:dyDescent="0.25">
      <c r="B17" s="39">
        <v>1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14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81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0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45799</v>
      </c>
      <c r="E35" s="95"/>
      <c r="F35" s="95"/>
      <c r="H35" s="63" t="s">
        <v>143</v>
      </c>
      <c r="I35" s="64">
        <f>I1</f>
        <v>45844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3</v>
      </c>
      <c r="I38" s="2" t="s">
        <v>19</v>
      </c>
      <c r="K38" s="39">
        <v>5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17</v>
      </c>
      <c r="F39" s="2" t="s">
        <v>31</v>
      </c>
      <c r="H39" s="39">
        <v>11</v>
      </c>
      <c r="I39" s="2" t="s">
        <v>20</v>
      </c>
      <c r="K39" s="39">
        <v>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28</v>
      </c>
      <c r="F41" s="2" t="s">
        <v>103</v>
      </c>
      <c r="H41" s="39">
        <v>0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23</v>
      </c>
      <c r="F43" s="16" t="s">
        <v>7</v>
      </c>
      <c r="H43" s="39">
        <v>3</v>
      </c>
      <c r="I43" s="2" t="s">
        <v>22</v>
      </c>
      <c r="K43" s="39">
        <v>9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77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4875925591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35</v>
      </c>
      <c r="I47" s="16" t="s">
        <v>28</v>
      </c>
      <c r="K47" s="39">
        <v>63</v>
      </c>
      <c r="L47" s="16" t="s">
        <v>28</v>
      </c>
    </row>
    <row r="48" spans="1:12" x14ac:dyDescent="0.25">
      <c r="B48" s="39">
        <v>2</v>
      </c>
      <c r="C48" s="2" t="s">
        <v>14</v>
      </c>
      <c r="H48" s="39">
        <f>SUM(H38:H47)</f>
        <v>52</v>
      </c>
      <c r="I48" s="2" t="s">
        <v>35</v>
      </c>
      <c r="K48" s="39">
        <f>SUM(K38:K47)</f>
        <v>87</v>
      </c>
      <c r="L48" s="2" t="s">
        <v>35</v>
      </c>
    </row>
    <row r="49" spans="2:12" ht="15.75" thickBot="1" x14ac:dyDescent="0.3">
      <c r="B49" s="39">
        <v>2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2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5765</v>
      </c>
      <c r="K50" s="2" t="s">
        <v>36</v>
      </c>
      <c r="L50" s="16">
        <v>5768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3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83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5</v>
      </c>
      <c r="C72" s="2" t="s">
        <v>41</v>
      </c>
      <c r="D72" s="35">
        <f>E72*15</f>
        <v>165</v>
      </c>
      <c r="E72" s="36">
        <f t="shared" ref="E72:E81" si="0">K4+H38+K38</f>
        <v>11</v>
      </c>
      <c r="F72" s="2" t="s">
        <v>19</v>
      </c>
      <c r="H72" s="13">
        <f>H4+E38</f>
        <v>2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40</v>
      </c>
      <c r="C73" s="2" t="s">
        <v>42</v>
      </c>
      <c r="D73" s="35">
        <f t="shared" ref="D73:D79" si="1">E73*15</f>
        <v>360</v>
      </c>
      <c r="E73" s="37">
        <f t="shared" si="0"/>
        <v>24</v>
      </c>
      <c r="F73" s="2" t="s">
        <v>20</v>
      </c>
      <c r="H73" s="47">
        <f>H5+H15+E50+E39+E57</f>
        <v>65</v>
      </c>
      <c r="I73" s="2" t="s">
        <v>46</v>
      </c>
      <c r="K73" s="47">
        <f>B10+E9+H9+B44+E43</f>
        <v>75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6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40</v>
      </c>
      <c r="I75" s="2" t="s">
        <v>102</v>
      </c>
      <c r="K75" s="47">
        <f>B28+K54</f>
        <v>16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4</v>
      </c>
      <c r="C77" s="2" t="s">
        <v>15</v>
      </c>
      <c r="D77" s="35">
        <f>E77*10</f>
        <v>170</v>
      </c>
      <c r="E77" s="37">
        <f t="shared" si="0"/>
        <v>17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872</v>
      </c>
      <c r="E81" s="37">
        <f t="shared" si="0"/>
        <v>109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3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4</v>
      </c>
      <c r="C88" s="2" t="s">
        <v>16</v>
      </c>
      <c r="G88" s="35">
        <f t="shared" ref="G88:G90" si="2">H88*15</f>
        <v>60</v>
      </c>
      <c r="H88" s="21">
        <f>B77</f>
        <v>4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3</v>
      </c>
      <c r="C89" s="2" t="s">
        <v>17</v>
      </c>
      <c r="G89" s="35">
        <f>H89*10</f>
        <v>60</v>
      </c>
      <c r="H89" s="29">
        <f>K74</f>
        <v>6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3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4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1</v>
      </c>
      <c r="C93" s="2" t="s">
        <v>18</v>
      </c>
      <c r="G93" s="35">
        <f>H93*8</f>
        <v>320</v>
      </c>
      <c r="H93" s="21">
        <f>H75</f>
        <v>40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45800</v>
      </c>
      <c r="E1" s="95"/>
      <c r="F1" s="95"/>
      <c r="H1" s="63" t="s">
        <v>143</v>
      </c>
      <c r="I1" s="64">
        <f>Mon!D1+49-1</f>
        <v>45844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10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10</v>
      </c>
      <c r="I13" s="2" t="s">
        <v>15</v>
      </c>
      <c r="K13" s="39">
        <f>SUM(K4:K12)</f>
        <v>17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3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1</v>
      </c>
      <c r="F16" s="2" t="s">
        <v>152</v>
      </c>
      <c r="H16" s="39">
        <v>1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1</v>
      </c>
      <c r="I17" s="2" t="s">
        <v>151</v>
      </c>
      <c r="K17" s="76"/>
      <c r="L17" s="75"/>
    </row>
    <row r="18" spans="1:15" ht="12.75" customHeight="1" thickBot="1" x14ac:dyDescent="0.3">
      <c r="B18" s="39">
        <v>1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2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95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80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13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32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24</v>
      </c>
      <c r="C27" s="2" t="s">
        <v>103</v>
      </c>
      <c r="D27">
        <f>ROUNDDOWN(E27/13,0)</f>
        <v>1</v>
      </c>
      <c r="E27" s="39">
        <v>14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16</v>
      </c>
      <c r="C28" s="2" t="s">
        <v>47</v>
      </c>
      <c r="E28" s="39">
        <v>6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25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79</v>
      </c>
      <c r="C30" s="22" t="s">
        <v>35</v>
      </c>
      <c r="E30" s="39">
        <f>SUM(E24:E29)</f>
        <v>41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61</v>
      </c>
      <c r="L31" s="87" t="s">
        <v>44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4875945029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7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5</v>
      </c>
      <c r="F38" t="s">
        <v>44</v>
      </c>
    </row>
    <row r="39" spans="2:15" ht="12.75" customHeight="1" x14ac:dyDescent="0.25">
      <c r="E39" s="29">
        <v>10</v>
      </c>
      <c r="F39" s="16" t="s">
        <v>50</v>
      </c>
    </row>
    <row r="40" spans="2:15" ht="12.6" customHeight="1" x14ac:dyDescent="0.25">
      <c r="E40" s="11">
        <f>SUM(E38:E39)</f>
        <v>15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49</v>
      </c>
      <c r="L44" s="2" t="s">
        <v>9</v>
      </c>
    </row>
    <row r="45" spans="2:15" x14ac:dyDescent="0.25">
      <c r="B45" s="26">
        <f>B5+E5+K5+H5+N5</f>
        <v>22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21</v>
      </c>
      <c r="I45" s="2" t="s">
        <v>46</v>
      </c>
      <c r="K45" s="47">
        <f>B37+B10+B28+E10+K10+H10+N10+E28</f>
        <v>51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10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38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120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68</v>
      </c>
      <c r="L48" s="2" t="s">
        <v>44</v>
      </c>
    </row>
    <row r="49" spans="2:12" x14ac:dyDescent="0.25">
      <c r="B49" s="26">
        <f>B13+E13+H13</f>
        <v>22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9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3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4</v>
      </c>
      <c r="C60" s="2" t="s">
        <v>16</v>
      </c>
      <c r="G60" s="35">
        <f t="shared" ref="G60:G62" si="1">H60*15</f>
        <v>330</v>
      </c>
      <c r="H60" s="21">
        <f>B49</f>
        <v>22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3</v>
      </c>
      <c r="C61" s="2" t="s">
        <v>17</v>
      </c>
      <c r="G61" s="35">
        <f>H61*10</f>
        <v>100</v>
      </c>
      <c r="H61" s="29">
        <f>K46</f>
        <v>10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2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3</v>
      </c>
      <c r="C64" s="2" t="s">
        <v>13</v>
      </c>
      <c r="G64" s="35">
        <f>H64*5</f>
        <v>600</v>
      </c>
      <c r="H64" s="21">
        <f>B48</f>
        <v>120</v>
      </c>
      <c r="I64" s="2" t="s">
        <v>50</v>
      </c>
      <c r="K64" s="14">
        <f>A27+D27</f>
        <v>2</v>
      </c>
      <c r="L64" s="2" t="s">
        <v>103</v>
      </c>
    </row>
    <row r="65" spans="2:12" x14ac:dyDescent="0.25">
      <c r="B65" s="13">
        <f>B20+E20+H20</f>
        <v>2</v>
      </c>
      <c r="C65" s="2" t="s">
        <v>18</v>
      </c>
      <c r="G65" s="35">
        <f>H65*8</f>
        <v>304</v>
      </c>
      <c r="H65" s="21">
        <f>H47</f>
        <v>38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N8" sqref="N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22</v>
      </c>
      <c r="D1" s="46"/>
      <c r="E1" s="46"/>
      <c r="F1" s="63" t="s">
        <v>143</v>
      </c>
      <c r="G1" s="64">
        <f>Mon!D1+49-1</f>
        <v>45844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20</v>
      </c>
      <c r="B12" s="44">
        <f>SUM(B5:B11)</f>
        <v>960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21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1644</v>
      </c>
      <c r="P3" s="53">
        <f>O3/125</f>
        <v>13.151999999999999</v>
      </c>
      <c r="R3" s="51" t="s">
        <v>117</v>
      </c>
      <c r="S3" s="55">
        <f>12*(D8+J4)</f>
        <v>1680</v>
      </c>
      <c r="T3" s="55">
        <f>15*(A4+D4+G4+J7+J5)+20*D12</f>
        <v>9240</v>
      </c>
      <c r="U3" s="55">
        <f>15*(A5+A9+D5+D9+D10+D11+G5+J6+J8+J10)+20*(A8+D13+G7)</f>
        <v>34215</v>
      </c>
      <c r="V3" s="55">
        <f>15*(A6+J11)</f>
        <v>3780</v>
      </c>
      <c r="W3" s="55">
        <f>15*D6</f>
        <v>0</v>
      </c>
      <c r="X3" s="55">
        <f>15*(A7+D7+G6+J9)</f>
        <v>2220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20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137</v>
      </c>
      <c r="K4" s="2" t="s">
        <v>9</v>
      </c>
      <c r="M4" s="42"/>
      <c r="N4" s="52" t="s">
        <v>7</v>
      </c>
      <c r="O4" s="53">
        <f>J5*10</f>
        <v>4270</v>
      </c>
      <c r="P4" s="53">
        <f>O4/130</f>
        <v>32.846153846153847</v>
      </c>
      <c r="R4" s="51" t="s">
        <v>118</v>
      </c>
      <c r="S4" s="55">
        <f t="shared" ref="S4:X4" si="0">S3/15</f>
        <v>112</v>
      </c>
      <c r="T4" s="55">
        <f t="shared" si="0"/>
        <v>616</v>
      </c>
      <c r="U4" s="55">
        <f t="shared" si="0"/>
        <v>2281</v>
      </c>
      <c r="V4" s="55">
        <f t="shared" si="0"/>
        <v>252</v>
      </c>
      <c r="W4" s="55">
        <f t="shared" si="0"/>
        <v>0</v>
      </c>
      <c r="X4" s="55">
        <f t="shared" si="0"/>
        <v>148</v>
      </c>
    </row>
    <row r="5" spans="1:24" ht="12.75" customHeight="1" x14ac:dyDescent="0.25">
      <c r="A5" s="26">
        <f>Mon!B71+Tues!B44+Wed!B43+Thurs!B73+Fri!B45+NFLD!A44</f>
        <v>108</v>
      </c>
      <c r="B5" s="2" t="s">
        <v>42</v>
      </c>
      <c r="C5" s="24"/>
      <c r="D5" s="26">
        <f>Mon!E71+Tues!E44+Wed!E43+Thurs!E73+Fri!E45+NFLD!D44</f>
        <v>62</v>
      </c>
      <c r="E5" s="2" t="s">
        <v>20</v>
      </c>
      <c r="G5" s="26">
        <f>Mon!H71+Tues!H44+Wed!H43+Thurs!H73+Fri!H45+NFLD!G44</f>
        <v>200</v>
      </c>
      <c r="H5" s="2" t="s">
        <v>46</v>
      </c>
      <c r="J5" s="26">
        <f>Mon!K71+Tues!K44+Wed!K43+Thurs!K73+Fri!K45+NFLD!J44</f>
        <v>427</v>
      </c>
      <c r="K5" s="2" t="s">
        <v>7</v>
      </c>
      <c r="M5" s="42"/>
      <c r="N5" s="52" t="s">
        <v>8</v>
      </c>
      <c r="O5" s="53">
        <f>J6*10</f>
        <v>230</v>
      </c>
      <c r="P5" s="53">
        <f t="shared" ref="P5:P25" si="1">O5/130</f>
        <v>1.7692307692307692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2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23</v>
      </c>
      <c r="K6" s="2" t="s">
        <v>8</v>
      </c>
      <c r="M6" s="42"/>
      <c r="N6" s="52" t="s">
        <v>51</v>
      </c>
      <c r="O6" s="53">
        <f>J7*15</f>
        <v>2040</v>
      </c>
      <c r="P6" s="53">
        <f>O6/150</f>
        <v>13.6</v>
      </c>
    </row>
    <row r="7" spans="1:24" ht="12.75" customHeight="1" x14ac:dyDescent="0.25">
      <c r="A7" s="26">
        <f>Mon!B73+Tues!B46+Wed!B45+Thurs!B75+Fri!B47+NFLD!A46</f>
        <v>23</v>
      </c>
      <c r="B7" s="2" t="s">
        <v>5</v>
      </c>
      <c r="C7" s="24"/>
      <c r="D7" s="26">
        <f>Mon!E73+Tues!E46+Wed!E45+Thurs!E75+Fri!E47+NFLD!D46</f>
        <v>2</v>
      </c>
      <c r="E7" s="2" t="s">
        <v>21</v>
      </c>
      <c r="G7" s="26">
        <f>Mon!H73+Tues!H46+Wed!H45+Thurs!H75+Fri!H47+NFLD!G46</f>
        <v>118</v>
      </c>
      <c r="H7" s="2" t="s">
        <v>102</v>
      </c>
      <c r="J7" s="26">
        <f>Mon!K73+Tues!K46+Wed!K45+Thurs!K75+Fri!K47+NFLD!J46</f>
        <v>136</v>
      </c>
      <c r="K7" s="2" t="s">
        <v>51</v>
      </c>
      <c r="M7" s="42"/>
      <c r="N7" s="52" t="s">
        <v>44</v>
      </c>
      <c r="O7" s="53">
        <f t="shared" ref="O7" si="2">J8*15</f>
        <v>10635</v>
      </c>
      <c r="P7" s="53">
        <f t="shared" ref="P7:P8" si="3">O7/150</f>
        <v>70.900000000000006</v>
      </c>
      <c r="R7" s="12" t="s">
        <v>105</v>
      </c>
      <c r="S7" s="60">
        <f>Mon!C2</f>
        <v>21</v>
      </c>
    </row>
    <row r="8" spans="1:24" ht="12.75" customHeight="1" x14ac:dyDescent="0.25">
      <c r="A8" s="26">
        <f>Mon!B74+Tues!B47+Wed!B46+Thurs!B76+Fri!B48+NFLD!A47</f>
        <v>330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709</v>
      </c>
      <c r="K8" s="2" t="s">
        <v>44</v>
      </c>
      <c r="M8" s="42"/>
      <c r="N8" s="52" t="s">
        <v>2</v>
      </c>
      <c r="O8" s="53">
        <f>J9*15</f>
        <v>1740</v>
      </c>
      <c r="P8" s="53">
        <f t="shared" si="3"/>
        <v>11.6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40</v>
      </c>
      <c r="B9" s="2" t="s">
        <v>15</v>
      </c>
      <c r="C9" s="24"/>
      <c r="D9" s="26">
        <f>Mon!E75+Tues!E48+Wed!E47+Thurs!E77+Fri!E49+NFLD!D48</f>
        <v>51</v>
      </c>
      <c r="E9" s="2" t="s">
        <v>22</v>
      </c>
      <c r="J9" s="26">
        <f>Mon!K75+Tues!K48+Wed!K47+Thurs!K77+Fri!K49+NFLD!J48</f>
        <v>116</v>
      </c>
      <c r="K9" s="2" t="s">
        <v>2</v>
      </c>
      <c r="M9" s="42"/>
      <c r="N9" s="52" t="s">
        <v>121</v>
      </c>
      <c r="O9" s="53">
        <f>7*(J10+J11)+8*(D12+D13+G7)+5*A9</f>
        <v>6114</v>
      </c>
      <c r="P9" s="53">
        <f>O9/140</f>
        <v>43.671428571428571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276</v>
      </c>
      <c r="K10" s="2" t="s">
        <v>1</v>
      </c>
      <c r="M10" s="42"/>
      <c r="N10" s="52" t="s">
        <v>41</v>
      </c>
      <c r="O10" s="53">
        <f>A4*15</f>
        <v>360</v>
      </c>
      <c r="P10" s="5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250</v>
      </c>
      <c r="K11" s="2" t="s">
        <v>0</v>
      </c>
      <c r="M11" s="42"/>
      <c r="N11" s="52" t="s">
        <v>42</v>
      </c>
      <c r="O11" s="53">
        <f t="shared" ref="O11:O12" si="4">A5*15</f>
        <v>1620</v>
      </c>
      <c r="P11" s="53">
        <f t="shared" ref="P11:P13" si="5">O11/250</f>
        <v>6.48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161</v>
      </c>
      <c r="E13" s="2" t="s">
        <v>28</v>
      </c>
      <c r="M13" s="42"/>
      <c r="N13" s="52" t="s">
        <v>5</v>
      </c>
      <c r="O13" s="53">
        <f>A7*15</f>
        <v>345</v>
      </c>
      <c r="P13" s="53">
        <f t="shared" si="5"/>
        <v>1.38</v>
      </c>
      <c r="S13" s="59"/>
    </row>
    <row r="14" spans="1:24" ht="12.75" customHeight="1" x14ac:dyDescent="0.25">
      <c r="A14" s="7"/>
      <c r="N14" s="52" t="s">
        <v>126</v>
      </c>
      <c r="O14" s="53">
        <f>5*A9</f>
        <v>200</v>
      </c>
      <c r="P14" s="53">
        <f>O14/50</f>
        <v>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600</v>
      </c>
      <c r="P15" s="53">
        <f>O15/250</f>
        <v>2.4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2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3000</v>
      </c>
      <c r="P17" s="53">
        <f t="shared" si="6"/>
        <v>12</v>
      </c>
    </row>
    <row r="18" spans="1:24" ht="12.75" customHeight="1" x14ac:dyDescent="0.25">
      <c r="A18" s="26">
        <f>Mon!B86+Tues!B59+Wed!B58+Thurs!B88+Fri!B60+NFLD!A59</f>
        <v>8</v>
      </c>
      <c r="B18" s="2" t="s">
        <v>16</v>
      </c>
      <c r="D18" s="21">
        <f>A9</f>
        <v>40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6</v>
      </c>
      <c r="B19" s="2" t="s">
        <v>17</v>
      </c>
      <c r="D19" s="29">
        <f>J6</f>
        <v>23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944</v>
      </c>
      <c r="P19" s="53">
        <f>O19/50</f>
        <v>18.88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23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300</v>
      </c>
      <c r="P20" s="53">
        <f>O20/150</f>
        <v>2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930</v>
      </c>
      <c r="P21" s="53">
        <f t="shared" ref="P21:P23" si="9">O21/150</f>
        <v>6.2</v>
      </c>
    </row>
    <row r="22" spans="1:24" ht="12.75" customHeight="1" x14ac:dyDescent="0.25">
      <c r="A22" s="26">
        <f>Mon!B90+Tues!B63+Wed!B62+Thurs!B92+Fri!B64+NFLD!A63</f>
        <v>7</v>
      </c>
      <c r="B22" s="2" t="s">
        <v>13</v>
      </c>
      <c r="D22" s="21">
        <f>A8</f>
        <v>330</v>
      </c>
      <c r="E22" s="2" t="s">
        <v>50</v>
      </c>
      <c r="F22" s="24"/>
      <c r="G22" s="14">
        <f>Mon!K90+Tues!K63+Thurs!K92+Fri!K64</f>
        <v>4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118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30</v>
      </c>
      <c r="P23" s="53">
        <f t="shared" si="9"/>
        <v>0.2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510</v>
      </c>
      <c r="P25" s="53">
        <f t="shared" si="1"/>
        <v>3.9230769230769229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1288</v>
      </c>
      <c r="P29" s="53">
        <f>O29/50</f>
        <v>25.76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568</v>
      </c>
      <c r="P32" s="51">
        <f>O32/25-24*(G17+G20+G23)</f>
        <v>-25.28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1484</v>
      </c>
      <c r="P33" s="51">
        <f>O33/25-24*(G18+G21+G24)-20*G19</f>
        <v>-204.64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191</v>
      </c>
      <c r="P34" s="51">
        <f t="shared" ref="P34:P36" si="10">O34/25</f>
        <v>7.64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252</v>
      </c>
      <c r="P35" s="51">
        <f t="shared" si="10"/>
        <v>10.08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148</v>
      </c>
      <c r="P36" s="51">
        <f t="shared" si="10"/>
        <v>5.92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161</v>
      </c>
      <c r="P37" s="51">
        <f>O37/20</f>
        <v>8.0500000000000007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66</v>
      </c>
      <c r="P38" s="51">
        <f>O38/20-13*G22</f>
        <v>-48.7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2025-05-22T17:57:55Z</cp:lastPrinted>
  <dcterms:created xsi:type="dcterms:W3CDTF">2014-06-06T13:58:10Z</dcterms:created>
  <dcterms:modified xsi:type="dcterms:W3CDTF">2025-05-23T12:55:11Z</dcterms:modified>
</cp:coreProperties>
</file>