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C6B2B9C3-5C2D-4039-8001-55F0E070E41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3" i="9"/>
  <c r="K66" i="9"/>
  <c r="K59" i="9"/>
  <c r="K94" i="8"/>
  <c r="K87" i="8"/>
  <c r="K92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<sst xmlns="http://schemas.openxmlformats.org/spreadsheetml/2006/main" count="1139" uniqueCount="195">
  <si>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</si>
  <si>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</si>
  <si>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</si>
  <si>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</si>
  <si>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</si>
  <si>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</si>
  <si>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</si>
  <si>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</si>
  <si>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</si>
  <si>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</si>
  <si>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</si>
  <si>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</si>
  <si>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</si>
  <si>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</si>
  <si>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</si>
  <si>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</si>
  <si>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</si>
  <si>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</si>
  <si>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</si>
  <si>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</si>
  <si>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</si>
  <si>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</si>
  <si>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</si>
  <si>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</si>
  <si>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</si>
  <si>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</si>
  <si>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</si>
  <si>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</si>
  <si>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</si>
  <si>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</si>
  <si>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</si>
  <si>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</si>
  <si>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</si>
  <si>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</si>
  <si>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</si>
  <si>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</si>
  <si>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</si>
  <si>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</si>
  <si>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</si>
  <si>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</si>
  <si>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</si>
  <si>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</si>
  <si>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</si>
  <si>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</si>
  <si>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</si>
  <si>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</si>
  <si>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</si>
  <si>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</si>
  <si>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</si>
  <si>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</si>
  <si>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</si>
  <si>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</si>
  <si>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</si>
  <si>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</si>
  <si>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</si>
  <si>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</si>
  <si>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</si>
  <si>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</si>
  <si>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</si>
  <si>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</si>
  <si>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</si>
  <si>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</si>
  <si>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</si>
  <si>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</si>
  <si>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</si>
  <si>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</si>
  <si>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</si>
  <si>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</si>
  <si>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</si>
  <si>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</si>
  <si>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</si>
  <si>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</si>
  <si>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</si>
  <si>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</si>
  <si>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</si>
  <si>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</si>
  <si>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</si>
  <si>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</si>
  <si>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</si>
  <si>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</si>
  <si>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</si>
  <si>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</si>
  <si>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</si>
  <si>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</si>
  <si>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</si>
  <si>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</si>
  <si>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</si>
  <si>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</si>
  <si>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</si>
  <si>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</si>
  <si>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</si>
  <si>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</si>
  <si>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</si>
  <si>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</si>
  <si>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</si>
  <si>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</si>
  <si>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</si>
  <si>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</si>
  <si>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</si>
  <si>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</si>
  <si>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</si>
  <si>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</si>
  <si>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</si>
  <si>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</si>
  <si>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</si>
  <si>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</si>
  <si>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</si>
  <si>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</si>
  <si>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</si>
  <si>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</si>
  <si>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</si>
  <si>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</si>
  <si>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</si>
  <si>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</si>
  <si>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</si>
  <si>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</si>
  <si>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</si>
  <si>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</si>
  <si>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</si>
  <si>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</si>
  <si>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</si>
  <si>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</si>
  <si>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</si>
  <si>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</si>
  <si>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</si>
  <si>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</si>
  <si>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</si>
  <si>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</si>
  <si>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</si>
  <si>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</si>
  <si>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</si>
  <si>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</si>
  <si>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</si>
  <si>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</si>
  <si>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</si>
  <si>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</si>
  <si>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</si>
  <si>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</si>
  <si>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</si>
  <si>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</si>
  <si>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</si>
  <si>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</si>
  <si>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</si>
  <si>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</si>
  <si>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</si>
  <si>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</si>
  <si>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</si>
  <si>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</si>
  <si>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</si>
  <si>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</si>
  <si>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</si>
  <si>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</si>
  <si>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</si>
  <si>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</si>
  <si>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</si>
  <si>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</si>
  <si>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</si>
  <si>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</si>
  <si>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</si>
  <si>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</si>
  <si>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</si>
  <si>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</si>
  <si>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</si>
  <si>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</si>
  <si>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</si>
  <si>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</si>
  <si>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</si>
  <si>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</si>
  <si>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</si>
  <si>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</si>
  <si>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</si>
  <si>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</si>
  <si>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</si>
  <si>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</si>
  <si>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</si>
  <si>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</si>
  <si>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</si>
  <si>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</si>
  <si>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</si>
  <si>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</si>
  <si>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</si>
  <si>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</si>
  <si>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</si>
  <si>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</si>
  <si>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</si>
  <si>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</si>
  <si>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</si>
  <si>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</si>
  <si>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</si>
  <si>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</si>
  <si>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</si>
  <si>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</si>
  <si>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</si>
  <si>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4876043137/4875998033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</si>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</sst>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106</v>
      </c>
      <c r="C1" s="97"/>
      <c r="D1" s="96">
        <f>DATE(2024,12,30)+(C2-1)*7</f>
        <v>45803</v>
      </c>
      <c r="E1" s="97"/>
      <c r="F1" s="97"/>
      <c r="H1" s="63" t="s">
        <v>143</v>
      </c>
      <c r="I1" s="64">
        <f>D1+42-1</f>
        <v>45844</v>
      </c>
      <c r="L1" s="19" t="s">
        <v>38</v>
      </c>
    </row>
    <row r="2" spans="1:12" ht="15.75" x14ac:dyDescent="0.25">
      <c r="B2" s="41" t="s">
        <v>105</v>
      </c>
      <c r="C2" s="50">
        <v>22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5</v>
      </c>
      <c r="C6" s="2" t="s">
        <v>42</v>
      </c>
      <c r="D6">
        <f>ROUNDDOWN(E6/24,0)</f>
        <v>0</v>
      </c>
      <c r="E6" s="39">
        <v>5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1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29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9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4875979256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20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34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8424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62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106</v>
      </c>
      <c r="C34" s="97"/>
      <c r="D34" s="96">
        <f>D1</f>
        <v>45803</v>
      </c>
      <c r="E34" s="97"/>
      <c r="F34" s="97"/>
      <c r="H34" s="63" t="s">
        <v>143</v>
      </c>
      <c r="I34" s="67">
        <f>I1</f>
        <v>45844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9</v>
      </c>
      <c r="F37" s="2" t="s">
        <v>19</v>
      </c>
      <c r="H37" s="39">
        <v>8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12</v>
      </c>
      <c r="F38" s="2" t="s">
        <v>20</v>
      </c>
      <c r="H38" s="39">
        <v>23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12</v>
      </c>
      <c r="F42" s="2" t="s">
        <v>22</v>
      </c>
      <c r="H42" s="39">
        <v>18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26</v>
      </c>
      <c r="F46" s="16" t="s">
        <v>28</v>
      </c>
      <c r="H46" s="39">
        <v>61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61</v>
      </c>
      <c r="F47" s="2" t="s">
        <v>35</v>
      </c>
      <c r="H47" s="39">
        <f>SUM(H37:H46)</f>
        <v>111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8012</v>
      </c>
      <c r="H49" s="2" t="s">
        <v>36</v>
      </c>
      <c r="I49" s="16">
        <v>8078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42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19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22</v>
      </c>
      <c r="F56" s="2" t="s">
        <v>35</v>
      </c>
      <c r="G56">
        <f>ROUNDDOWN(H56/13,0)</f>
        <v>1</v>
      </c>
      <c r="H56" s="39">
        <v>19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21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67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4875955930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300</v>
      </c>
      <c r="E70" s="15">
        <f t="shared" ref="E70:E79" si="0">H5+E37+H37</f>
        <v>20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9</v>
      </c>
      <c r="C71" s="2" t="s">
        <v>42</v>
      </c>
      <c r="D71" s="35">
        <f t="shared" ref="D71:D77" si="1">E71*15</f>
        <v>675</v>
      </c>
      <c r="E71" s="14">
        <f t="shared" si="0"/>
        <v>45</v>
      </c>
      <c r="F71" s="2" t="s">
        <v>20</v>
      </c>
      <c r="H71" s="14">
        <f>E6+E16+E59+H54+E53</f>
        <v>88</v>
      </c>
      <c r="I71" s="2" t="s">
        <v>46</v>
      </c>
      <c r="K71" s="13">
        <f>B11+E10+B31+B43+H58</f>
        <v>42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9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31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50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310</v>
      </c>
      <c r="E75" s="14">
        <f t="shared" si="0"/>
        <v>31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856</v>
      </c>
      <c r="E79" s="14">
        <f t="shared" si="0"/>
        <v>107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90</v>
      </c>
      <c r="H87" s="29">
        <f>K72</f>
        <v>9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250</v>
      </c>
      <c r="H90" s="21">
        <f>B74</f>
        <v>50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248</v>
      </c>
      <c r="H91" s="21">
        <f>H73</f>
        <v>31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106</v>
      </c>
      <c r="C1" s="97"/>
      <c r="D1" s="96">
        <f>DATE(2024,12,30)+(Mon!C2-1)*7+1</f>
        <v>45804</v>
      </c>
      <c r="E1" s="96"/>
      <c r="F1" s="96"/>
      <c r="H1" s="63" t="s">
        <v>143</v>
      </c>
      <c r="I1" s="64">
        <f>Mon!D1+42-1</f>
        <v>45844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2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5</v>
      </c>
      <c r="C13" s="2" t="s">
        <v>15</v>
      </c>
      <c r="E13" s="39">
        <v>2</v>
      </c>
      <c r="F13" s="2" t="s">
        <v>15</v>
      </c>
      <c r="H13" s="39">
        <v>4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68</v>
      </c>
      <c r="C21" s="2" t="s">
        <v>35</v>
      </c>
      <c r="E21" s="39">
        <f>SUM(E4:E20)</f>
        <v>39</v>
      </c>
      <c r="F21" s="2" t="s">
        <v>35</v>
      </c>
      <c r="H21" s="39">
        <f>SUM(H4:H20)</f>
        <v>60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4</v>
      </c>
      <c r="F24" s="2" t="s">
        <v>45</v>
      </c>
      <c r="H24" s="39">
        <v>7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7</v>
      </c>
      <c r="I27" s="2" t="s">
        <v>35</v>
      </c>
      <c r="K27" s="74">
        <v>32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50</v>
      </c>
      <c r="C30" s="2" t="s">
        <v>35</v>
      </c>
      <c r="E30" s="39">
        <f>SUM(E24:E29)</f>
        <v>38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57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4876043093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22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14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23</v>
      </c>
      <c r="I44" s="2" t="s">
        <v>46</v>
      </c>
      <c r="K44" s="13">
        <f>B10+B29+H10+K10+E10+E29+B37</f>
        <v>58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24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82</v>
      </c>
      <c r="L47" s="2" t="s">
        <v>44</v>
      </c>
    </row>
    <row r="48" spans="2:12" x14ac:dyDescent="0.25">
      <c r="B48" s="21">
        <f>B13+H13+E13</f>
        <v>11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165</v>
      </c>
      <c r="H59" s="21">
        <f>B48</f>
        <v>11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530</v>
      </c>
      <c r="H63" s="21">
        <f>B47</f>
        <v>106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192</v>
      </c>
      <c r="H64" s="21">
        <f>H46</f>
        <v>24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7" sqref="C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106</v>
      </c>
      <c r="C1" s="97"/>
      <c r="D1" s="96">
        <f>DATE(2024,12,30)+(Mon!C2-1)*7+2</f>
        <v>45805</v>
      </c>
      <c r="E1" s="96"/>
      <c r="F1" s="96"/>
      <c r="H1" s="63" t="s">
        <v>143</v>
      </c>
      <c r="I1" s="64">
        <f>Mon!D1+49-1</f>
        <v>45851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6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4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5</v>
      </c>
      <c r="F7" s="2" t="s">
        <v>9</v>
      </c>
      <c r="H7" s="39">
        <v>7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12</v>
      </c>
      <c r="F8" s="16" t="s">
        <v>7</v>
      </c>
      <c r="H8" s="39">
        <f>SUM(H4:H7)</f>
        <v>19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24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11</v>
      </c>
      <c r="I12" s="2" t="s">
        <v>41</v>
      </c>
      <c r="K12" s="39">
        <f>SUM(K2:K11)</f>
        <v>57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30</v>
      </c>
      <c r="F18" s="22" t="s">
        <v>35</v>
      </c>
      <c r="H18" s="39">
        <f>SUM(H12:H17)</f>
        <v>46</v>
      </c>
      <c r="I18" s="22" t="s">
        <v>35</v>
      </c>
      <c r="K18" s="39">
        <v>3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6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23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1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14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1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4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14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17</v>
      </c>
      <c r="L42" s="2" t="s">
        <v>9</v>
      </c>
    </row>
    <row r="43" spans="2:12" x14ac:dyDescent="0.25">
      <c r="B43" s="91">
        <f>E5+E13+H5+H13+K3+K16+K16</f>
        <v>52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13</v>
      </c>
      <c r="L45" s="2" t="s">
        <v>51</v>
      </c>
    </row>
    <row r="46" spans="2:12" x14ac:dyDescent="0.2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32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16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12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290</v>
      </c>
      <c r="H62" s="21">
        <f>B46</f>
        <v>58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K28" sqref="K28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106</v>
      </c>
      <c r="C1" s="97"/>
      <c r="D1" s="96">
        <f>DATE(2024,12,30)+(Mon!C2-1)*7+3</f>
        <v>45806</v>
      </c>
      <c r="E1" s="96"/>
      <c r="F1" s="96"/>
      <c r="G1" s="1"/>
      <c r="H1" s="63" t="s">
        <v>143</v>
      </c>
      <c r="I1" s="64">
        <f>Mon!D1+49-1</f>
        <v>45851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5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9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5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7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30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4876084077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19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36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30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34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1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7" t="s">
        <v>106</v>
      </c>
      <c r="C35" s="97"/>
      <c r="D35" s="96">
        <f>D1</f>
        <v>45806</v>
      </c>
      <c r="E35" s="96"/>
      <c r="F35" s="96"/>
      <c r="H35" s="63" t="s">
        <v>143</v>
      </c>
      <c r="I35" s="64">
        <f>I1</f>
        <v>45851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7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16</v>
      </c>
      <c r="F39" s="2" t="s">
        <v>31</v>
      </c>
      <c r="H39" s="39">
        <v>32</v>
      </c>
      <c r="I39" s="2" t="s">
        <v>20</v>
      </c>
      <c r="K39" s="39">
        <v>27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31</v>
      </c>
      <c r="F41" s="2" t="s">
        <v>103</v>
      </c>
      <c r="H41" s="39">
        <v>3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4</v>
      </c>
      <c r="F42" s="2" t="s">
        <v>47</v>
      </c>
      <c r="H42" s="39">
        <v>1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16</v>
      </c>
      <c r="F43" s="16" t="s">
        <v>7</v>
      </c>
      <c r="H43" s="39">
        <v>33</v>
      </c>
      <c r="I43" s="2" t="s">
        <v>22</v>
      </c>
      <c r="K43" s="39">
        <v>43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4876093448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3</v>
      </c>
      <c r="C47" s="2" t="s">
        <v>15</v>
      </c>
      <c r="H47" s="39">
        <v>45</v>
      </c>
      <c r="I47" s="16" t="s">
        <v>28</v>
      </c>
      <c r="K47" s="39">
        <v>67</v>
      </c>
      <c r="L47" s="16" t="s">
        <v>28</v>
      </c>
    </row>
    <row r="48" spans="1:12" x14ac:dyDescent="0.25">
      <c r="B48" s="39">
        <v>2</v>
      </c>
      <c r="C48" s="2" t="s">
        <v>14</v>
      </c>
      <c r="H48" s="39">
        <f>SUM(H38:H47)</f>
        <v>121</v>
      </c>
      <c r="I48" s="2" t="s">
        <v>35</v>
      </c>
      <c r="K48" s="39">
        <f>SUM(K38:K47)</f>
        <v>151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9721</v>
      </c>
      <c r="K50" s="2" t="s">
        <v>36</v>
      </c>
      <c r="L50" s="16">
        <v>9625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68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2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330</v>
      </c>
      <c r="E72" s="36">
        <f t="shared" ref="E72:E81" si="0">K4+H38+K38</f>
        <v>22</v>
      </c>
      <c r="F72" s="2" t="s">
        <v>19</v>
      </c>
      <c r="H72" s="13">
        <f>H4+E38</f>
        <v>0</v>
      </c>
      <c r="I72" s="2" t="s">
        <v>45</v>
      </c>
      <c r="K72" s="47">
        <f>B9+E8+H8+B43+E42</f>
        <v>27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1020</v>
      </c>
      <c r="E73" s="37">
        <f t="shared" si="0"/>
        <v>68</v>
      </c>
      <c r="F73" s="2" t="s">
        <v>20</v>
      </c>
      <c r="H73" s="47">
        <f>H5+H15+E50+E39+E57</f>
        <v>80</v>
      </c>
      <c r="I73" s="2" t="s">
        <v>46</v>
      </c>
      <c r="K73" s="47">
        <f>B10+E9+H9+B44+E43</f>
        <v>61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39</v>
      </c>
      <c r="I75" s="2" t="s">
        <v>102</v>
      </c>
      <c r="K75" s="47">
        <f>B28+K54</f>
        <v>16</v>
      </c>
      <c r="L75" s="2" t="s">
        <v>51</v>
      </c>
    </row>
    <row r="76" spans="2:12" x14ac:dyDescent="0.25">
      <c r="B76" s="26">
        <f>B8+B42</f>
        <v>30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810</v>
      </c>
      <c r="E77" s="37">
        <f t="shared" si="0"/>
        <v>81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1048</v>
      </c>
      <c r="E81" s="37">
        <f t="shared" si="0"/>
        <v>131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2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4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150</v>
      </c>
      <c r="H92" s="21">
        <f>B76</f>
        <v>30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312</v>
      </c>
      <c r="H93" s="21">
        <f>H75</f>
        <v>39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1" sqref="O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106</v>
      </c>
      <c r="C1" s="97"/>
      <c r="D1" s="96">
        <f>DATE(2024,12,30)+(Mon!C2-1)*7+4</f>
        <v>45807</v>
      </c>
      <c r="E1" s="96"/>
      <c r="F1" s="96"/>
      <c r="H1" s="63" t="s">
        <v>143</v>
      </c>
      <c r="I1" s="64">
        <f>Mon!D1+49-1</f>
        <v>45851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0</v>
      </c>
      <c r="L5" s="2" t="s">
        <v>42</v>
      </c>
      <c r="N5" s="39">
        <v>12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3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4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8</v>
      </c>
      <c r="C13" s="2" t="s">
        <v>15</v>
      </c>
      <c r="E13" s="39">
        <v>0</v>
      </c>
      <c r="F13" s="2" t="s">
        <v>15</v>
      </c>
      <c r="H13" s="39">
        <v>2</v>
      </c>
      <c r="I13" s="2" t="s">
        <v>15</v>
      </c>
      <c r="K13" s="39">
        <f>SUM(K4:K12)</f>
        <v>8</v>
      </c>
      <c r="L13" s="40" t="s">
        <v>35</v>
      </c>
      <c r="N13" s="39">
        <f>SUM(N4:N12)</f>
        <v>88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4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15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1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74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50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4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9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4">
        <v>40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5">
        <v>1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22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2</v>
      </c>
      <c r="C28" s="2" t="s">
        <v>47</v>
      </c>
      <c r="E28" s="39">
        <v>4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41</v>
      </c>
      <c r="C30" s="22" t="s">
        <v>35</v>
      </c>
      <c r="E30" s="39">
        <f>SUM(E24:E29)</f>
        <v>35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84</v>
      </c>
      <c r="L31" s="87" t="s">
        <v>44</v>
      </c>
    </row>
    <row r="32" spans="1:15" ht="12.75" customHeight="1" x14ac:dyDescent="0.25">
      <c r="B32" s="2" t="s">
        <v>36</v>
      </c>
      <c r="C32" s="16">
        <v>4876093608</v>
      </c>
      <c r="E32" s="2" t="s">
        <v>36</v>
      </c>
      <c r="F32" s="13">
        <v>4876122175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8</v>
      </c>
      <c r="F39" s="16" t="s">
        <v>50</v>
      </c>
    </row>
    <row r="40" spans="2:15" ht="12.6" customHeight="1" x14ac:dyDescent="0.25">
      <c r="E40" s="11">
        <f>SUM(E38:E39)</f>
        <v>16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6</v>
      </c>
      <c r="I44" s="2" t="s">
        <v>45</v>
      </c>
      <c r="K44" s="47">
        <f>B9+E9+B29+K9+E29+H9+N9</f>
        <v>38</v>
      </c>
      <c r="L44" s="2" t="s">
        <v>9</v>
      </c>
    </row>
    <row r="45" spans="2:15" x14ac:dyDescent="0.25">
      <c r="B45" s="26">
        <f>B5+E5+K5+H5+N5</f>
        <v>24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19</v>
      </c>
      <c r="I45" s="2" t="s">
        <v>46</v>
      </c>
      <c r="K45" s="47">
        <f>B37+B10+B28+E10+K10+H10+N10+E28</f>
        <v>49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22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32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122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89</v>
      </c>
      <c r="L48" s="2" t="s">
        <v>44</v>
      </c>
    </row>
    <row r="49" spans="2:12" x14ac:dyDescent="0.25">
      <c r="B49" s="26">
        <f>B13+E13+H13</f>
        <v>10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1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150</v>
      </c>
      <c r="H60" s="21">
        <f>B49</f>
        <v>10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220</v>
      </c>
      <c r="H61" s="29">
        <f>K46</f>
        <v>22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610</v>
      </c>
      <c r="H64" s="21">
        <f>B48</f>
        <v>122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256</v>
      </c>
      <c r="H65" s="21">
        <f>H47</f>
        <v>32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J14" sqref="J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110</v>
      </c>
      <c r="B1" s="97"/>
      <c r="C1" s="45">
        <f>Mon!C2+1</f>
        <v>23</v>
      </c>
      <c r="D1" s="46"/>
      <c r="E1" s="46"/>
      <c r="F1" s="63" t="s">
        <v>143</v>
      </c>
      <c r="G1" s="64">
        <f>Mon!D1+49-1</f>
        <v>45851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9.5</v>
      </c>
      <c r="B6" s="39">
        <v>456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1.5</v>
      </c>
      <c r="J9" s="39">
        <v>72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4.5</v>
      </c>
      <c r="B10" s="39">
        <v>216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120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648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M24" sqref="M2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113</v>
      </c>
      <c r="B1" s="97"/>
      <c r="C1" s="45">
        <f>Mon!C2</f>
        <v>22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2088</v>
      </c>
      <c r="P3" s="53">
        <f>O3/125</f>
        <v>16.704000000000001</v>
      </c>
      <c r="R3" s="51" t="s">
        <v>117</v>
      </c>
      <c r="S3" s="55">
        <f>12*(D8+J4)</f>
        <v>2148</v>
      </c>
      <c r="T3" s="55">
        <f>15*(A4+D4+G4+J7+J5)+20*D12</f>
        <v>8595</v>
      </c>
      <c r="U3" s="55">
        <f>15*(A5+A9+D5+D9+D10+D11+G5+J6+J8+J10)+20*(A8+D13+G7)</f>
        <v>40550</v>
      </c>
      <c r="V3" s="55">
        <f>15*(A6+J11)</f>
        <v>1725</v>
      </c>
      <c r="W3" s="55">
        <f>15*D6</f>
        <v>0</v>
      </c>
      <c r="X3" s="55">
        <f>15*(A7+D7+G6+J9)</f>
        <v>1440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42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174</v>
      </c>
      <c r="K4" s="2" t="s">
        <v>9</v>
      </c>
      <c r="M4" s="42"/>
      <c r="N4" s="52" t="s">
        <v>7</v>
      </c>
      <c r="O4" s="53">
        <f>J5*10</f>
        <v>3620</v>
      </c>
      <c r="P4" s="53">
        <f>O4/130</f>
        <v>27.846153846153847</v>
      </c>
      <c r="R4" s="51" t="s">
        <v>118</v>
      </c>
      <c r="S4" s="55">
        <f t="shared" ref="S4:X4" si="0">S3/15</f>
        <v>143.19999999999999</v>
      </c>
      <c r="T4" s="55">
        <f t="shared" si="0"/>
        <v>573</v>
      </c>
      <c r="U4" s="55">
        <f t="shared" si="0"/>
        <v>2703.3333333333335</v>
      </c>
      <c r="V4" s="55">
        <f t="shared" si="0"/>
        <v>115</v>
      </c>
      <c r="W4" s="55">
        <f t="shared" si="0"/>
        <v>0</v>
      </c>
      <c r="X4" s="55">
        <f t="shared" si="0"/>
        <v>96</v>
      </c>
    </row>
    <row r="5" spans="1:24" ht="12.75" customHeight="1" x14ac:dyDescent="0.25">
      <c r="A5" s="26">
        <f>Mon!B71+Tues!B44+Wed!B43+Thurs!B73+Fri!B45+NFLD!A44</f>
        <v>114</v>
      </c>
      <c r="B5" s="2" t="s">
        <v>42</v>
      </c>
      <c r="C5" s="24"/>
      <c r="D5" s="26">
        <f>Mon!E71+Tues!E44+Wed!E43+Thurs!E73+Fri!E45+NFLD!D44</f>
        <v>113</v>
      </c>
      <c r="E5" s="2" t="s">
        <v>20</v>
      </c>
      <c r="G5" s="26">
        <f>Mon!H71+Tues!H44+Wed!H43+Thurs!H73+Fri!H45+NFLD!G44</f>
        <v>210</v>
      </c>
      <c r="H5" s="2" t="s">
        <v>46</v>
      </c>
      <c r="J5" s="26">
        <f>Mon!K71+Tues!K44+Wed!K43+Thurs!K73+Fri!K45+NFLD!J44</f>
        <v>362</v>
      </c>
      <c r="K5" s="2" t="s">
        <v>7</v>
      </c>
      <c r="M5" s="42"/>
      <c r="N5" s="52" t="s">
        <v>8</v>
      </c>
      <c r="O5" s="53">
        <f>J6*10</f>
        <v>410</v>
      </c>
      <c r="P5" s="53">
        <f t="shared" ref="P5:P25" si="1">O5/130</f>
        <v>3.1538461538461537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15</v>
      </c>
      <c r="H6" s="2" t="s">
        <v>30</v>
      </c>
      <c r="J6" s="26">
        <f>Mon!K72+Tues!K45+Wed!K44+Thurs!K74+Fri!K46+NFLD!J45</f>
        <v>41</v>
      </c>
      <c r="K6" s="2" t="s">
        <v>8</v>
      </c>
      <c r="M6" s="42"/>
      <c r="N6" s="52" t="s">
        <v>51</v>
      </c>
      <c r="O6" s="53">
        <f>J7*15</f>
        <v>1950</v>
      </c>
      <c r="P6" s="53">
        <f>O6/150</f>
        <v>13</v>
      </c>
    </row>
    <row r="7" spans="1:24" ht="12.75" customHeight="1" x14ac:dyDescent="0.25">
      <c r="A7" s="26">
        <f>Mon!B73+Tues!B46+Wed!B45+Thurs!B75+Fri!B47+NFLD!A46</f>
        <v>27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126</v>
      </c>
      <c r="H7" s="2" t="s">
        <v>102</v>
      </c>
      <c r="J7" s="26">
        <f>Mon!K73+Tues!K46+Wed!K45+Thurs!K75+Fri!K47+NFLD!J46</f>
        <v>130</v>
      </c>
      <c r="K7" s="2" t="s">
        <v>51</v>
      </c>
      <c r="M7" s="42"/>
      <c r="N7" s="52" t="s">
        <v>44</v>
      </c>
      <c r="O7" s="53">
        <f t="shared" ref="O7" si="2">J8*15</f>
        <v>12915</v>
      </c>
      <c r="P7" s="53">
        <f t="shared" ref="P7:P8" si="3">O7/150</f>
        <v>86.1</v>
      </c>
      <c r="R7" s="12" t="s">
        <v>105</v>
      </c>
      <c r="S7" s="60">
        <f>Mon!C2</f>
        <v>22</v>
      </c>
    </row>
    <row r="8" spans="1:24" ht="12.75" customHeight="1" x14ac:dyDescent="0.25">
      <c r="A8" s="26">
        <f>Mon!B74+Tues!B47+Wed!B46+Thurs!B76+Fri!B48+NFLD!A47</f>
        <v>366</v>
      </c>
      <c r="B8" s="2" t="s">
        <v>6</v>
      </c>
      <c r="C8" s="24"/>
      <c r="D8" s="26">
        <f>Mon!E74+Tues!E47+Wed!E46+Thurs!E76+Fri!E48+NFLD!D47</f>
        <v>5</v>
      </c>
      <c r="E8" s="2" t="s">
        <v>23</v>
      </c>
      <c r="J8" s="26">
        <f>Mon!K74+Tues!K47+Wed!K46+Thurs!K76+Fri!K48+NFLD!J47</f>
        <v>861</v>
      </c>
      <c r="K8" s="2" t="s">
        <v>44</v>
      </c>
      <c r="M8" s="42"/>
      <c r="N8" s="52" t="s">
        <v>2</v>
      </c>
      <c r="O8" s="53">
        <f>J9*15</f>
        <v>750</v>
      </c>
      <c r="P8" s="53">
        <f t="shared" si="3"/>
        <v>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25</v>
      </c>
      <c r="B9" s="2" t="s">
        <v>15</v>
      </c>
      <c r="C9" s="24"/>
      <c r="D9" s="26">
        <f>Mon!E75+Tues!E48+Wed!E47+Thurs!E77+Fri!E49+NFLD!D48</f>
        <v>112</v>
      </c>
      <c r="E9" s="2" t="s">
        <v>22</v>
      </c>
      <c r="J9" s="26">
        <f>Mon!K75+Tues!K48+Wed!K47+Thurs!K77+Fri!K49+NFLD!J48</f>
        <v>50</v>
      </c>
      <c r="K9" s="2" t="s">
        <v>2</v>
      </c>
      <c r="M9" s="42"/>
      <c r="N9" s="52" t="s">
        <v>121</v>
      </c>
      <c r="O9" s="53">
        <f>7*(J10+J11)+8*(D12+D13+G7)+5*A9</f>
        <v>5557</v>
      </c>
      <c r="P9" s="53">
        <f>O9/140</f>
        <v>39.692857142857143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254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106</v>
      </c>
      <c r="K11" s="2" t="s">
        <v>0</v>
      </c>
      <c r="M11" s="42"/>
      <c r="N11" s="52" t="s">
        <v>42</v>
      </c>
      <c r="O11" s="53">
        <f t="shared" ref="O11:O12" si="4">A5*15</f>
        <v>1710</v>
      </c>
      <c r="P11" s="53">
        <f t="shared" ref="P11:P13" si="5">O11/250</f>
        <v>6.84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238</v>
      </c>
      <c r="E13" s="2" t="s">
        <v>28</v>
      </c>
      <c r="M13" s="42"/>
      <c r="N13" s="52" t="s">
        <v>5</v>
      </c>
      <c r="O13" s="53">
        <f>A7*15</f>
        <v>405</v>
      </c>
      <c r="P13" s="53">
        <f t="shared" si="5"/>
        <v>1.62</v>
      </c>
      <c r="S13" s="59"/>
    </row>
    <row r="14" spans="1:24" ht="12.75" customHeight="1" x14ac:dyDescent="0.25">
      <c r="A14" s="7"/>
      <c r="N14" s="52" t="s">
        <v>126</v>
      </c>
      <c r="O14" s="53">
        <f>5*A9</f>
        <v>125</v>
      </c>
      <c r="P14" s="53">
        <f>O14/50</f>
        <v>2.5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375</v>
      </c>
      <c r="P15" s="53">
        <f>O15/250</f>
        <v>1.5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3150</v>
      </c>
      <c r="P17" s="53">
        <f t="shared" si="6"/>
        <v>12.6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25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225</v>
      </c>
      <c r="P18" s="53">
        <f t="shared" si="6"/>
        <v>0.9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41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1008</v>
      </c>
      <c r="P19" s="53">
        <f>O19/50</f>
        <v>20.16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27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630</v>
      </c>
      <c r="P20" s="53">
        <f>O20/150</f>
        <v>4.2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15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1695</v>
      </c>
      <c r="P21" s="53">
        <f t="shared" ref="P21:P23" si="9">O21/150</f>
        <v>11.3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366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126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60</v>
      </c>
      <c r="P24" s="53">
        <f>O24/125</f>
        <v>0.48</v>
      </c>
    </row>
    <row r="25" spans="1:24" ht="12.75" customHeight="1" x14ac:dyDescent="0.25">
      <c r="F25" s="24"/>
      <c r="N25" s="52" t="s">
        <v>22</v>
      </c>
      <c r="O25" s="53">
        <f>10*D9</f>
        <v>1120</v>
      </c>
      <c r="P25" s="53">
        <f t="shared" si="1"/>
        <v>8.615384615384615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1904</v>
      </c>
      <c r="P29" s="53">
        <f>O29/50</f>
        <v>38.08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525</v>
      </c>
      <c r="P32" s="51">
        <f>O32/25-24*(G17+G20+G23)</f>
        <v>-27</v>
      </c>
      <c r="R32" s="98" t="s">
        <v>140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1764</v>
      </c>
      <c r="P33" s="51">
        <f>O33/25-24*(G18+G21+G24)-20*G19</f>
        <v>-149.44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291</v>
      </c>
      <c r="P34" s="51">
        <f t="shared" ref="P34:P36" si="10">O34/25</f>
        <v>11.64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115</v>
      </c>
      <c r="P35" s="51">
        <f t="shared" si="10"/>
        <v>4.5999999999999996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96</v>
      </c>
      <c r="P36" s="51">
        <f t="shared" si="10"/>
        <v>3.84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238</v>
      </c>
      <c r="P37" s="51">
        <f>O37/20</f>
        <v>11.9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61</v>
      </c>
      <c r="P38" s="51">
        <f>O38/20-13*G22</f>
        <v>-61.95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2025-05-29T17:26:56Z</cp:lastPrinted>
  <dcterms:created xsi:type="dcterms:W3CDTF">2014-06-06T13:58:10Z</dcterms:created>
  <dcterms:modified xsi:type="dcterms:W3CDTF">2025-06-02T12:20:34Z</dcterms:modified>
</cp:coreProperties>
</file>