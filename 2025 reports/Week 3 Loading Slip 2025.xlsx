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DCF1387B-59B6-4A0D-A7BC-F720DC46A52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64" i="9"/>
  <c r="K63" i="9"/>
  <c r="K62" i="9"/>
  <c r="K66" i="9"/>
  <c r="K94" i="8"/>
  <c r="K87" i="8"/>
  <c r="K61" i="7"/>
  <c r="K85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<sst xmlns="http://schemas.openxmlformats.org/spreadsheetml/2006/main" count="1136" uniqueCount="193">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</sst>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1" sqref="L4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45670</v>
      </c>
      <c r="E1" s="96"/>
      <c r="F1" s="96"/>
      <c r="H1" s="63" t="s">
        <v>144</v>
      </c>
      <c r="I1" s="64">
        <f>D1+42-1</f>
        <v>45711</v>
      </c>
      <c r="L1" s="19" t="s">
        <v>38</v>
      </c>
    </row>
    <row r="2" spans="1:12" ht="15.75" x14ac:dyDescent="0.25">
      <c r="B2" s="41" t="s">
        <v>106</v>
      </c>
      <c r="C2" s="50">
        <v>55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4</v>
      </c>
      <c r="I5" s="2" t="s">
        <v>19</v>
      </c>
    </row>
    <row r="6" spans="1:12" x14ac:dyDescent="0.25">
      <c r="A6">
        <f>ROUNDDOWN(B6/24,0)</f>
        <v>0</v>
      </c>
      <c r="B6" s="39">
        <v>4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8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4873133705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9283</v>
      </c>
    </row>
    <row r="18" spans="2:10" x14ac:dyDescent="0.25">
      <c r="B18" s="39">
        <v>1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55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2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2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45670</v>
      </c>
      <c r="E34" s="96"/>
      <c r="F34" s="96"/>
      <c r="H34" s="63" t="s">
        <v>144</v>
      </c>
      <c r="I34" s="67">
        <f>I1</f>
        <v>45711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4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11</v>
      </c>
      <c r="F38" s="2" t="s">
        <v>20</v>
      </c>
      <c r="H38" s="39">
        <v>14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5</v>
      </c>
      <c r="C42" s="2" t="s">
        <v>9</v>
      </c>
      <c r="E42" s="39">
        <v>14</v>
      </c>
      <c r="F42" s="2" t="s">
        <v>22</v>
      </c>
      <c r="H42" s="39">
        <v>16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21</v>
      </c>
      <c r="F46" s="16" t="s">
        <v>28</v>
      </c>
      <c r="H46" s="39">
        <v>41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77</v>
      </c>
      <c r="I47" s="2" t="s">
        <v>35</v>
      </c>
    </row>
    <row r="48" spans="1:12" x14ac:dyDescent="0.25">
      <c r="B48" s="39">
        <v>3</v>
      </c>
      <c r="C48" s="2" t="s">
        <v>16</v>
      </c>
      <c r="F48" s="2"/>
      <c r="I48" s="2"/>
    </row>
    <row r="49" spans="2:12" x14ac:dyDescent="0.25">
      <c r="B49" s="39">
        <v>2</v>
      </c>
      <c r="C49" s="2" t="s">
        <v>153</v>
      </c>
      <c r="E49" s="2" t="s">
        <v>36</v>
      </c>
      <c r="F49" s="16">
        <v>9278</v>
      </c>
      <c r="H49" s="2" t="s">
        <v>36</v>
      </c>
      <c r="I49" s="16">
        <v>9432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2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4</v>
      </c>
      <c r="L53" t="s">
        <v>51</v>
      </c>
    </row>
    <row r="54" spans="2:12" x14ac:dyDescent="0.25">
      <c r="B54" s="39">
        <f>SUM(B37:B53)</f>
        <v>51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8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1</v>
      </c>
      <c r="I55" s="2" t="s">
        <v>33</v>
      </c>
      <c r="K55" s="39">
        <f>SUM(K53:K54)</f>
        <v>7</v>
      </c>
      <c r="L55" s="2" t="s">
        <v>35</v>
      </c>
    </row>
    <row r="56" spans="2:12" x14ac:dyDescent="0.25">
      <c r="C56" s="4"/>
      <c r="E56" s="39">
        <f>SUM(E53:E55)</f>
        <v>27</v>
      </c>
      <c r="F56" s="2" t="s">
        <v>35</v>
      </c>
      <c r="G56">
        <f>ROUNDDOWN(H56/13,0)</f>
        <v>1</v>
      </c>
      <c r="H56" s="39">
        <v>15</v>
      </c>
      <c r="I56" s="2" t="s">
        <v>104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161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39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4873118214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3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465</v>
      </c>
      <c r="E71" s="14">
        <f t="shared" si="0"/>
        <v>31</v>
      </c>
      <c r="F71" s="2" t="s">
        <v>20</v>
      </c>
      <c r="H71" s="14">
        <f>E6+E16+E59+H54+E53</f>
        <v>86</v>
      </c>
      <c r="I71" s="2" t="s">
        <v>46</v>
      </c>
      <c r="K71" s="13">
        <f>B11+E10+B31+B43+H58</f>
        <v>44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23</v>
      </c>
      <c r="I73" s="2" t="s">
        <v>104</v>
      </c>
      <c r="K73" s="47">
        <f>K53</f>
        <v>4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340</v>
      </c>
      <c r="E75" s="14">
        <f t="shared" si="0"/>
        <v>34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2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568</v>
      </c>
      <c r="E79" s="14">
        <f t="shared" si="0"/>
        <v>71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3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1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184</v>
      </c>
      <c r="H91" s="21">
        <f>H73</f>
        <v>23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45671</v>
      </c>
      <c r="E1" s="95"/>
      <c r="F1" s="95"/>
      <c r="H1" s="63" t="s">
        <v>144</v>
      </c>
      <c r="I1" s="64">
        <f>Mon!D1+42-1</f>
        <v>45711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3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0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4</v>
      </c>
      <c r="I9" s="2" t="s">
        <v>9</v>
      </c>
      <c r="K9" s="39">
        <v>5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5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10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3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1</v>
      </c>
      <c r="C16" s="2" t="s">
        <v>153</v>
      </c>
      <c r="E16" s="39">
        <v>0</v>
      </c>
      <c r="F16" s="2" t="s">
        <v>153</v>
      </c>
      <c r="H16" s="39">
        <v>1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140</v>
      </c>
      <c r="C21" s="2" t="s">
        <v>35</v>
      </c>
      <c r="E21" s="39">
        <f>SUM(E4:E20)</f>
        <v>37</v>
      </c>
      <c r="F21" s="2" t="s">
        <v>35</v>
      </c>
      <c r="H21" s="39">
        <f>SUM(H4:H20)</f>
        <v>36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0</v>
      </c>
      <c r="B27" s="39">
        <v>0</v>
      </c>
      <c r="C27" s="2" t="s">
        <v>104</v>
      </c>
      <c r="D27">
        <f>ROUNDDOWN(E27/13,0)</f>
        <v>0</v>
      </c>
      <c r="E27" s="39">
        <v>10</v>
      </c>
      <c r="F27" s="2" t="s">
        <v>104</v>
      </c>
      <c r="H27" s="39">
        <f>SUM(H24:H26)</f>
        <v>10</v>
      </c>
      <c r="I27" s="2" t="s">
        <v>35</v>
      </c>
      <c r="K27" s="74">
        <v>20</v>
      </c>
      <c r="L27" s="84" t="s">
        <v>44</v>
      </c>
      <c r="R27" s="3"/>
    </row>
    <row r="28" spans="1:18" ht="12.4" customHeight="1" x14ac:dyDescent="0.25">
      <c r="B28" s="39">
        <v>15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43</v>
      </c>
      <c r="C30" s="2" t="s">
        <v>35</v>
      </c>
      <c r="E30" s="39">
        <f>SUM(E24:E29)</f>
        <v>32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40</v>
      </c>
      <c r="L31" s="89" t="s">
        <v>44</v>
      </c>
    </row>
    <row r="32" spans="1:18" ht="12.4" customHeight="1" x14ac:dyDescent="0.25">
      <c r="B32" s="2" t="s">
        <v>36</v>
      </c>
      <c r="C32" s="16">
        <v>4873171504</v>
      </c>
      <c r="E32" s="2" t="s">
        <v>36</v>
      </c>
      <c r="F32" s="16">
        <v>4873185148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6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25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14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38</v>
      </c>
      <c r="L43" s="2" t="s">
        <v>9</v>
      </c>
    </row>
    <row r="44" spans="2:12" x14ac:dyDescent="0.25">
      <c r="B44" s="26">
        <f>B5+H5+K5+E5</f>
        <v>30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39</v>
      </c>
      <c r="I44" s="2" t="s">
        <v>46</v>
      </c>
      <c r="K44" s="13">
        <f>B10+B29+H10+K10+E10+E29+B37</f>
        <v>31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58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10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95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62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4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1</v>
      </c>
      <c r="L59" t="s">
        <v>42</v>
      </c>
    </row>
    <row r="60" spans="2:12" x14ac:dyDescent="0.25">
      <c r="B60" s="13">
        <f>B16+H16+E16</f>
        <v>2</v>
      </c>
      <c r="C60" s="2" t="s">
        <v>17</v>
      </c>
      <c r="G60" s="35">
        <f>H60*10</f>
        <v>580</v>
      </c>
      <c r="H60" s="29">
        <f>K45</f>
        <v>58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2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2</v>
      </c>
      <c r="C63" s="2" t="s">
        <v>13</v>
      </c>
      <c r="G63" s="35">
        <f>H63*5</f>
        <v>475</v>
      </c>
      <c r="H63" s="21">
        <f>B47</f>
        <v>95</v>
      </c>
      <c r="I63" s="2" t="s">
        <v>50</v>
      </c>
      <c r="K63" s="14">
        <f>A27+D27</f>
        <v>0</v>
      </c>
      <c r="L63" s="2" t="s">
        <v>104</v>
      </c>
    </row>
    <row r="64" spans="2:12" x14ac:dyDescent="0.25">
      <c r="B64" s="13">
        <f>B20+H20+E20</f>
        <v>1</v>
      </c>
      <c r="C64" s="2" t="s">
        <v>18</v>
      </c>
      <c r="G64" s="35">
        <f>H64*8</f>
        <v>80</v>
      </c>
      <c r="H64" s="21">
        <f>H46</f>
        <v>10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2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9" sqref="D39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45672</v>
      </c>
      <c r="E1" s="95"/>
      <c r="F1" s="95"/>
      <c r="H1" s="63" t="s">
        <v>144</v>
      </c>
      <c r="I1" s="64">
        <f>Mon!D1+49-1</f>
        <v>45718</v>
      </c>
      <c r="K1" s="17" t="s">
        <v>95</v>
      </c>
      <c r="L1" s="17"/>
    </row>
    <row r="2" spans="2:12" ht="12.75" customHeight="1" x14ac:dyDescent="0.25">
      <c r="K2" s="39">
        <v>3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7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0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5</v>
      </c>
      <c r="F5" s="2" t="s">
        <v>42</v>
      </c>
      <c r="H5" s="39">
        <v>6</v>
      </c>
      <c r="I5" s="2" t="s">
        <v>42</v>
      </c>
      <c r="K5" s="39">
        <v>20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0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10</v>
      </c>
      <c r="F7" s="2" t="s">
        <v>9</v>
      </c>
      <c r="H7" s="39">
        <v>0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18</v>
      </c>
      <c r="F8" s="16" t="s">
        <v>7</v>
      </c>
      <c r="H8" s="39">
        <f>SUM(H4:H7)</f>
        <v>6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37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63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2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1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37</v>
      </c>
      <c r="F18" s="22" t="s">
        <v>35</v>
      </c>
      <c r="H18" s="39">
        <f>SUM(H12:H17)</f>
        <v>37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2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19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2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1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13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8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22</v>
      </c>
      <c r="L42" s="2" t="s">
        <v>9</v>
      </c>
    </row>
    <row r="43" spans="2:12" x14ac:dyDescent="0.25">
      <c r="B43" s="91">
        <f>E5+E13+H5+H13+K3+K16+K16</f>
        <v>51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19</v>
      </c>
      <c r="L45" s="2" t="s">
        <v>51</v>
      </c>
    </row>
    <row r="46" spans="2:12" x14ac:dyDescent="0.25">
      <c r="B46" s="91">
        <f>E15+E26+H7+H15+K5+K18+K18</f>
        <v>40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30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9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120</v>
      </c>
      <c r="H60" s="26">
        <f>B45</f>
        <v>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200</v>
      </c>
      <c r="H62" s="21">
        <f>B46</f>
        <v>40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4" sqref="I24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45673</v>
      </c>
      <c r="E1" s="95"/>
      <c r="F1" s="95"/>
      <c r="G1" s="1"/>
      <c r="H1" s="63" t="s">
        <v>144</v>
      </c>
      <c r="I1" s="64">
        <f>Mon!D1+49-1</f>
        <v>45718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3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7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0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9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4873234512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25</v>
      </c>
      <c r="L14" s="22" t="s">
        <v>35</v>
      </c>
    </row>
    <row r="15" spans="1:12" x14ac:dyDescent="0.25">
      <c r="B15" s="39">
        <v>2</v>
      </c>
      <c r="C15" s="2" t="s">
        <v>16</v>
      </c>
      <c r="G15" s="3"/>
      <c r="H15" s="39">
        <v>36</v>
      </c>
      <c r="I15" s="2" t="s">
        <v>29</v>
      </c>
      <c r="L15" s="2"/>
    </row>
    <row r="16" spans="1:12" x14ac:dyDescent="0.25">
      <c r="B16" s="39">
        <v>2</v>
      </c>
      <c r="C16" s="2" t="s">
        <v>153</v>
      </c>
      <c r="H16" s="39">
        <v>1</v>
      </c>
      <c r="I16" s="2" t="s">
        <v>30</v>
      </c>
      <c r="K16" s="2" t="s">
        <v>36</v>
      </c>
      <c r="L16" s="16">
        <v>741</v>
      </c>
    </row>
    <row r="17" spans="2:10" x14ac:dyDescent="0.25">
      <c r="B17" s="39">
        <v>1</v>
      </c>
      <c r="C17" s="2" t="s">
        <v>152</v>
      </c>
      <c r="H17" s="39">
        <v>1</v>
      </c>
      <c r="I17" s="16" t="s">
        <v>154</v>
      </c>
    </row>
    <row r="18" spans="2:10" x14ac:dyDescent="0.25">
      <c r="B18" s="39">
        <v>1</v>
      </c>
      <c r="C18" s="2" t="s">
        <v>154</v>
      </c>
      <c r="H18" s="39">
        <f>SUM(H15:H17)</f>
        <v>38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60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1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45673</v>
      </c>
      <c r="E35" s="95"/>
      <c r="F35" s="95"/>
      <c r="H35" s="63" t="s">
        <v>144</v>
      </c>
      <c r="I35" s="64">
        <f>I1</f>
        <v>45718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15</v>
      </c>
      <c r="F39" s="2" t="s">
        <v>31</v>
      </c>
      <c r="H39" s="39">
        <v>23</v>
      </c>
      <c r="I39" s="2" t="s">
        <v>20</v>
      </c>
      <c r="K39" s="39">
        <v>33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34</v>
      </c>
      <c r="F41" s="2" t="s">
        <v>104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4</v>
      </c>
      <c r="F42" s="2" t="s">
        <v>47</v>
      </c>
      <c r="H42" s="39">
        <v>2</v>
      </c>
      <c r="I42" s="2" t="s">
        <v>23</v>
      </c>
      <c r="K42" s="39">
        <v>4</v>
      </c>
      <c r="L42" s="2" t="s">
        <v>23</v>
      </c>
    </row>
    <row r="43" spans="1:12" x14ac:dyDescent="0.25">
      <c r="B43" s="39">
        <v>2</v>
      </c>
      <c r="C43" s="2" t="s">
        <v>9</v>
      </c>
      <c r="D43">
        <f>ROUNDDOWN(E43/24,0)</f>
        <v>0</v>
      </c>
      <c r="E43" s="39">
        <v>7</v>
      </c>
      <c r="F43" s="16" t="s">
        <v>7</v>
      </c>
      <c r="H43" s="39">
        <v>22</v>
      </c>
      <c r="I43" s="2" t="s">
        <v>22</v>
      </c>
      <c r="K43" s="39">
        <v>36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63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1</v>
      </c>
      <c r="C46" s="2" t="s">
        <v>44</v>
      </c>
      <c r="E46" s="2" t="s">
        <v>36</v>
      </c>
      <c r="F46" s="16">
        <v>4873222206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21</v>
      </c>
      <c r="I47" s="16" t="s">
        <v>28</v>
      </c>
      <c r="K47" s="39">
        <v>77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76</v>
      </c>
      <c r="I48" s="2" t="s">
        <v>35</v>
      </c>
      <c r="K48" s="39">
        <f>SUM(K38:K47)</f>
        <v>164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60</v>
      </c>
      <c r="F50" s="2" t="s">
        <v>29</v>
      </c>
      <c r="H50" s="2" t="s">
        <v>36</v>
      </c>
      <c r="I50" s="16">
        <v>791</v>
      </c>
      <c r="K50" s="2" t="s">
        <v>36</v>
      </c>
      <c r="L50" s="16">
        <v>811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60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32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2</v>
      </c>
      <c r="I72" s="2" t="s">
        <v>45</v>
      </c>
      <c r="K72" s="47">
        <f>B9+E8+H8+B43+E42</f>
        <v>18</v>
      </c>
      <c r="L72" s="2" t="s">
        <v>9</v>
      </c>
    </row>
    <row r="73" spans="2:12" x14ac:dyDescent="0.25">
      <c r="B73" s="26">
        <f>B5+E5+B39</f>
        <v>36</v>
      </c>
      <c r="C73" s="2" t="s">
        <v>42</v>
      </c>
      <c r="D73" s="35">
        <f t="shared" ref="D73:D79" si="1">E73*15</f>
        <v>945</v>
      </c>
      <c r="E73" s="37">
        <f t="shared" si="0"/>
        <v>63</v>
      </c>
      <c r="F73" s="2" t="s">
        <v>20</v>
      </c>
      <c r="H73" s="47">
        <f>H5+H15+E50+E39+E57</f>
        <v>155</v>
      </c>
      <c r="I73" s="2" t="s">
        <v>46</v>
      </c>
      <c r="K73" s="47">
        <f>B10+E9+H9+B44+E43</f>
        <v>28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42</v>
      </c>
      <c r="I75" s="2" t="s">
        <v>103</v>
      </c>
      <c r="K75" s="47">
        <f>B28+K54</f>
        <v>12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72</v>
      </c>
      <c r="E76" s="37">
        <f t="shared" si="0"/>
        <v>6</v>
      </c>
      <c r="F76" s="2" t="s">
        <v>23</v>
      </c>
      <c r="K76" s="13">
        <f>B12+B46</f>
        <v>1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670</v>
      </c>
      <c r="E77" s="37">
        <f t="shared" si="0"/>
        <v>67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840</v>
      </c>
      <c r="E81" s="37">
        <f t="shared" si="0"/>
        <v>105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4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2</v>
      </c>
      <c r="L92" s="2" t="s">
        <v>104</v>
      </c>
    </row>
    <row r="93" spans="2:12" x14ac:dyDescent="0.25">
      <c r="B93" s="13">
        <f>B20+B54</f>
        <v>1</v>
      </c>
      <c r="C93" s="2" t="s">
        <v>18</v>
      </c>
      <c r="G93" s="35">
        <f>H93*8</f>
        <v>336</v>
      </c>
      <c r="H93" s="21">
        <f>H75</f>
        <v>42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30" sqref="O3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45674</v>
      </c>
      <c r="E1" s="95"/>
      <c r="F1" s="95"/>
      <c r="H1" s="63" t="s">
        <v>144</v>
      </c>
      <c r="I1" s="64">
        <f>Mon!D1+49-1</f>
        <v>45718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2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6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4</v>
      </c>
      <c r="C9" s="2" t="s">
        <v>9</v>
      </c>
      <c r="E9" s="39">
        <v>5</v>
      </c>
      <c r="F9" s="2" t="s">
        <v>9</v>
      </c>
      <c r="H9" s="39">
        <v>5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2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17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1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1</v>
      </c>
      <c r="C16" s="2" t="s">
        <v>153</v>
      </c>
      <c r="E16" s="39">
        <v>0</v>
      </c>
      <c r="F16" s="2" t="s">
        <v>153</v>
      </c>
      <c r="H16" s="39">
        <v>1</v>
      </c>
      <c r="I16" s="2" t="s">
        <v>153</v>
      </c>
      <c r="K16" s="74">
        <v>5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1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64</v>
      </c>
      <c r="C21" s="22" t="s">
        <v>35</v>
      </c>
      <c r="E21" s="39">
        <f>SUM(E4:E20)</f>
        <v>42</v>
      </c>
      <c r="F21" s="22" t="s">
        <v>35</v>
      </c>
      <c r="H21" s="39">
        <f>SUM(H4:H20)</f>
        <v>50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98">
        <v>1</v>
      </c>
      <c r="L26" s="75" t="s">
        <v>192</v>
      </c>
    </row>
    <row r="27" spans="1:15" ht="12.75" customHeight="1" thickBot="1" x14ac:dyDescent="0.3">
      <c r="A27">
        <f>ROUNDDOWN(B27/13,0)</f>
        <v>0</v>
      </c>
      <c r="B27" s="39">
        <v>10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3</v>
      </c>
      <c r="C28" s="2" t="s">
        <v>47</v>
      </c>
      <c r="E28" s="39">
        <v>6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13</v>
      </c>
      <c r="C30" s="22" t="s">
        <v>35</v>
      </c>
      <c r="E30" s="39">
        <f>SUM(E24:E29)</f>
        <v>42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44</v>
      </c>
      <c r="L31" s="87" t="s">
        <v>44</v>
      </c>
    </row>
    <row r="32" spans="1:15" ht="12.75" customHeight="1" x14ac:dyDescent="0.25">
      <c r="B32" s="2" t="s">
        <v>36</v>
      </c>
      <c r="C32" s="16">
        <v>4873257497</v>
      </c>
      <c r="E32" s="2" t="s">
        <v>36</v>
      </c>
      <c r="F32" s="13">
        <v>4873257931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23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27</v>
      </c>
      <c r="L44" s="2" t="s">
        <v>9</v>
      </c>
    </row>
    <row r="45" spans="2:15" x14ac:dyDescent="0.25">
      <c r="B45" s="26">
        <f>B5+E5+K5+H5+N5</f>
        <v>20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13</v>
      </c>
      <c r="I45" s="2" t="s">
        <v>46</v>
      </c>
      <c r="K45" s="47">
        <f>B37+B10+B28+E10+K10+H10+N10+E28</f>
        <v>23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7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109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44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70</v>
      </c>
      <c r="H61" s="29">
        <f>K46</f>
        <v>7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545</v>
      </c>
      <c r="H64" s="21">
        <f>B48</f>
        <v>109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1</v>
      </c>
      <c r="C65" s="2" t="s">
        <v>18</v>
      </c>
      <c r="G65" s="35">
        <f>H65*8</f>
        <v>200</v>
      </c>
      <c r="H65" s="21">
        <f>H47</f>
        <v>25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D19" sqref="D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56</v>
      </c>
      <c r="D1" s="46"/>
      <c r="E1" s="46"/>
      <c r="F1" s="63" t="s">
        <v>144</v>
      </c>
      <c r="G1" s="64">
        <f>Mon!D1+49-1</f>
        <v>45718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>
        <v>0</v>
      </c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>
        <v>0</v>
      </c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48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288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I34" sqref="I3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55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1488</v>
      </c>
      <c r="P3" s="53">
        <f>O3/125</f>
        <v>11.904</v>
      </c>
      <c r="R3" s="51" t="s">
        <v>118</v>
      </c>
      <c r="S3" s="55">
        <f>12*(D8+J4)</f>
        <v>1560</v>
      </c>
      <c r="T3" s="55">
        <f>15*(A4+D4+G4+J7+J5)+20*D12</f>
        <v>6990</v>
      </c>
      <c r="U3" s="55">
        <f>15*(A5+A9+D5+D9+D10+D11+G5+J6+J8+J10)+20*(A8+D13+G7)</f>
        <v>29485</v>
      </c>
      <c r="V3" s="55">
        <f>15*(A6+J11)</f>
        <v>180</v>
      </c>
      <c r="W3" s="55">
        <f>15*D6</f>
        <v>0</v>
      </c>
      <c r="X3" s="55">
        <f>15*(A7+D7+G6+J9)</f>
        <v>1440</v>
      </c>
    </row>
    <row r="4" spans="1:24" ht="12.75" customHeight="1" x14ac:dyDescent="0.25">
      <c r="A4" s="31">
        <f>Mon!B70+Tues!B43+Wed!B42+Thurs!B72+Fri!B44+NFLD!A43</f>
        <v>26</v>
      </c>
      <c r="B4" s="2" t="s">
        <v>41</v>
      </c>
      <c r="C4" s="7"/>
      <c r="D4" s="31">
        <f>Mon!E70+Tues!E43+Wed!E42+Thurs!E72+Fri!E44+NFLD!D43</f>
        <v>30</v>
      </c>
      <c r="E4" s="2" t="s">
        <v>19</v>
      </c>
      <c r="F4" s="7"/>
      <c r="G4" s="31">
        <f>Mon!H70+Tues!H43+Wed!H42+Thurs!H72+Fri!H44+NFLD!G43</f>
        <v>11</v>
      </c>
      <c r="H4" s="2" t="s">
        <v>45</v>
      </c>
      <c r="I4" s="7"/>
      <c r="J4" s="31">
        <f>Mon!K70+Tues!K43+Wed!K42+Thurs!K72+Fri!K44+NFLD!J43</f>
        <v>124</v>
      </c>
      <c r="K4" s="2" t="s">
        <v>9</v>
      </c>
      <c r="M4" s="42"/>
      <c r="N4" s="52" t="s">
        <v>7</v>
      </c>
      <c r="O4" s="53">
        <f>J5*10</f>
        <v>3160</v>
      </c>
      <c r="P4" s="53">
        <f>O4/130</f>
        <v>24.307692307692307</v>
      </c>
      <c r="R4" s="51" t="s">
        <v>119</v>
      </c>
      <c r="S4" s="55">
        <f t="shared" ref="S4:X4" si="0">S3/15</f>
        <v>104</v>
      </c>
      <c r="T4" s="55">
        <f t="shared" si="0"/>
        <v>466</v>
      </c>
      <c r="U4" s="55">
        <f t="shared" si="0"/>
        <v>1965.6666666666667</v>
      </c>
      <c r="V4" s="55">
        <f t="shared" si="0"/>
        <v>12</v>
      </c>
      <c r="W4" s="55">
        <f t="shared" si="0"/>
        <v>0</v>
      </c>
      <c r="X4" s="55">
        <f t="shared" si="0"/>
        <v>96</v>
      </c>
    </row>
    <row r="5" spans="1:24" ht="12.75" customHeight="1" x14ac:dyDescent="0.25">
      <c r="A5" s="26">
        <f>Mon!B71+Tues!B44+Wed!B43+Thurs!B73+Fri!B45+NFLD!A44</f>
        <v>141</v>
      </c>
      <c r="B5" s="2" t="s">
        <v>42</v>
      </c>
      <c r="C5" s="24"/>
      <c r="D5" s="26">
        <f>Mon!E71+Tues!E44+Wed!E43+Thurs!E73+Fri!E45+NFLD!D44</f>
        <v>94</v>
      </c>
      <c r="E5" s="2" t="s">
        <v>20</v>
      </c>
      <c r="G5" s="26">
        <f>Mon!H71+Tues!H44+Wed!H43+Thurs!H73+Fri!H45+NFLD!G44</f>
        <v>293</v>
      </c>
      <c r="H5" s="2" t="s">
        <v>46</v>
      </c>
      <c r="J5" s="26">
        <f>Mon!K71+Tues!K44+Wed!K43+Thurs!K73+Fri!K45+NFLD!J44</f>
        <v>316</v>
      </c>
      <c r="K5" s="2" t="s">
        <v>7</v>
      </c>
      <c r="M5" s="42"/>
      <c r="N5" s="52" t="s">
        <v>8</v>
      </c>
      <c r="O5" s="53">
        <f>J6*10</f>
        <v>890</v>
      </c>
      <c r="P5" s="53">
        <f t="shared" ref="P5:P25" si="1">O5/130</f>
        <v>6.8461538461538458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89</v>
      </c>
      <c r="K6" s="2" t="s">
        <v>8</v>
      </c>
      <c r="M6" s="42"/>
      <c r="N6" s="52" t="s">
        <v>51</v>
      </c>
      <c r="O6" s="53">
        <f>J7*15</f>
        <v>1245</v>
      </c>
      <c r="P6" s="53">
        <f>O6/150</f>
        <v>8.3000000000000007</v>
      </c>
    </row>
    <row r="7" spans="1:24" ht="12.75" customHeight="1" x14ac:dyDescent="0.25">
      <c r="A7" s="26">
        <f>Mon!B73+Tues!B46+Wed!B45+Thurs!B75+Fri!B47+NFLD!A46</f>
        <v>14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100</v>
      </c>
      <c r="H7" s="2" t="s">
        <v>103</v>
      </c>
      <c r="J7" s="26">
        <f>Mon!K73+Tues!K46+Wed!K45+Thurs!K75+Fri!K47+NFLD!J46</f>
        <v>83</v>
      </c>
      <c r="K7" s="2" t="s">
        <v>51</v>
      </c>
      <c r="M7" s="42"/>
      <c r="N7" s="52" t="s">
        <v>44</v>
      </c>
      <c r="O7" s="53">
        <f t="shared" ref="O7" si="2">J8*15</f>
        <v>6465</v>
      </c>
      <c r="P7" s="53">
        <f t="shared" ref="P7:P8" si="3">O7/150</f>
        <v>43.1</v>
      </c>
      <c r="R7" s="12" t="s">
        <v>106</v>
      </c>
      <c r="S7" s="60">
        <f>Mon!C2</f>
        <v>55</v>
      </c>
    </row>
    <row r="8" spans="1:24" ht="12.75" customHeight="1" x14ac:dyDescent="0.25">
      <c r="A8" s="26">
        <f>Mon!B74+Tues!B47+Wed!B46+Thurs!B76+Fri!B48+NFLD!A47</f>
        <v>314</v>
      </c>
      <c r="B8" s="2" t="s">
        <v>6</v>
      </c>
      <c r="C8" s="24"/>
      <c r="D8" s="26">
        <f>Mon!E74+Tues!E47+Wed!E46+Thurs!E76+Fri!E48+NFLD!D47</f>
        <v>6</v>
      </c>
      <c r="E8" s="2" t="s">
        <v>23</v>
      </c>
      <c r="J8" s="26">
        <f>Mon!K74+Tues!K47+Wed!K46+Thurs!K76+Fri!K48+NFLD!J47</f>
        <v>431</v>
      </c>
      <c r="K8" s="2" t="s">
        <v>44</v>
      </c>
      <c r="M8" s="42"/>
      <c r="N8" s="52" t="s">
        <v>2</v>
      </c>
      <c r="O8" s="53">
        <f>J9*15</f>
        <v>975</v>
      </c>
      <c r="P8" s="53">
        <f t="shared" si="3"/>
        <v>6.5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101</v>
      </c>
      <c r="E9" s="2" t="s">
        <v>22</v>
      </c>
      <c r="J9" s="26">
        <f>Mon!K75+Tues!K48+Wed!K47+Thurs!K77+Fri!K49+NFLD!J48</f>
        <v>65</v>
      </c>
      <c r="K9" s="2" t="s">
        <v>2</v>
      </c>
      <c r="M9" s="42"/>
      <c r="N9" s="52" t="s">
        <v>122</v>
      </c>
      <c r="O9" s="53">
        <f>7*(J10+J11)+8*(D12+D13+G7)+5*A9</f>
        <v>2461</v>
      </c>
      <c r="P9" s="53">
        <f>O9/140</f>
        <v>17.578571428571429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</v>
      </c>
      <c r="K10" s="2" t="s">
        <v>1</v>
      </c>
      <c r="M10" s="42"/>
      <c r="N10" s="52" t="s">
        <v>41</v>
      </c>
      <c r="O10" s="53">
        <f>A4*15</f>
        <v>390</v>
      </c>
      <c r="P10" s="53">
        <f>O10/250</f>
        <v>1.56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7</v>
      </c>
      <c r="K11" s="2" t="s">
        <v>0</v>
      </c>
      <c r="M11" s="42"/>
      <c r="N11" s="52" t="s">
        <v>42</v>
      </c>
      <c r="O11" s="53">
        <f t="shared" ref="O11:O12" si="4">A5*15</f>
        <v>2115</v>
      </c>
      <c r="P11" s="53">
        <f t="shared" ref="P11:P13" si="5">O11/250</f>
        <v>8.4600000000000009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176</v>
      </c>
      <c r="E13" s="2" t="s">
        <v>28</v>
      </c>
      <c r="M13" s="42"/>
      <c r="N13" s="52" t="s">
        <v>5</v>
      </c>
      <c r="O13" s="53">
        <f>A7*15</f>
        <v>210</v>
      </c>
      <c r="P13" s="53">
        <f t="shared" si="5"/>
        <v>0.84</v>
      </c>
      <c r="S13" s="59"/>
    </row>
    <row r="14" spans="1:24" ht="12.75" customHeight="1" x14ac:dyDescent="0.25">
      <c r="A14" s="7"/>
      <c r="N14" s="52" t="s">
        <v>127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4395</v>
      </c>
      <c r="P17" s="53">
        <f t="shared" si="6"/>
        <v>17.579999999999998</v>
      </c>
    </row>
    <row r="18" spans="1:24" ht="12.75" customHeight="1" x14ac:dyDescent="0.25">
      <c r="A18" s="26">
        <f>Mon!B86+Tues!B59+Wed!B58+Thurs!B88+Fri!B60+NFLD!A59</f>
        <v>10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165</v>
      </c>
      <c r="P18" s="53">
        <f t="shared" si="6"/>
        <v>0.66</v>
      </c>
    </row>
    <row r="19" spans="1:24" ht="12.75" customHeight="1" x14ac:dyDescent="0.25">
      <c r="A19" s="26">
        <f>Mon!B87+Tues!B60+Wed!B59+Thurs!B89+Fri!B61+NFLD!A60</f>
        <v>8</v>
      </c>
      <c r="B19" s="2" t="s">
        <v>17</v>
      </c>
      <c r="D19" s="29">
        <f>J6</f>
        <v>89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128</v>
      </c>
      <c r="O19" s="53">
        <f>8*G7</f>
        <v>800</v>
      </c>
      <c r="P19" s="53">
        <f>O19/50</f>
        <v>16</v>
      </c>
    </row>
    <row r="20" spans="1:24" ht="12.75" customHeight="1" x14ac:dyDescent="0.25">
      <c r="A20" s="26">
        <f>Mon!B88+Tues!B61+Wed!B60+Thurs!B90+Fri!B62+NFLD!A61</f>
        <v>4</v>
      </c>
      <c r="B20" s="2" t="s">
        <v>11</v>
      </c>
      <c r="D20" s="26">
        <f>A7</f>
        <v>14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450</v>
      </c>
      <c r="P20" s="53">
        <f>O20/150</f>
        <v>3</v>
      </c>
    </row>
    <row r="21" spans="1:24" ht="12.75" customHeight="1" x14ac:dyDescent="0.25">
      <c r="A21" s="26">
        <f>Mon!B89+Tues!B62+Wed!B61+Thurs!B91+Fri!B63+NFLD!A62</f>
        <v>9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1410</v>
      </c>
      <c r="P21" s="53">
        <f t="shared" ref="P21:P23" si="9">O21/150</f>
        <v>9.4</v>
      </c>
    </row>
    <row r="22" spans="1:24" ht="12.75" customHeight="1" x14ac:dyDescent="0.25">
      <c r="A22" s="26">
        <f>Mon!B90+Tues!B63+Wed!B62+Thurs!B92+Fri!B64+NFLD!A63</f>
        <v>6</v>
      </c>
      <c r="B22" s="2" t="s">
        <v>13</v>
      </c>
      <c r="D22" s="21">
        <f>A8</f>
        <v>314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100</v>
      </c>
      <c r="E23" s="2" t="s">
        <v>104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3</v>
      </c>
      <c r="H24" s="2" t="s">
        <v>8</v>
      </c>
      <c r="N24" s="52" t="s">
        <v>23</v>
      </c>
      <c r="O24" s="53">
        <f>12*D8</f>
        <v>72</v>
      </c>
      <c r="P24" s="53">
        <f>O24/125</f>
        <v>0.57599999999999996</v>
      </c>
    </row>
    <row r="25" spans="1:24" ht="12.75" customHeight="1" x14ac:dyDescent="0.25">
      <c r="F25" s="24"/>
      <c r="N25" s="52" t="s">
        <v>22</v>
      </c>
      <c r="O25" s="53">
        <f>10*D9</f>
        <v>1010</v>
      </c>
      <c r="P25" s="53">
        <f t="shared" si="1"/>
        <v>7.7692307692307692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1408</v>
      </c>
      <c r="P29" s="53">
        <f>O29/50</f>
        <v>28.16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442</v>
      </c>
      <c r="P32" s="51">
        <f>O32/25-24*(G17+G20+G23)</f>
        <v>-6.32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1028</v>
      </c>
      <c r="P33" s="51">
        <f>O33/25-24*(G18+G21+G24)-20*G19</f>
        <v>-322.88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231</v>
      </c>
      <c r="P34" s="51">
        <f t="shared" ref="P34:P36" si="10">O34/25</f>
        <v>9.24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12</v>
      </c>
      <c r="P35" s="51">
        <f t="shared" si="10"/>
        <v>0.48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96</v>
      </c>
      <c r="P36" s="51">
        <f t="shared" si="10"/>
        <v>3.84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176</v>
      </c>
      <c r="P37" s="51">
        <f>O37/20</f>
        <v>8.8000000000000007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48</v>
      </c>
      <c r="P38" s="51">
        <f>O38/20-13*G22</f>
        <v>-49.6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2025-01-16T13:15:46Z</cp:lastPrinted>
  <dcterms:created xsi:type="dcterms:W3CDTF">2014-06-06T13:58:10Z</dcterms:created>
  <dcterms:modified xsi:type="dcterms:W3CDTF">2025-01-17T14:20:41Z</dcterms:modified>
</cp:coreProperties>
</file>