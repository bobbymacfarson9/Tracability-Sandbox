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D662928-CE8F-4AC1-AA31-328F92FF6EC7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<sst xmlns="http://schemas.openxmlformats.org/spreadsheetml/2006/main" count="533" uniqueCount="238">
  <si>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</si>
  <si>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</si>
  <si>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</si>
  <si>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</si>
  <si>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</si>
  <si>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</si>
  <si>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</si>
  <si>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</si>
  <si>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</si>
  <si>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</si>
  <si>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</si>
  <si>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</si>
  <si>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</si>
  <si>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</si>
  <si>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</si>
  <si>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</si>
  <si>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</si>
  <si>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</si>
  <si>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</si>
  <si>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</si>
  <si>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</si>
  <si>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</si>
  <si>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</si>
  <si>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</si>
  <si>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</si>
  <si>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</si>
  <si>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</si>
  <si>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</si>
  <si>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</si>
  <si>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</si>
  <si>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</si>
  <si>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</si>
  <si>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</si>
  <si>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</si>
  <si>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</si>
  <si>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</si>
  <si>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</si>
  <si>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</si>
  <si>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</si>
  <si>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</si>
  <si>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</si>
  <si>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</si>
  <si>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</si>
  <si>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</si>
  <si>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</si>
  <si>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</si>
  <si>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</si>
  <si>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</si>
  <si>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</si>
  <si>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</si>
  <si>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</si>
  <si>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</si>
  <si>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</si>
  <si>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</si>
  <si>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</si>
  <si>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</si>
  <si>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</si>
  <si>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</si>
  <si>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</si>
  <si>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</si>
  <si>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</si>
  <si>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</si>
  <si>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</si>
  <si>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</si>
  <si>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</si>
  <si>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</si>
  <si>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</si>
  <si>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</si>
  <si>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</si>
  <si>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</si>
  <si>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</si>
  <si>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</si>
  <si>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</si>
  <si>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</si>
  <si>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</si>
  <si>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</si>
  <si>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</si>
  <si>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</si>
  <si>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</si>
  <si>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</si>
  <si>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</si>
  <si>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</si>
  <si>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</si>
  <si>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</si>
  <si>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</si>
  <si>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</si>
  <si>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</si>
  <si>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</si>
  <si>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</si>
  <si>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</si>
  <si>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</si>
  <si>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</si>
  <si>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</si>
  <si>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</si>
  <si>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</si>
  <si>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</si>
  <si>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</si>
  <si>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</si>
  <si>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</si>
  <si>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</si>
  <si>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</si>
  <si>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</si>
  <si>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</si>
  <si>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</si>
  <si>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</si>
  <si>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</si>
  <si>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</si>
  <si>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</si>
  <si>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</si>
  <si>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</si>
  <si>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</si>
  <si>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</si>
  <si>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</si>
  <si>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</si>
  <si>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</si>
  <si>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</si>
  <si>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</si>
  <si>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</si>
  <si>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</si>
  <si>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</si>
  <si>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</si>
  <si>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</si>
  <si>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</si>
  <si>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</si>
  <si>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</si>
  <si>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</si>
  <si>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</si>
  <si>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</si>
  <si>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</si>
  <si>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</si>
  <si>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</si>
  <si>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</si>
  <si>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</si>
  <si>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</si>
  <si>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</si>
  <si>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</si>
  <si>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</si>
  <si>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</si>
  <si>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</si>
  <si>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</si>
  <si>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</si>
  <si>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</si>
  <si>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</si>
  <si>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</si>
  <si>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</si>
  <si>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</si>
  <si>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</si>
  <si>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</si>
  <si>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</si>
  <si>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</si>
  <si>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</si>
  <si>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</si>
  <si>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</si>
  <si>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</si>
  <si>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</si>
  <si>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</si>
  <si>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</si>
  <si>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</si>
  <si>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</si>
  <si>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</si>
  <si>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</si>
  <si>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</si>
  <si>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</si>
  <si>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</si>
  <si>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</si>
  <si>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</si>
  <si>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</si>
  <si>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</si>
  <si>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</si>
  <si>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</si>
  <si>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</si>
  <si>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</si>
  <si>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</si>
  <si>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</si>
  <si>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</si>
  <si>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</si>
  <si>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</si>
  <si>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</si>
  <si>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</si>
  <si>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</si>
  <si>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</si>
  <si>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</si>
  <si>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</si>
  <si>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</si>
  <si>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</si>
  <si>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</si>
  <si>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</si>
  <si>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</si>
  <si>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</si>
  <si>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</si>
  <si>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</si>
  <si>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</si>
  <si>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</si>
  <si>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</si>
  <si>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</si>
  <si>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</si>
  <si>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</si>
  <si>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</si>
  <si>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</si>
  <si>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</si>
  <si>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</si>
  <si>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</si>
  <si>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</si>
  <si>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</si>
  <si>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</si>
  <si>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</si>
  <si>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</si>
  <si>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</si>
  <si>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</si>
  <si>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</si>
  <si>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</si>
  <si>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</si>
  <si>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</si>
  <si>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</si>
  <si>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</si>
  <si>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</si>
  <si>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</si>
  <si>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</si>
  <si>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</si>
  <si>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</si>
  <si>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</si>
  <si>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July 4/25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</si>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</sst>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O14" sqref="O1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27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45844.25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222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22470.000000000004</v>
      </c>
      <c r="I7" s="27">
        <v>0</v>
      </c>
      <c r="J7" s="26">
        <f>IFERROR(H7-I7,"")</f>
        <v>22470.000000000004</v>
      </c>
      <c r="K7" s="26">
        <f>IFERROR(($E$26/($H$27+$H$28)*$H$27)*R28,"")</f>
        <v>89.88000000000001</v>
      </c>
      <c r="L7" s="26">
        <f>IFERROR(($E$26/($H$27+$H$28)*$H$27)*S28,"")</f>
        <v>22.470000000000002</v>
      </c>
      <c r="M7" s="28">
        <f>IFERROR(K7+L7,"")</f>
        <v>112.35000000000001</v>
      </c>
      <c r="N7" s="29">
        <f>IFERROR(O7+P7+Q7+R7+S7+T7+U7+V7,"")</f>
        <v>22357.650000000005</v>
      </c>
      <c r="O7" s="26">
        <f t="shared" ref="O7:V7" si="0">IFERROR(($E$26/($H$27+$H$28)*$H$27)*J28,"")</f>
        <v>1056.0900000000001</v>
      </c>
      <c r="P7" s="26">
        <f t="shared" si="0"/>
        <v>6943.2300000000014</v>
      </c>
      <c r="Q7" s="26">
        <f t="shared" si="0"/>
        <v>12942.720000000001</v>
      </c>
      <c r="R7" s="26">
        <f t="shared" si="0"/>
        <v>1303.2600000000002</v>
      </c>
      <c r="S7" s="26">
        <f t="shared" si="0"/>
        <v>22.470000000000002</v>
      </c>
      <c r="T7" s="26">
        <f t="shared" si="0"/>
        <v>0</v>
      </c>
      <c r="U7" s="26">
        <f t="shared" si="0"/>
        <v>89.88000000000001</v>
      </c>
      <c r="V7" s="26">
        <f t="shared" si="0"/>
        <v>0</v>
      </c>
    </row>
    <row r="8" spans="1:22" x14ac:dyDescent="0.2">
      <c r="A8" s="3" t="s">
        <v>222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223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21258.824863883849</v>
      </c>
      <c r="I10" s="27">
        <v>0</v>
      </c>
      <c r="J10" s="26">
        <f>IFERROR(H10-I10,"")</f>
        <v>21258.824863883849</v>
      </c>
      <c r="K10" s="26">
        <f>IFERROR(($E$30/($H$31+$H$32)*$H$31)*R32,"")</f>
        <v>85.035299455535394</v>
      </c>
      <c r="L10" s="26">
        <f>IFERROR(($E$30/($H$31+$H$32)*$H$31)*S32,"")</f>
        <v>42.517649727767697</v>
      </c>
      <c r="M10" s="28">
        <f>IFERROR(K10+L10,"")</f>
        <v>127.5529491833031</v>
      </c>
      <c r="N10" s="29">
        <f>IFERROR(O10+P10+Q10+R10+S10+T10+U10+V10,"")</f>
        <v>21131.271914700545</v>
      </c>
      <c r="O10" s="26">
        <f t="shared" ref="O10:V10" si="2">IFERROR(($E$30/($H$31+$H$32)*$H$31)*J32,"")</f>
        <v>361.40002268602547</v>
      </c>
      <c r="P10" s="26">
        <f t="shared" si="2"/>
        <v>5017.0826678765879</v>
      </c>
      <c r="Q10" s="26">
        <f t="shared" si="2"/>
        <v>14137.118534482761</v>
      </c>
      <c r="R10" s="26">
        <f t="shared" si="2"/>
        <v>1551.894215063521</v>
      </c>
      <c r="S10" s="26">
        <f t="shared" si="2"/>
        <v>21.258824863883849</v>
      </c>
      <c r="T10" s="26">
        <f t="shared" si="2"/>
        <v>0</v>
      </c>
      <c r="U10" s="26">
        <f t="shared" si="2"/>
        <v>42.517649727767697</v>
      </c>
      <c r="V10" s="26">
        <f t="shared" si="2"/>
        <v>0</v>
      </c>
    </row>
    <row r="11" spans="1:22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2366.1751361161528</v>
      </c>
      <c r="I11" s="27">
        <v>0</v>
      </c>
      <c r="J11" s="26">
        <f>IFERROR(H11-I11,"")</f>
        <v>2366.1751361161528</v>
      </c>
      <c r="K11" s="26">
        <f>IFERROR(($E$30/($H$31+$H$32)*$H$32)*R32,"")</f>
        <v>9.4647005444646108</v>
      </c>
      <c r="L11" s="26">
        <f>IFERROR(($E$30/($H$31+$H$32)*$H$32)*S32,"")</f>
        <v>4.7323502722323054</v>
      </c>
      <c r="M11" s="28">
        <f>IFERROR(K11+L11,"")</f>
        <v>14.197050816696915</v>
      </c>
      <c r="N11" s="29">
        <f>IFERROR(O11+P11+Q11+R11+S11+T11+U11+V11,"")</f>
        <v>2351.9780852994559</v>
      </c>
      <c r="O11" s="26">
        <f t="shared" ref="O11:V11" si="3">IFERROR(($E$30/($H$31+$H$32)*$H$32)*J32,"")</f>
        <v>40.224977313974598</v>
      </c>
      <c r="P11" s="26">
        <f t="shared" si="3"/>
        <v>558.41733212341205</v>
      </c>
      <c r="Q11" s="26">
        <f t="shared" si="3"/>
        <v>1573.5064655172416</v>
      </c>
      <c r="R11" s="26">
        <f t="shared" si="3"/>
        <v>172.73078493647915</v>
      </c>
      <c r="S11" s="26">
        <f t="shared" si="3"/>
        <v>2.3661751361161527</v>
      </c>
      <c r="T11" s="26">
        <f t="shared" si="3"/>
        <v>0</v>
      </c>
      <c r="U11" s="26">
        <f t="shared" si="3"/>
        <v>4.7323502722323054</v>
      </c>
      <c r="V11" s="26">
        <f t="shared" si="3"/>
        <v>0</v>
      </c>
    </row>
    <row r="13" spans="1:22" x14ac:dyDescent="0.2">
      <c r="A13" s="3" t="s">
        <v>224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 x14ac:dyDescent="0.2">
      <c r="A14" s="3" t="s">
        <v>224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226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11310.000000000002</v>
      </c>
      <c r="I16" s="27">
        <v>0</v>
      </c>
      <c r="J16" s="26">
        <f>IFERROR(H16-I16,"")</f>
        <v>11310.000000000002</v>
      </c>
      <c r="K16" s="26">
        <f>IFERROR(($E$38/($H$39)*$H$39)*R40,"")</f>
        <v>67.86</v>
      </c>
      <c r="L16" s="26">
        <f>IFERROR(($E$38/($H$39)*$H$39)*S40,"")</f>
        <v>11.31</v>
      </c>
      <c r="M16" s="28">
        <f>IFERROR(K16+L16,"")</f>
        <v>79.17</v>
      </c>
      <c r="N16" s="29">
        <f>IFERROR(O16+P16+Q16+R16+S16+T16+U16+V16,"")</f>
        <v>11230.830000000002</v>
      </c>
      <c r="O16" s="26">
        <f t="shared" ref="O16:V16" si="6">IFERROR(($E$38/($H$39)*$H$39)*J40,"")</f>
        <v>712.53</v>
      </c>
      <c r="P16" s="26">
        <f t="shared" si="6"/>
        <v>4218.63</v>
      </c>
      <c r="Q16" s="26">
        <f t="shared" si="6"/>
        <v>5881.2</v>
      </c>
      <c r="R16" s="26">
        <f t="shared" si="6"/>
        <v>395.85</v>
      </c>
      <c r="S16" s="26">
        <f t="shared" si="6"/>
        <v>0</v>
      </c>
      <c r="T16" s="26">
        <f t="shared" si="6"/>
        <v>0</v>
      </c>
      <c r="U16" s="26">
        <f t="shared" si="6"/>
        <v>22.62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57405.000000000007</v>
      </c>
      <c r="I19" s="37">
        <f t="shared" si="7"/>
        <v>0</v>
      </c>
      <c r="J19" s="37">
        <f t="shared" si="7"/>
        <v>57405.000000000007</v>
      </c>
      <c r="K19" s="37">
        <f t="shared" si="7"/>
        <v>252.24</v>
      </c>
      <c r="L19" s="37">
        <f t="shared" si="7"/>
        <v>81.030000000000015</v>
      </c>
      <c r="M19" s="37">
        <f t="shared" si="7"/>
        <v>333.27000000000004</v>
      </c>
      <c r="N19" s="37">
        <f t="shared" si="7"/>
        <v>57071.73000000001</v>
      </c>
      <c r="O19" s="37">
        <f t="shared" si="7"/>
        <v>2170.2450000000003</v>
      </c>
      <c r="P19" s="37">
        <f t="shared" si="7"/>
        <v>16737.36</v>
      </c>
      <c r="Q19" s="37">
        <f t="shared" si="7"/>
        <v>34534.545000000006</v>
      </c>
      <c r="R19" s="37">
        <f t="shared" si="7"/>
        <v>3423.7350000000006</v>
      </c>
      <c r="S19" s="37">
        <f t="shared" si="7"/>
        <v>46.095000000000006</v>
      </c>
      <c r="T19" s="37">
        <f t="shared" si="7"/>
        <v>0</v>
      </c>
      <c r="U19" s="37">
        <f t="shared" si="7"/>
        <v>159.75000000000003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57405.000000000007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22470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222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38790</v>
      </c>
      <c r="I27" s="26"/>
      <c r="J27" s="198">
        <f t="shared" ref="J27:S27" si="8">$E26*J28</f>
        <v>1056.0899999999999</v>
      </c>
      <c r="K27" s="198">
        <f t="shared" si="8"/>
        <v>6943.23</v>
      </c>
      <c r="L27" s="198">
        <f t="shared" si="8"/>
        <v>12942.72</v>
      </c>
      <c r="M27" s="198">
        <f t="shared" si="8"/>
        <v>1303.26</v>
      </c>
      <c r="N27" s="198">
        <f t="shared" si="8"/>
        <v>22.47</v>
      </c>
      <c r="O27" s="198">
        <f t="shared" si="8"/>
        <v>0</v>
      </c>
      <c r="P27" s="198">
        <f t="shared" si="8"/>
        <v>89.88</v>
      </c>
      <c r="Q27" s="198">
        <f t="shared" si="8"/>
        <v>0</v>
      </c>
      <c r="R27" s="198">
        <f t="shared" si="8"/>
        <v>89.88</v>
      </c>
      <c r="S27" s="198">
        <f t="shared" si="8"/>
        <v>22.47</v>
      </c>
      <c r="T27" s="199">
        <f>SUM(J27:S27)</f>
        <v>22470.000000000004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4.7E-2</v>
      </c>
      <c r="K28" s="197">
        <f>Inputs!B38</f>
        <v>0.309</v>
      </c>
      <c r="L28" s="197">
        <f>Inputs!B39</f>
        <v>0.57599999999999996</v>
      </c>
      <c r="M28" s="197">
        <f>Inputs!B40</f>
        <v>5.8000000000000003E-2</v>
      </c>
      <c r="N28" s="197">
        <f>Inputs!B41</f>
        <v>1E-3</v>
      </c>
      <c r="O28" s="197">
        <v>0</v>
      </c>
      <c r="P28" s="197">
        <f>Inputs!B49</f>
        <v>4.0000000000000001E-3</v>
      </c>
      <c r="Q28" s="197">
        <f>Inputs!B42</f>
        <v>0</v>
      </c>
      <c r="R28" s="197">
        <f>Inputs!B48+Inputs!B50</f>
        <v>4.0000000000000001E-3</v>
      </c>
      <c r="S28" s="197">
        <f>Inputs!B47</f>
        <v>1E-3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23625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223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34707</v>
      </c>
      <c r="I31" s="30"/>
      <c r="J31" s="198">
        <f t="shared" ref="J31:S31" si="9">$E30*J32</f>
        <v>401.62500000000006</v>
      </c>
      <c r="K31" s="198">
        <f t="shared" si="9"/>
        <v>5575.5</v>
      </c>
      <c r="L31" s="198">
        <f t="shared" si="9"/>
        <v>15710.625</v>
      </c>
      <c r="M31" s="198">
        <f t="shared" si="9"/>
        <v>1724.625</v>
      </c>
      <c r="N31" s="198">
        <f t="shared" si="9"/>
        <v>23.625</v>
      </c>
      <c r="O31" s="198">
        <f t="shared" si="9"/>
        <v>0</v>
      </c>
      <c r="P31" s="198">
        <f t="shared" si="9"/>
        <v>47.25</v>
      </c>
      <c r="Q31" s="198">
        <f t="shared" si="9"/>
        <v>0</v>
      </c>
      <c r="R31" s="198">
        <f t="shared" si="9"/>
        <v>94.5</v>
      </c>
      <c r="S31" s="198">
        <f t="shared" si="9"/>
        <v>47.25</v>
      </c>
      <c r="T31" s="199">
        <f>SUM(J31:S31)</f>
        <v>23625</v>
      </c>
    </row>
    <row r="32" spans="1:22" x14ac:dyDescent="0.2">
      <c r="A32" s="3" t="s">
        <v>223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3863</v>
      </c>
      <c r="I32" s="30"/>
      <c r="J32" s="197">
        <f>Inputs!C37</f>
        <v>1.7000000000000001E-2</v>
      </c>
      <c r="K32" s="197">
        <f>Inputs!C38</f>
        <v>0.23599999999999999</v>
      </c>
      <c r="L32" s="197">
        <f>Inputs!C39</f>
        <v>0.66500000000000004</v>
      </c>
      <c r="M32" s="197">
        <f>Inputs!C40</f>
        <v>7.2999999999999995E-2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225</v>
      </c>
      <c r="B34" s="51"/>
      <c r="C34" s="51"/>
      <c r="D34" s="51"/>
      <c r="E34" s="208">
        <f>Inputs!J31+Inputs!K31</f>
        <v>19905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224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29845</v>
      </c>
      <c r="I35" s="30"/>
      <c r="J35" s="198">
        <f t="shared" ref="J35:S35" si="10">$E$34*J36</f>
        <v>0</v>
      </c>
      <c r="K35" s="198">
        <f t="shared" si="10"/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 x14ac:dyDescent="0.2">
      <c r="A36" s="3" t="s">
        <v>224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2022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Inputs!D50+Inputs!D48</f>
        <v>0</v>
      </c>
      <c r="S36" s="197">
        <f>Inputs!D47</f>
        <v>0</v>
      </c>
      <c r="T36" s="200">
        <f>SUM(J36:S36)</f>
        <v>0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11310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226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18761</v>
      </c>
      <c r="I39" s="30"/>
      <c r="J39" s="198">
        <f t="shared" ref="J39:S39" si="11">$E38*J40</f>
        <v>712.53</v>
      </c>
      <c r="K39" s="198">
        <f t="shared" si="11"/>
        <v>4218.63</v>
      </c>
      <c r="L39" s="198">
        <f t="shared" si="11"/>
        <v>5881.2</v>
      </c>
      <c r="M39" s="198">
        <f t="shared" si="11"/>
        <v>395.85</v>
      </c>
      <c r="N39" s="198">
        <f t="shared" si="11"/>
        <v>0</v>
      </c>
      <c r="O39" s="198">
        <f t="shared" si="11"/>
        <v>0</v>
      </c>
      <c r="P39" s="198">
        <f t="shared" si="11"/>
        <v>22.62</v>
      </c>
      <c r="Q39" s="198">
        <f t="shared" si="11"/>
        <v>0</v>
      </c>
      <c r="R39" s="198">
        <f t="shared" si="11"/>
        <v>67.86</v>
      </c>
      <c r="S39" s="198">
        <f t="shared" si="11"/>
        <v>11.31</v>
      </c>
      <c r="T39" s="199">
        <f>SUM(J39:S39)</f>
        <v>11310.000000000002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6.3E-2</v>
      </c>
      <c r="K40" s="197">
        <f>Inputs!E38</f>
        <v>0.373</v>
      </c>
      <c r="L40" s="197">
        <f>Inputs!E39</f>
        <v>0.52</v>
      </c>
      <c r="M40" s="197">
        <f>Inputs!E40</f>
        <v>3.5000000000000003E-2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45844.25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27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1200</v>
      </c>
      <c r="C13" s="220">
        <f>'Grade out Information'!X26</f>
        <v>18000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1200</v>
      </c>
      <c r="C27" s="222">
        <f>SUM(C13:C26)</f>
        <v>18000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K34" sqref="K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27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0.35599999999999998</v>
      </c>
      <c r="L15" s="133">
        <f>X15*M15</f>
        <v>0</v>
      </c>
      <c r="M15" s="184">
        <f>Inputs!B39</f>
        <v>0.57599999999999996</v>
      </c>
      <c r="N15" s="133">
        <f>X15*O15</f>
        <v>0</v>
      </c>
      <c r="O15" s="184">
        <f>Inputs!B40</f>
        <v>5.8000000000000003E-2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9.0000000000000011E-3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230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0.253</v>
      </c>
      <c r="L17" s="133">
        <f>X17*M17</f>
        <v>0</v>
      </c>
      <c r="M17" s="184">
        <f>Inputs!C39</f>
        <v>0.66500000000000004</v>
      </c>
      <c r="N17" s="133">
        <f>X17*O17</f>
        <v>0</v>
      </c>
      <c r="O17" s="184">
        <f>Inputs!C40</f>
        <v>7.2999999999999995E-2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231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0.253</v>
      </c>
      <c r="L18" s="133">
        <f>X18*M18</f>
        <v>0</v>
      </c>
      <c r="M18" s="184">
        <f>M17</f>
        <v>0.66500000000000004</v>
      </c>
      <c r="N18" s="133">
        <f>X18*O18</f>
        <v>0</v>
      </c>
      <c r="O18" s="184">
        <f>O17</f>
        <v>7.2999999999999995E-2</v>
      </c>
      <c r="P18" s="133">
        <f>X18*Q18</f>
        <v>0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227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</v>
      </c>
      <c r="L20" s="133">
        <f>X20*M20</f>
        <v>0</v>
      </c>
      <c r="M20" s="184">
        <f>Inputs!D39</f>
        <v>0</v>
      </c>
      <c r="N20" s="133">
        <f>X20*O20</f>
        <v>0</v>
      </c>
      <c r="O20" s="184">
        <f>Inputs!D40</f>
        <v>0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</v>
      </c>
      <c r="X20" s="213">
        <f>Z20*15</f>
        <v>16770</v>
      </c>
      <c r="Y20" s="209">
        <f>K20+M20+O20+Q20+S20+U20+W20</f>
        <v>0</v>
      </c>
      <c r="Z20" s="226">
        <f>Inputs!I38</f>
        <v>1118</v>
      </c>
      <c r="AA20" s="3"/>
      <c r="AB20" s="133"/>
      <c r="AC20" s="3"/>
      <c r="AD20" s="133"/>
    </row>
    <row r="21" spans="1:30" ht="15" x14ac:dyDescent="0.25">
      <c r="A21" s="133"/>
      <c r="B21" s="133" t="s">
        <v>228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</v>
      </c>
      <c r="L21" s="133">
        <f>X21*M21</f>
        <v>0</v>
      </c>
      <c r="M21" s="184">
        <f>M20</f>
        <v>0</v>
      </c>
      <c r="N21" s="133">
        <f>X21*O21</f>
        <v>0</v>
      </c>
      <c r="O21" s="184">
        <f>O20</f>
        <v>0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</v>
      </c>
      <c r="X21" s="213">
        <f>Z21*15</f>
        <v>1230</v>
      </c>
      <c r="Y21" s="209">
        <f>K21+M21+O21+Q21+S21+U21+W21</f>
        <v>0</v>
      </c>
      <c r="Z21" s="226">
        <f>Inputs!I39</f>
        <v>82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232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0.436</v>
      </c>
      <c r="L23" s="133">
        <f>X23*M23</f>
        <v>0</v>
      </c>
      <c r="M23" s="184">
        <f>Inputs!E39</f>
        <v>0.52</v>
      </c>
      <c r="N23" s="133">
        <f>X23*O23</f>
        <v>0</v>
      </c>
      <c r="O23" s="184">
        <f>Inputs!E40</f>
        <v>3.5000000000000003E-2</v>
      </c>
      <c r="P23" s="133">
        <f>X23*Q23</f>
        <v>0</v>
      </c>
      <c r="Q23" s="184">
        <f>Inputs!E41</f>
        <v>0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9.0000000000000011E-3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18000</v>
      </c>
      <c r="Y26" s="139"/>
      <c r="Z26" s="139">
        <f>SUM(Z15:Z25)</f>
        <v>1200</v>
      </c>
      <c r="AA26" s="141">
        <f>IF(Z33=0,0,Z33/(H33+Z33))</f>
        <v>0</v>
      </c>
      <c r="AB26" s="139">
        <f>G26+X26</f>
        <v>18000</v>
      </c>
      <c r="AC26" s="139">
        <f>H26+Z26</f>
        <v>1200</v>
      </c>
      <c r="AD26" s="141">
        <f>I26+AA26</f>
        <v>0</v>
      </c>
    </row>
    <row r="30" spans="1:30" x14ac:dyDescent="0.2">
      <c r="A30" s="3" t="s">
        <v>100</v>
      </c>
      <c r="B30">
        <f>J26</f>
        <v>0</v>
      </c>
    </row>
    <row r="31" spans="1:30" x14ac:dyDescent="0.2">
      <c r="A31" s="3" t="s">
        <v>101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0</v>
      </c>
    </row>
    <row r="38" spans="1:13" x14ac:dyDescent="0.2">
      <c r="A38" s="3" t="s">
        <v>119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E15" sqref="E15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222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38790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223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34707</v>
      </c>
    </row>
    <row r="6" spans="1:9" x14ac:dyDescent="0.2">
      <c r="A6" s="3" t="s">
        <v>223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3863</v>
      </c>
      <c r="I6" s="30"/>
    </row>
    <row r="7" spans="1:9" ht="15" x14ac:dyDescent="0.2">
      <c r="I7" s="58"/>
    </row>
    <row r="8" spans="1:9" x14ac:dyDescent="0.2">
      <c r="A8" s="3" t="s">
        <v>224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29845</v>
      </c>
      <c r="I8" s="25"/>
    </row>
    <row r="9" spans="1:9" x14ac:dyDescent="0.2">
      <c r="A9" s="3" t="s">
        <v>224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2022</v>
      </c>
    </row>
    <row r="10" spans="1:9" x14ac:dyDescent="0.2">
      <c r="H10" s="195"/>
      <c r="I10" s="30"/>
    </row>
    <row r="11" spans="1:9" ht="15" x14ac:dyDescent="0.2">
      <c r="A11" s="3" t="s">
        <v>226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18761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D15" sqref="D15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27</v>
      </c>
      <c r="C7" s="151">
        <v>940876</v>
      </c>
      <c r="D7" s="188" t="s">
        <v>233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1347</v>
      </c>
      <c r="J7" s="189">
        <f>IF(H7="NEW",203, IF(H7="OLD",192,0))</f>
        <v>203</v>
      </c>
      <c r="K7" s="151">
        <v>1550</v>
      </c>
      <c r="L7" s="211">
        <f>IF(K7&gt;0,I7/E7,"NA")</f>
        <v>22.45</v>
      </c>
      <c r="M7" s="151">
        <v>945213</v>
      </c>
      <c r="N7" s="152" t="s">
        <v>221</v>
      </c>
      <c r="O7" s="157" t="s">
        <v>47</v>
      </c>
      <c r="P7" s="187">
        <f>IF(D7=Inputs!F$4,Inputs!I$4,IF(D7=Inputs!F$2,Inputs!I$2,IF(D7=Inputs!F$3,Inputs!I$3,IF(D7=Inputs!F$5,Inputs!I$5,"NA"))))</f>
        <v>25.892857142857142</v>
      </c>
    </row>
    <row r="8" spans="1:16" x14ac:dyDescent="0.25">
      <c r="A8" s="148">
        <v>2</v>
      </c>
      <c r="B8" s="189">
        <f>Inputs!C$2</f>
        <v>27</v>
      </c>
      <c r="C8" s="151">
        <v>940877</v>
      </c>
      <c r="D8" s="188" t="s">
        <v>233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1353</v>
      </c>
      <c r="J8" s="189">
        <f>IF(H8="NEW",203, IF(H8="OLD",192,0))</f>
        <v>203</v>
      </c>
      <c r="K8" s="151">
        <v>1556</v>
      </c>
      <c r="L8" s="211">
        <f>IF(K8&gt;0,I8/E8,"NA")</f>
        <v>22.55</v>
      </c>
      <c r="M8" s="151">
        <v>945213</v>
      </c>
      <c r="N8" s="152" t="s">
        <v>221</v>
      </c>
      <c r="O8" s="157" t="s">
        <v>47</v>
      </c>
      <c r="P8" s="187">
        <f>IF(D8=Inputs!F$4,Inputs!I$4,IF(D8=Inputs!F$2,Inputs!I$2,IF(D8=Inputs!F$3,Inputs!I$3,IF(D8=Inputs!F$5,Inputs!I$5,"NA"))))</f>
        <v>25.892857142857142</v>
      </c>
    </row>
    <row r="9" spans="1:16" x14ac:dyDescent="0.25">
      <c r="A9" s="148">
        <v>3</v>
      </c>
      <c r="B9" s="189">
        <f>Inputs!C$2</f>
        <v>27</v>
      </c>
      <c r="C9" s="151">
        <v>940878</v>
      </c>
      <c r="D9" s="188" t="s">
        <v>220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1371</v>
      </c>
      <c r="J9" s="189">
        <f>IF(H9="NEW",203, IF(H9="OLD",192,0))</f>
        <v>203</v>
      </c>
      <c r="K9" s="151">
        <v>1574</v>
      </c>
      <c r="L9" s="211">
        <f t="shared" ref="L9:L72" si="1">IF(K9&gt;0,I9/E9,"NA")</f>
        <v>22.85</v>
      </c>
      <c r="M9" s="151">
        <v>945213</v>
      </c>
      <c r="N9" s="152" t="s">
        <v>221</v>
      </c>
      <c r="O9" s="157" t="s">
        <v>216</v>
      </c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27</v>
      </c>
      <c r="C10" s="151">
        <v>940879</v>
      </c>
      <c r="D10" s="188" t="s">
        <v>220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1365</v>
      </c>
      <c r="J10" s="189">
        <f>IF(H10="NEW",203, IF(H10="OLD",192,0))</f>
        <v>203</v>
      </c>
      <c r="K10" s="151">
        <v>1568</v>
      </c>
      <c r="L10" s="211">
        <f t="shared" si="1"/>
        <v>22.75</v>
      </c>
      <c r="M10" s="151">
        <v>945213</v>
      </c>
      <c r="N10" s="152" t="s">
        <v>221</v>
      </c>
      <c r="O10" s="157" t="s">
        <v>216</v>
      </c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27</v>
      </c>
      <c r="C11" s="151">
        <v>940880</v>
      </c>
      <c r="D11" s="188" t="s">
        <v>220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1357</v>
      </c>
      <c r="J11" s="189">
        <f t="shared" ref="J11:J72" si="2">IF(H11="NEW",203, IF(H11="OLD",192,0))</f>
        <v>203</v>
      </c>
      <c r="K11" s="151">
        <v>1560</v>
      </c>
      <c r="L11" s="211">
        <f>IF(K11&gt;0,I11/E11,"NA")</f>
        <v>22.616666666666667</v>
      </c>
      <c r="M11" s="151">
        <v>945213</v>
      </c>
      <c r="N11" s="152" t="s">
        <v>221</v>
      </c>
      <c r="O11" s="157" t="s">
        <v>47</v>
      </c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27</v>
      </c>
      <c r="C12" s="151">
        <v>940881</v>
      </c>
      <c r="D12" s="188" t="s">
        <v>220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1395</v>
      </c>
      <c r="J12" s="189">
        <f t="shared" si="2"/>
        <v>203</v>
      </c>
      <c r="K12" s="151">
        <v>1598</v>
      </c>
      <c r="L12" s="211">
        <f t="shared" si="1"/>
        <v>23.25</v>
      </c>
      <c r="M12" s="151">
        <v>945213</v>
      </c>
      <c r="N12" s="152" t="s">
        <v>221</v>
      </c>
      <c r="O12" s="157" t="s">
        <v>216</v>
      </c>
      <c r="P12" s="187" t="str">
        <f>IF(D12=Inputs!F$4,Inputs!I$4,IF(D12=Inputs!F$2,Inputs!I$2,IF(D12=Inputs!F$3,Inputs!I$3,IF(D12=Inputs!F$5,Inputs!I$5,"NA"))))</f>
        <v>NA</v>
      </c>
    </row>
    <row r="13" spans="1:16" x14ac:dyDescent="0.25">
      <c r="A13" s="148">
        <v>7</v>
      </c>
      <c r="B13" s="189">
        <f>Inputs!C$2</f>
        <v>27</v>
      </c>
      <c r="C13" s="151">
        <v>940882</v>
      </c>
      <c r="D13" s="188" t="s">
        <v>220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1359</v>
      </c>
      <c r="J13" s="189">
        <f t="shared" si="2"/>
        <v>203</v>
      </c>
      <c r="K13" s="151">
        <v>1562</v>
      </c>
      <c r="L13" s="211">
        <f t="shared" si="1"/>
        <v>22.65</v>
      </c>
      <c r="M13" s="151">
        <v>945213</v>
      </c>
      <c r="N13" s="152" t="s">
        <v>221</v>
      </c>
      <c r="O13" s="157" t="s">
        <v>47</v>
      </c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27</v>
      </c>
      <c r="C14" s="151">
        <v>940883</v>
      </c>
      <c r="D14" s="188" t="s">
        <v>220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1365</v>
      </c>
      <c r="J14" s="189">
        <f t="shared" si="2"/>
        <v>203</v>
      </c>
      <c r="K14" s="151">
        <v>1568</v>
      </c>
      <c r="L14" s="211">
        <f t="shared" si="1"/>
        <v>22.75</v>
      </c>
      <c r="M14" s="151">
        <v>945213</v>
      </c>
      <c r="N14" s="152" t="s">
        <v>221</v>
      </c>
      <c r="O14" s="157" t="s">
        <v>47</v>
      </c>
      <c r="P14" s="187" t="str">
        <f>IF(D14=Inputs!F$4,Inputs!I$4,IF(D14=Inputs!F$2,Inputs!I$2,IF(D14=Inputs!F$3,Inputs!I$3,IF(D14=Inputs!F$5,Inputs!I$5,"NA"))))</f>
        <v>NA</v>
      </c>
    </row>
    <row r="15" spans="1:16" x14ac:dyDescent="0.25">
      <c r="A15" s="148">
        <v>9</v>
      </c>
      <c r="B15" s="189">
        <f>Inputs!C$2</f>
        <v>27</v>
      </c>
      <c r="C15" s="151">
        <v>940884</v>
      </c>
      <c r="D15" s="188" t="s">
        <v>220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1381</v>
      </c>
      <c r="J15" s="189">
        <f t="shared" si="2"/>
        <v>203</v>
      </c>
      <c r="K15" s="151">
        <v>1584</v>
      </c>
      <c r="L15" s="211">
        <f t="shared" si="1"/>
        <v>23.016666666666666</v>
      </c>
      <c r="M15" s="151">
        <v>945213</v>
      </c>
      <c r="N15" s="152" t="s">
        <v>221</v>
      </c>
      <c r="O15" s="157" t="s">
        <v>47</v>
      </c>
      <c r="P15" s="187" t="str">
        <f>IF(D15=Inputs!F$4,Inputs!I$4,IF(D15=Inputs!F$2,Inputs!I$2,IF(D15=Inputs!F$3,Inputs!I$3,IF(D15=Inputs!F$5,Inputs!I$5,"NA"))))</f>
        <v>NA</v>
      </c>
    </row>
    <row r="16" spans="1:16" x14ac:dyDescent="0.25">
      <c r="A16" s="148">
        <v>10</v>
      </c>
      <c r="B16" s="189">
        <f>Inputs!C$2</f>
        <v>27</v>
      </c>
      <c r="C16" s="151">
        <v>940885</v>
      </c>
      <c r="D16" s="188" t="s">
        <v>220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1375</v>
      </c>
      <c r="J16" s="189">
        <f t="shared" si="2"/>
        <v>203</v>
      </c>
      <c r="K16" s="151">
        <v>1578</v>
      </c>
      <c r="L16" s="211">
        <f t="shared" si="1"/>
        <v>22.916666666666668</v>
      </c>
      <c r="M16" s="151">
        <v>945213</v>
      </c>
      <c r="N16" s="152" t="s">
        <v>221</v>
      </c>
      <c r="O16" s="157" t="s">
        <v>47</v>
      </c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27</v>
      </c>
      <c r="C17" s="151">
        <v>940886</v>
      </c>
      <c r="D17" s="188" t="s">
        <v>220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1359</v>
      </c>
      <c r="J17" s="189">
        <f t="shared" si="2"/>
        <v>203</v>
      </c>
      <c r="K17" s="151">
        <v>1562</v>
      </c>
      <c r="L17" s="211">
        <f t="shared" si="1"/>
        <v>22.65</v>
      </c>
      <c r="M17" s="151">
        <v>945213</v>
      </c>
      <c r="N17" s="152" t="s">
        <v>221</v>
      </c>
      <c r="O17" s="157" t="s">
        <v>47</v>
      </c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27</v>
      </c>
      <c r="C18" s="151">
        <v>940887</v>
      </c>
      <c r="D18" s="188" t="s">
        <v>220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1353</v>
      </c>
      <c r="J18" s="189">
        <f t="shared" si="2"/>
        <v>203</v>
      </c>
      <c r="K18" s="151">
        <v>1556</v>
      </c>
      <c r="L18" s="211">
        <f t="shared" si="1"/>
        <v>22.55</v>
      </c>
      <c r="M18" s="151">
        <v>945213</v>
      </c>
      <c r="N18" s="152" t="s">
        <v>221</v>
      </c>
      <c r="O18" s="157" t="s">
        <v>47</v>
      </c>
      <c r="P18" s="187" t="str">
        <f>IF(D18=Inputs!F$4,Inputs!I$4,IF(D18=Inputs!F$2,Inputs!I$2,IF(D18=Inputs!F$3,Inputs!I$3,IF(D18=Inputs!F$5,Inputs!I$5,"NA"))))</f>
        <v>NA</v>
      </c>
    </row>
    <row r="19" spans="1:16" x14ac:dyDescent="0.25">
      <c r="A19" s="148">
        <v>13</v>
      </c>
      <c r="B19" s="189">
        <f>Inputs!C$2</f>
        <v>27</v>
      </c>
      <c r="C19" s="151">
        <v>940888</v>
      </c>
      <c r="D19" s="188" t="s">
        <v>220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1385</v>
      </c>
      <c r="J19" s="189">
        <f t="shared" si="2"/>
        <v>203</v>
      </c>
      <c r="K19" s="151">
        <v>1588</v>
      </c>
      <c r="L19" s="211">
        <f t="shared" si="1"/>
        <v>23.083333333333332</v>
      </c>
      <c r="M19" s="151">
        <v>945213</v>
      </c>
      <c r="N19" s="152" t="s">
        <v>221</v>
      </c>
      <c r="O19" s="157" t="s">
        <v>47</v>
      </c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27</v>
      </c>
      <c r="C20" s="151">
        <v>940889</v>
      </c>
      <c r="D20" s="188" t="s">
        <v>220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1373</v>
      </c>
      <c r="J20" s="189">
        <f t="shared" si="2"/>
        <v>203</v>
      </c>
      <c r="K20" s="151">
        <v>1576</v>
      </c>
      <c r="L20" s="211">
        <f t="shared" si="1"/>
        <v>22.883333333333333</v>
      </c>
      <c r="M20" s="151">
        <v>945213</v>
      </c>
      <c r="N20" s="152" t="s">
        <v>221</v>
      </c>
      <c r="O20" s="157" t="s">
        <v>216</v>
      </c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27</v>
      </c>
      <c r="C21" s="151">
        <v>940890</v>
      </c>
      <c r="D21" s="188" t="s">
        <v>220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1379</v>
      </c>
      <c r="J21" s="189">
        <f t="shared" si="2"/>
        <v>203</v>
      </c>
      <c r="K21" s="151">
        <v>1582</v>
      </c>
      <c r="L21" s="211">
        <f t="shared" si="1"/>
        <v>22.983333333333334</v>
      </c>
      <c r="M21" s="151">
        <v>945213</v>
      </c>
      <c r="N21" s="152" t="s">
        <v>221</v>
      </c>
      <c r="O21" s="157" t="s">
        <v>47</v>
      </c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27</v>
      </c>
      <c r="C22" s="151">
        <v>940891</v>
      </c>
      <c r="D22" s="188" t="s">
        <v>220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1401</v>
      </c>
      <c r="J22" s="189">
        <f t="shared" si="2"/>
        <v>203</v>
      </c>
      <c r="K22" s="235">
        <v>1604</v>
      </c>
      <c r="L22" s="211">
        <f t="shared" si="1"/>
        <v>23.35</v>
      </c>
      <c r="M22" s="151">
        <v>945213</v>
      </c>
      <c r="N22" s="152" t="s">
        <v>221</v>
      </c>
      <c r="O22" s="157" t="s">
        <v>216</v>
      </c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27</v>
      </c>
      <c r="C23" s="151">
        <v>940892</v>
      </c>
      <c r="D23" s="188" t="s">
        <v>220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1383</v>
      </c>
      <c r="J23" s="189">
        <f t="shared" si="2"/>
        <v>203</v>
      </c>
      <c r="K23" s="151">
        <v>1586</v>
      </c>
      <c r="L23" s="211">
        <f t="shared" si="1"/>
        <v>23.05</v>
      </c>
      <c r="M23" s="151">
        <v>945213</v>
      </c>
      <c r="N23" s="152" t="s">
        <v>221</v>
      </c>
      <c r="O23" s="157" t="s">
        <v>47</v>
      </c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27</v>
      </c>
      <c r="C24" s="151">
        <v>940893</v>
      </c>
      <c r="D24" s="188" t="s">
        <v>220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1389</v>
      </c>
      <c r="J24" s="189">
        <f t="shared" si="2"/>
        <v>203</v>
      </c>
      <c r="K24" s="151">
        <v>1592</v>
      </c>
      <c r="L24" s="211">
        <f t="shared" si="1"/>
        <v>23.15</v>
      </c>
      <c r="M24" s="151">
        <v>945213</v>
      </c>
      <c r="N24" s="152" t="s">
        <v>221</v>
      </c>
      <c r="O24" s="157" t="s">
        <v>216</v>
      </c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27</v>
      </c>
      <c r="C25" s="151">
        <v>940894</v>
      </c>
      <c r="D25" s="188" t="s">
        <v>220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1387</v>
      </c>
      <c r="J25" s="189">
        <f t="shared" si="2"/>
        <v>203</v>
      </c>
      <c r="K25" s="151">
        <v>1590</v>
      </c>
      <c r="L25" s="211">
        <f t="shared" si="1"/>
        <v>23.116666666666667</v>
      </c>
      <c r="M25" s="151">
        <v>945213</v>
      </c>
      <c r="N25" s="152" t="s">
        <v>221</v>
      </c>
      <c r="O25" s="157" t="s">
        <v>47</v>
      </c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27</v>
      </c>
      <c r="C26" s="151">
        <v>940895</v>
      </c>
      <c r="D26" s="188" t="s">
        <v>220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1391</v>
      </c>
      <c r="J26" s="189">
        <f t="shared" si="2"/>
        <v>203</v>
      </c>
      <c r="K26" s="151">
        <v>1594</v>
      </c>
      <c r="L26" s="211">
        <f t="shared" si="1"/>
        <v>23.183333333333334</v>
      </c>
      <c r="M26" s="151">
        <v>945213</v>
      </c>
      <c r="N26" s="152" t="s">
        <v>221</v>
      </c>
      <c r="O26" s="157" t="s">
        <v>47</v>
      </c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27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27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27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27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27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27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27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27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27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27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27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27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27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27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27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27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27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27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27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27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27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27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27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27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27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27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27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27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27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27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27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27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27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27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27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27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27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27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27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27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27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27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27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27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27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27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27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27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27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27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27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27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27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27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27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27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2" sqref="I12:J12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27</v>
      </c>
      <c r="F2" s="166" t="s">
        <v>5</v>
      </c>
      <c r="G2" s="186">
        <v>45390</v>
      </c>
      <c r="I2" s="205">
        <f>(C$3-G2)/7</f>
        <v>64.892857142857139</v>
      </c>
      <c r="J2" s="230">
        <f>I2-19</f>
        <v>45.892857142857139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45844.25</v>
      </c>
      <c r="D3" s="247"/>
      <c r="F3" s="166" t="s">
        <v>168</v>
      </c>
      <c r="G3" s="186">
        <v>45572</v>
      </c>
      <c r="I3" s="205">
        <f>(C$3-G3)/7</f>
        <v>38.892857142857146</v>
      </c>
      <c r="J3" s="230">
        <f>I3-19</f>
        <v>19.892857142857146</v>
      </c>
      <c r="K3" s="166" t="s">
        <v>202</v>
      </c>
      <c r="L3">
        <v>192</v>
      </c>
    </row>
    <row r="4" spans="1:12" x14ac:dyDescent="0.2">
      <c r="F4" s="166" t="s">
        <v>233</v>
      </c>
      <c r="G4" s="186">
        <v>45663</v>
      </c>
      <c r="I4" s="205">
        <f>(C$3-G4)/7</f>
        <v>25.892857142857142</v>
      </c>
      <c r="J4" s="230">
        <f>I4-19</f>
        <v>6.8928571428571423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56.464285714285715</v>
      </c>
      <c r="J5" s="230">
        <f>I5-19</f>
        <v>37.464285714285715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216</v>
      </c>
      <c r="C10" s="165"/>
      <c r="E10" s="139">
        <v>6</v>
      </c>
      <c r="F10" s="168">
        <v>216</v>
      </c>
      <c r="G10" s="165"/>
    </row>
    <row r="11" spans="1:12" x14ac:dyDescent="0.2">
      <c r="A11" s="139">
        <v>7</v>
      </c>
      <c r="B11" s="168">
        <v>192</v>
      </c>
      <c r="C11" s="168">
        <v>22</v>
      </c>
      <c r="E11" s="139">
        <v>7</v>
      </c>
      <c r="F11" s="168">
        <v>191</v>
      </c>
      <c r="G11" s="168">
        <v>23</v>
      </c>
    </row>
    <row r="12" spans="1:12" x14ac:dyDescent="0.2">
      <c r="A12" s="139">
        <v>10</v>
      </c>
      <c r="B12" s="237">
        <v>153</v>
      </c>
      <c r="C12" s="168">
        <v>17</v>
      </c>
      <c r="E12" s="139">
        <v>10</v>
      </c>
      <c r="F12" s="168">
        <v>150</v>
      </c>
      <c r="G12" s="168">
        <v>18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216</v>
      </c>
      <c r="C16" s="165"/>
      <c r="E16" s="139">
        <v>6</v>
      </c>
      <c r="F16" s="168">
        <v>189</v>
      </c>
      <c r="G16" s="165"/>
    </row>
    <row r="17" spans="1:11" x14ac:dyDescent="0.2">
      <c r="A17" s="139">
        <v>7</v>
      </c>
      <c r="B17" s="168">
        <v>198</v>
      </c>
      <c r="C17" s="168">
        <v>24</v>
      </c>
      <c r="E17" s="139">
        <v>7</v>
      </c>
      <c r="F17" s="168">
        <v>227</v>
      </c>
      <c r="G17" s="168">
        <v>22</v>
      </c>
    </row>
    <row r="18" spans="1:11" x14ac:dyDescent="0.2">
      <c r="A18" s="139">
        <v>10</v>
      </c>
      <c r="B18" s="168">
        <v>238</v>
      </c>
      <c r="C18" s="168">
        <v>18</v>
      </c>
      <c r="E18" s="139">
        <v>10</v>
      </c>
      <c r="F18" s="168">
        <v>164</v>
      </c>
      <c r="G18" s="168">
        <v>18</v>
      </c>
    </row>
    <row r="19" spans="1:11" x14ac:dyDescent="0.2">
      <c r="A19" s="139">
        <v>11</v>
      </c>
      <c r="B19" s="168">
        <v>122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235</v>
      </c>
      <c r="C23" s="165"/>
      <c r="E23" s="139">
        <v>6</v>
      </c>
      <c r="F23" s="168">
        <v>210</v>
      </c>
      <c r="G23" s="165"/>
    </row>
    <row r="24" spans="1:11" x14ac:dyDescent="0.2">
      <c r="A24" s="139">
        <v>7</v>
      </c>
      <c r="B24" s="168">
        <v>208</v>
      </c>
      <c r="C24" s="168">
        <v>25</v>
      </c>
      <c r="E24" s="139">
        <v>7</v>
      </c>
      <c r="F24" s="168">
        <v>199</v>
      </c>
      <c r="G24" s="168">
        <v>22</v>
      </c>
    </row>
    <row r="25" spans="1:11" x14ac:dyDescent="0.2">
      <c r="A25" s="139">
        <v>10</v>
      </c>
      <c r="B25" s="168">
        <v>176</v>
      </c>
      <c r="C25" s="168">
        <v>12</v>
      </c>
      <c r="E25" s="139">
        <v>10</v>
      </c>
      <c r="F25" s="168">
        <v>168</v>
      </c>
      <c r="G25" s="168">
        <v>12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216</v>
      </c>
      <c r="C29" s="165"/>
      <c r="E29" s="139">
        <v>6</v>
      </c>
      <c r="F29" s="203">
        <f t="shared" ref="F29:G31" si="0">B10+F10+B16+F16+B23+F23+B29</f>
        <v>1498</v>
      </c>
      <c r="G29" s="204">
        <f t="shared" si="0"/>
        <v>0</v>
      </c>
      <c r="I29" s="139">
        <v>6</v>
      </c>
      <c r="J29" s="203">
        <f t="shared" ref="J29:K31" si="1">F29*15</f>
        <v>22470</v>
      </c>
      <c r="K29" s="204">
        <f t="shared" si="1"/>
        <v>0</v>
      </c>
    </row>
    <row r="30" spans="1:11" x14ac:dyDescent="0.2">
      <c r="A30" s="139">
        <v>7</v>
      </c>
      <c r="B30" s="168">
        <v>200</v>
      </c>
      <c r="C30" s="168">
        <v>22</v>
      </c>
      <c r="E30" s="139">
        <v>7</v>
      </c>
      <c r="F30" s="203">
        <f t="shared" si="0"/>
        <v>1415</v>
      </c>
      <c r="G30" s="203">
        <f t="shared" si="0"/>
        <v>160</v>
      </c>
      <c r="I30" s="139">
        <v>7</v>
      </c>
      <c r="J30" s="203">
        <f t="shared" si="1"/>
        <v>21225</v>
      </c>
      <c r="K30" s="203">
        <f t="shared" si="1"/>
        <v>2400</v>
      </c>
    </row>
    <row r="31" spans="1:11" x14ac:dyDescent="0.2">
      <c r="A31" s="139">
        <v>10</v>
      </c>
      <c r="B31" s="168">
        <v>171</v>
      </c>
      <c r="C31" s="168">
        <v>12</v>
      </c>
      <c r="E31" s="139">
        <v>10</v>
      </c>
      <c r="F31" s="203">
        <f t="shared" si="0"/>
        <v>1220</v>
      </c>
      <c r="G31" s="203">
        <f t="shared" si="0"/>
        <v>107</v>
      </c>
      <c r="I31" s="139">
        <v>10</v>
      </c>
      <c r="J31" s="203">
        <f t="shared" si="1"/>
        <v>18300</v>
      </c>
      <c r="K31" s="203">
        <f t="shared" si="1"/>
        <v>1605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ref="F32:G32" si="2">B13+F13+B19+F19+B26+F26+B32</f>
        <v>754</v>
      </c>
      <c r="G32" s="204">
        <f t="shared" si="2"/>
        <v>0</v>
      </c>
      <c r="I32" s="139">
        <v>11</v>
      </c>
      <c r="J32" s="203">
        <f>F32*15</f>
        <v>11310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219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0.35599999999999998</v>
      </c>
      <c r="C36" s="201">
        <f>C37+C38</f>
        <v>0.253</v>
      </c>
      <c r="D36" s="201">
        <f>D37+D38</f>
        <v>0</v>
      </c>
      <c r="E36" s="201">
        <f>E37+E38</f>
        <v>0.436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4.7E-2</v>
      </c>
      <c r="C37" s="173">
        <v>1.7000000000000001E-2</v>
      </c>
      <c r="D37" s="173">
        <v>0</v>
      </c>
      <c r="E37" s="173">
        <v>6.3E-2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0.309</v>
      </c>
      <c r="C38" s="173">
        <v>0.23599999999999999</v>
      </c>
      <c r="D38" s="173">
        <v>0</v>
      </c>
      <c r="E38" s="173">
        <v>0.373</v>
      </c>
      <c r="G38" s="245" t="s">
        <v>217</v>
      </c>
      <c r="H38" s="245"/>
      <c r="I38" s="225">
        <v>1118</v>
      </c>
    </row>
    <row r="39" spans="1:9" x14ac:dyDescent="0.2">
      <c r="A39" s="172" t="s">
        <v>186</v>
      </c>
      <c r="B39" s="173">
        <v>0.57599999999999996</v>
      </c>
      <c r="C39" s="173">
        <v>0.66500000000000004</v>
      </c>
      <c r="D39" s="173">
        <v>0</v>
      </c>
      <c r="E39" s="173">
        <v>0.52</v>
      </c>
      <c r="G39" s="245" t="s">
        <v>218</v>
      </c>
      <c r="H39" s="245"/>
      <c r="I39" s="225">
        <v>82</v>
      </c>
    </row>
    <row r="40" spans="1:9" x14ac:dyDescent="0.2">
      <c r="A40" s="172" t="s">
        <v>187</v>
      </c>
      <c r="B40" s="173">
        <v>5.8000000000000003E-2</v>
      </c>
      <c r="C40" s="173">
        <v>7.2999999999999995E-2</v>
      </c>
      <c r="D40" s="173">
        <v>0</v>
      </c>
      <c r="E40" s="173">
        <v>3.5000000000000003E-2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0</v>
      </c>
      <c r="E41" s="173">
        <v>0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9.0000000000000011E-3</v>
      </c>
      <c r="C43" s="202">
        <f>SUM(C47:C50)</f>
        <v>8.0000000000000002E-3</v>
      </c>
      <c r="D43" s="202">
        <f>SUM(D47:D50)</f>
        <v>0</v>
      </c>
      <c r="E43" s="202">
        <f>SUM(E47:E50)</f>
        <v>9.0000000000000011E-3</v>
      </c>
    </row>
    <row r="44" spans="1:9" x14ac:dyDescent="0.2">
      <c r="A44" s="233" t="s">
        <v>211</v>
      </c>
      <c r="B44" s="232">
        <v>63.45</v>
      </c>
      <c r="C44" s="232">
        <v>61.05</v>
      </c>
      <c r="D44" s="232">
        <v>0</v>
      </c>
      <c r="E44" s="232">
        <v>64.010000000000005</v>
      </c>
    </row>
    <row r="45" spans="1:9" x14ac:dyDescent="0.2">
      <c r="A45" s="233" t="s">
        <v>213</v>
      </c>
      <c r="B45" s="231">
        <f>J29</f>
        <v>22470</v>
      </c>
      <c r="C45" s="231">
        <f>J30</f>
        <v>21225</v>
      </c>
      <c r="D45" s="231">
        <f>J31+K31</f>
        <v>19905</v>
      </c>
      <c r="E45" s="231">
        <f>J32</f>
        <v>11310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1E-3</v>
      </c>
      <c r="C47" s="173">
        <v>2E-3</v>
      </c>
      <c r="D47" s="173">
        <v>0</v>
      </c>
      <c r="E47" s="173">
        <v>1E-3</v>
      </c>
    </row>
    <row r="48" spans="1:9" x14ac:dyDescent="0.2">
      <c r="A48" s="172" t="s">
        <v>189</v>
      </c>
      <c r="B48" s="173">
        <v>2E-3</v>
      </c>
      <c r="C48" s="173">
        <v>1E-3</v>
      </c>
      <c r="D48" s="173">
        <v>0</v>
      </c>
      <c r="E48" s="173">
        <v>1E-3</v>
      </c>
    </row>
    <row r="49" spans="1:5" x14ac:dyDescent="0.2">
      <c r="A49" s="172" t="s">
        <v>190</v>
      </c>
      <c r="B49" s="173">
        <v>4.0000000000000001E-3</v>
      </c>
      <c r="C49" s="173">
        <v>2E-3</v>
      </c>
      <c r="D49" s="173">
        <v>0</v>
      </c>
      <c r="E49" s="173">
        <v>2E-3</v>
      </c>
    </row>
    <row r="50" spans="1:5" x14ac:dyDescent="0.2">
      <c r="A50" s="172" t="s">
        <v>191</v>
      </c>
      <c r="B50" s="173">
        <v>2E-3</v>
      </c>
      <c r="C50" s="173">
        <v>3.0000000000000001E-3</v>
      </c>
      <c r="D50" s="173">
        <v>0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237</v>
      </c>
    </row>
    <row r="3" spans="1:2" x14ac:dyDescent="0.2">
      <c r="A3" s="4" t="s">
        <v>168</v>
      </c>
      <c r="B3" s="3" t="s">
        <v>234</v>
      </c>
    </row>
    <row r="4" spans="1:2" x14ac:dyDescent="0.2">
      <c r="A4" s="2" t="s">
        <v>233</v>
      </c>
      <c r="B4" s="3" t="s">
        <v>236</v>
      </c>
    </row>
    <row r="5" spans="1:2" x14ac:dyDescent="0.2">
      <c r="A5" s="4" t="s">
        <v>4</v>
      </c>
      <c r="B5" s="3" t="s">
        <v>235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2025-07-25T13:27:04Z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