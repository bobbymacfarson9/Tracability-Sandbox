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B7EB810A-5A90-47DC-A089-261FC8D0439B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24" i="6"/>
  <c r="I25" i="6"/>
  <c r="I26" i="6"/>
  <c r="I27" i="6"/>
  <c r="I28" i="6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J25" i="6"/>
  <c r="J26" i="6"/>
  <c r="L26" i="6" s="1"/>
  <c r="J27" i="6"/>
  <c r="J28" i="6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I18" i="6" l="1"/>
  <c r="L18" i="6" s="1"/>
  <c r="L28" i="6"/>
  <c r="L25" i="6"/>
  <c r="P37" i="6"/>
  <c r="L32" i="6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<sst xmlns="http://schemas.openxmlformats.org/spreadsheetml/2006/main" count="463" uniqueCount="239">
  <si>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</si>
  <si>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</si>
  <si>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</si>
  <si>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</si>
  <si>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</si>
  <si>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</si>
  <si>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</si>
  <si>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</si>
  <si>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</si>
  <si>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</si>
  <si>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</si>
  <si>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</si>
  <si>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</si>
  <si>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</si>
  <si>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</si>
  <si>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</si>
  <si>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</si>
  <si>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</si>
  <si>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</si>
  <si>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</si>
  <si>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</si>
  <si>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</si>
  <si>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</si>
  <si>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</si>
  <si>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</si>
  <si>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</si>
  <si>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</si>
  <si>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</si>
  <si>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</si>
  <si>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</si>
  <si>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</si>
  <si>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</si>
  <si>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</si>
  <si>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</si>
  <si>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</si>
  <si>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</si>
  <si>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</si>
  <si>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</si>
  <si>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</si>
  <si>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</si>
  <si>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</si>
  <si>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</si>
  <si>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</si>
  <si>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</si>
  <si>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</si>
  <si>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</si>
  <si>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</si>
  <si>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</si>
  <si>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</si>
  <si>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</si>
  <si>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</si>
  <si>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</si>
  <si>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</si>
  <si>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</si>
  <si>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</si>
  <si>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</si>
  <si>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</si>
  <si>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</si>
  <si>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</si>
  <si>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</si>
  <si>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</si>
  <si>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</si>
  <si>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</si>
  <si>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</si>
  <si>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</si>
  <si>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</si>
  <si>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</si>
  <si>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</si>
  <si>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</si>
  <si>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</si>
  <si>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</si>
  <si>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</si>
  <si>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</si>
  <si>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</si>
  <si>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</si>
  <si>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</si>
  <si>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</si>
  <si>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</si>
  <si>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</si>
  <si>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</si>
  <si>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</si>
  <si>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</si>
  <si>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</si>
  <si>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</si>
  <si>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</si>
  <si>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</si>
  <si>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</si>
  <si>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</si>
  <si>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</si>
  <si>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</si>
  <si>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</si>
  <si>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</si>
  <si>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</si>
  <si>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</si>
  <si>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</si>
  <si>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</si>
  <si>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</si>
  <si>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</si>
  <si>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</si>
  <si>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</si>
  <si>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</si>
  <si>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</si>
  <si>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</si>
  <si>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</si>
  <si>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</si>
  <si>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</si>
  <si>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</si>
  <si>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</si>
  <si>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</si>
  <si>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</si>
  <si>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</si>
  <si>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</si>
  <si>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</si>
  <si>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</si>
  <si>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</si>
  <si>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</si>
  <si>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</si>
  <si>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</si>
  <si>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</si>
  <si>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</si>
  <si>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</si>
  <si>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</si>
  <si>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</si>
  <si>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</si>
  <si>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</si>
  <si>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</si>
  <si>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</si>
  <si>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</si>
  <si>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</si>
  <si>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</si>
  <si>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</si>
  <si>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</si>
  <si>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</si>
  <si>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</si>
  <si>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</si>
  <si>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</si>
  <si>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</si>
  <si>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</si>
  <si>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</si>
  <si>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</si>
  <si>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</si>
  <si>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</si>
  <si>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</si>
  <si>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</si>
  <si>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</si>
  <si>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</si>
  <si>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</si>
  <si>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</si>
  <si>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</si>
  <si>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</si>
  <si>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</si>
  <si>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</si>
  <si>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</si>
  <si>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</si>
  <si>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</si>
  <si>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</si>
  <si>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</si>
  <si>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</si>
  <si>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</si>
  <si>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</si>
  <si>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</si>
  <si>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</si>
  <si>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</si>
  <si>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</si>
  <si>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</si>
  <si>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</si>
  <si>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</si>
  <si>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</si>
  <si>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</si>
  <si>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</si>
  <si>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</si>
  <si>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</si>
  <si>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</si>
  <si>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</si>
  <si>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</si>
  <si>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</si>
  <si>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</si>
  <si>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</si>
  <si>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</si>
  <si>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</si>
  <si>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</si>
  <si>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</si>
  <si>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</si>
  <si>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</si>
  <si>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</si>
  <si>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</si>
  <si>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</si>
  <si>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</si>
  <si>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</si>
  <si>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</si>
  <si>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</si>
  <si>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</si>
  <si>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</si>
  <si>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</si>
  <si>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</si>
  <si>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</si>
  <si>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</si>
  <si>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</si>
  <si>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</si>
  <si>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</si>
  <si>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</si>
  <si>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</si>
  <si>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</si>
  <si>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</si>
  <si>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</si>
  <si>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</si>
  <si>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</si>
  <si>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</si>
  <si>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</si>
  <si>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</si>
  <si>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</si>
  <si>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</si>
  <si>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</si>
  <si>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</si>
  <si>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</si>
  <si>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</si>
  <si>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</si>
  <si>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</si>
  <si>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</si>
  <si>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</si>
  <si>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</si>
  <si>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</si>
  <si>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</si>
  <si>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</si>
  <si>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</si>
  <si>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</si>
  <si>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</si>
  <si>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</si>
  <si>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</si>
  <si>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</si>
  <si>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</si>
  <si>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</si>
  <si>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</si>
  <si>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</si>
  <si>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</si>
  <si>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</si>
  <si>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Mix</t>
  </si>
  <si>
    <t>07-02-2025</t>
  </si>
  <si>
    <t>Nico Eyking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</si>
</sst>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8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6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7">
        <f>Inputs!C3</f>
        <v>45697.25</v>
      </c>
      <c r="H2" s="238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11325.405405405405</v>
      </c>
      <c r="I7" s="27">
        <v>0</v>
      </c>
      <c r="J7" s="26">
        <f>IFERROR(H7-I7,"")</f>
        <v>11325.405405405405</v>
      </c>
      <c r="K7" s="26">
        <f>IFERROR(($E$26/($H$27+$H$28)*$H$27)*R28,"")</f>
        <v>79.277837837837851</v>
      </c>
      <c r="L7" s="26">
        <f>IFERROR(($E$26/($H$27+$H$28)*$H$27)*S28,"")</f>
        <v>33.976216216216223</v>
      </c>
      <c r="M7" s="28">
        <f>IFERROR(K7+L7,"")</f>
        <v>113.25405405405408</v>
      </c>
      <c r="N7" s="29">
        <f>IFERROR(O7+P7+Q7+R7+S7+T7+U7+V7,"")</f>
        <v>11212.151351351351</v>
      </c>
      <c r="O7" s="26">
        <f t="shared" ref="O7:V7" si="0">IFERROR(($E$26/($H$27+$H$28)*$H$27)*J28,"")</f>
        <v>1155.1913513513514</v>
      </c>
      <c r="P7" s="26">
        <f>IFERROR(($E$26/($H$27+$H$28)*$H$27)*K28,"")</f>
        <v>4020.5189189189191</v>
      </c>
      <c r="Q7" s="26">
        <f t="shared" si="0"/>
        <v>5515.4724324324334</v>
      </c>
      <c r="R7" s="26">
        <f t="shared" si="0"/>
        <v>486.99243243243245</v>
      </c>
      <c r="S7" s="26">
        <f t="shared" si="0"/>
        <v>11.325405405405407</v>
      </c>
      <c r="T7" s="26">
        <f t="shared" si="0"/>
        <v>0</v>
      </c>
      <c r="U7" s="26">
        <f t="shared" si="0"/>
        <v>22.650810810810814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1094.5945945945944</v>
      </c>
      <c r="I8" s="27">
        <v>0</v>
      </c>
      <c r="J8" s="26">
        <f>IFERROR(H8-I8,"")</f>
        <v>1094.5945945945944</v>
      </c>
      <c r="K8" s="26">
        <f>IFERROR(($E$26/($H$27+$H$28)*$H$28)*R28,"")</f>
        <v>7.6621621621621623</v>
      </c>
      <c r="L8" s="26">
        <f>IFERROR(($E$26/($H$27+$H$28)*$H$28)*S28,"")</f>
        <v>3.2837837837837838</v>
      </c>
      <c r="M8" s="28">
        <f>IFERROR(K8+L8,"")</f>
        <v>10.945945945945946</v>
      </c>
      <c r="N8" s="29">
        <f>IFERROR(O8+P8+Q8+R8+S8+T8+U8+V8,"")</f>
        <v>1083.6486486486483</v>
      </c>
      <c r="O8" s="26">
        <f t="shared" ref="O8:V8" si="1">IFERROR(($E$26/($H$27+$H$28)*$H$28)*J28,"")</f>
        <v>111.64864864864865</v>
      </c>
      <c r="P8" s="26">
        <f t="shared" si="1"/>
        <v>388.58108108108104</v>
      </c>
      <c r="Q8" s="26">
        <f t="shared" si="1"/>
        <v>533.06756756756749</v>
      </c>
      <c r="R8" s="26">
        <f t="shared" si="1"/>
        <v>47.067567567567565</v>
      </c>
      <c r="S8" s="26">
        <f t="shared" si="1"/>
        <v>1.0945945945945945</v>
      </c>
      <c r="T8" s="26">
        <f t="shared" si="1"/>
        <v>0</v>
      </c>
      <c r="U8" s="26">
        <f t="shared" si="1"/>
        <v>2.189189189189189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23264.999999999993</v>
      </c>
      <c r="I10" s="27">
        <v>0</v>
      </c>
      <c r="J10" s="26">
        <f>IFERROR(H10-I10,"")</f>
        <v>23264.999999999993</v>
      </c>
      <c r="K10" s="26">
        <f>IFERROR(($E$30/($H$31+$H$32)*$H$31)*R32,"")</f>
        <v>116.32499999999999</v>
      </c>
      <c r="L10" s="26">
        <f>IFERROR(($E$30/($H$31+$H$32)*$H$31)*S32,"")</f>
        <v>23.264999999999997</v>
      </c>
      <c r="M10" s="28">
        <f>IFERROR(K10+L10,"")</f>
        <v>139.58999999999997</v>
      </c>
      <c r="N10" s="29">
        <f>IFERROR(O10+P10+Q10+R10+S10+T10+U10+V10,"")</f>
        <v>23125.409999999993</v>
      </c>
      <c r="O10" s="26">
        <f t="shared" ref="O10:V10" si="2">IFERROR(($E$30/($H$31+$H$32)*$H$31)*J32,"")</f>
        <v>814.27499999999998</v>
      </c>
      <c r="P10" s="26">
        <f t="shared" si="2"/>
        <v>7002.7649999999985</v>
      </c>
      <c r="Q10" s="26">
        <f t="shared" si="2"/>
        <v>14494.094999999998</v>
      </c>
      <c r="R10" s="26">
        <f t="shared" si="2"/>
        <v>767.74499999999989</v>
      </c>
      <c r="S10" s="26">
        <f t="shared" si="2"/>
        <v>0</v>
      </c>
      <c r="T10" s="26">
        <f t="shared" si="2"/>
        <v>0</v>
      </c>
      <c r="U10" s="26">
        <f t="shared" si="2"/>
        <v>46.529999999999994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18996.085958090862</v>
      </c>
      <c r="I13" s="27">
        <v>0</v>
      </c>
      <c r="J13" s="26">
        <f>IFERROR(H13-I13,"")</f>
        <v>18996.085958090862</v>
      </c>
      <c r="K13" s="26">
        <f>IFERROR(($E$34/($H$35+$H$36)*$H$35)*R36,"")</f>
        <v>113.97651574854517</v>
      </c>
      <c r="L13" s="26">
        <f>IFERROR(($E$34/($H$35+$H$36)*$H$35)*S36,"")</f>
        <v>56.988257874272584</v>
      </c>
      <c r="M13" s="28">
        <f>IFERROR(K13+L13,"")</f>
        <v>170.96477362281775</v>
      </c>
      <c r="N13" s="29">
        <f>IFERROR(O13+P13+Q13+R13+S13+T13+U13+V13,"")</f>
        <v>18825.121184468044</v>
      </c>
      <c r="O13" s="26">
        <f t="shared" ref="O13:V13" si="4">IFERROR(($E$34/($H$35+$H$36)*$H$35)*J36,"")</f>
        <v>1139.7651574854517</v>
      </c>
      <c r="P13" s="26">
        <f t="shared" si="4"/>
        <v>6306.7005380861665</v>
      </c>
      <c r="Q13" s="26">
        <f t="shared" si="4"/>
        <v>10675.800308447066</v>
      </c>
      <c r="R13" s="26">
        <f t="shared" si="4"/>
        <v>645.86692257508935</v>
      </c>
      <c r="S13" s="26">
        <f t="shared" si="4"/>
        <v>0</v>
      </c>
      <c r="T13" s="26">
        <f t="shared" si="4"/>
        <v>0</v>
      </c>
      <c r="U13" s="26">
        <f t="shared" si="4"/>
        <v>56.988257874272584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2168.9140419091354</v>
      </c>
      <c r="I14" s="27">
        <v>0</v>
      </c>
      <c r="J14" s="26">
        <f>IFERROR(H14-I14,"")</f>
        <v>2168.9140419091354</v>
      </c>
      <c r="K14" s="26">
        <f>IFERROR(($E$34/($H$35+$H$36)*$H$36)*R36,"")</f>
        <v>13.013484251454816</v>
      </c>
      <c r="L14" s="26">
        <f>IFERROR(($E$34/($H$35+$H$36)*$H$36)*S36,"")</f>
        <v>6.5067421257274081</v>
      </c>
      <c r="M14" s="28">
        <f>IFERROR(K14+L14,"")</f>
        <v>19.520226377182226</v>
      </c>
      <c r="N14" s="29">
        <f>IFERROR(O14+P14+Q14+R14+S14+T14+U14+V14,"")</f>
        <v>2149.3938155319534</v>
      </c>
      <c r="O14" s="26">
        <f t="shared" ref="O14:V14" si="5">IFERROR(($E$34/($H$35+$H$36)*$H$36)*J36,"")</f>
        <v>130.13484251454815</v>
      </c>
      <c r="P14" s="26">
        <f t="shared" si="5"/>
        <v>720.07946191383314</v>
      </c>
      <c r="Q14" s="26">
        <f t="shared" si="5"/>
        <v>1218.9296915529344</v>
      </c>
      <c r="R14" s="26">
        <f t="shared" si="5"/>
        <v>73.743077424910624</v>
      </c>
      <c r="S14" s="26">
        <f t="shared" si="5"/>
        <v>0</v>
      </c>
      <c r="T14" s="26">
        <f t="shared" si="5"/>
        <v>0</v>
      </c>
      <c r="U14" s="26">
        <f t="shared" si="5"/>
        <v>6.5067421257274081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11775</v>
      </c>
      <c r="I16" s="27">
        <v>0</v>
      </c>
      <c r="J16" s="26">
        <f>IFERROR(H16-I16,"")</f>
        <v>11775</v>
      </c>
      <c r="K16" s="26">
        <f>IFERROR(($E$38/($H$39)*$H$39)*R40,"")</f>
        <v>70.650000000000006</v>
      </c>
      <c r="L16" s="26">
        <f>IFERROR(($E$38/($H$39)*$H$39)*S40,"")</f>
        <v>11.775</v>
      </c>
      <c r="M16" s="28">
        <f>IFERROR(K16+L16,"")</f>
        <v>82.425000000000011</v>
      </c>
      <c r="N16" s="29">
        <f>IFERROR(O16+P16+Q16+R16+S16+T16+U16+V16,"")</f>
        <v>11692.575000000001</v>
      </c>
      <c r="O16" s="26">
        <f t="shared" ref="O16:V16" si="6">IFERROR(($E$38/($H$39)*$H$39)*J40,"")</f>
        <v>294.375</v>
      </c>
      <c r="P16" s="26">
        <f t="shared" si="6"/>
        <v>3049.7249999999999</v>
      </c>
      <c r="Q16" s="26">
        <f t="shared" si="6"/>
        <v>7877.4750000000004</v>
      </c>
      <c r="R16" s="26">
        <f t="shared" si="6"/>
        <v>447.45</v>
      </c>
      <c r="S16" s="26">
        <f t="shared" si="6"/>
        <v>0</v>
      </c>
      <c r="T16" s="26">
        <f t="shared" si="6"/>
        <v>0</v>
      </c>
      <c r="U16" s="26">
        <f t="shared" si="6"/>
        <v>23.55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68625</v>
      </c>
      <c r="I19" s="37">
        <f t="shared" si="7"/>
        <v>0</v>
      </c>
      <c r="J19" s="37">
        <f t="shared" si="7"/>
        <v>68625</v>
      </c>
      <c r="K19" s="37">
        <f t="shared" si="7"/>
        <v>400.90499999999997</v>
      </c>
      <c r="L19" s="37">
        <f t="shared" si="7"/>
        <v>135.79500000000002</v>
      </c>
      <c r="M19" s="37">
        <f t="shared" si="7"/>
        <v>536.70000000000005</v>
      </c>
      <c r="N19" s="37">
        <f t="shared" si="7"/>
        <v>68088.299999999988</v>
      </c>
      <c r="O19" s="37">
        <f t="shared" si="7"/>
        <v>3645.3900000000003</v>
      </c>
      <c r="P19" s="37">
        <f t="shared" si="7"/>
        <v>21488.369999999995</v>
      </c>
      <c r="Q19" s="37">
        <f t="shared" si="7"/>
        <v>40314.839999999997</v>
      </c>
      <c r="R19" s="37">
        <f t="shared" si="7"/>
        <v>2468.8649999999998</v>
      </c>
      <c r="S19" s="37">
        <f t="shared" si="7"/>
        <v>12.420000000000002</v>
      </c>
      <c r="T19" s="37">
        <f t="shared" si="7"/>
        <v>0</v>
      </c>
      <c r="U19" s="37">
        <f t="shared" si="7"/>
        <v>158.41500000000002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68624.999999999985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12420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20176</v>
      </c>
      <c r="I27" s="30"/>
      <c r="J27" s="198">
        <f>$E$26*J28</f>
        <v>1266.8399999999999</v>
      </c>
      <c r="K27" s="198">
        <f t="shared" ref="K27:S27" si="8">$E$26*K28</f>
        <v>4409.0999999999995</v>
      </c>
      <c r="L27" s="198">
        <f t="shared" si="8"/>
        <v>6048.54</v>
      </c>
      <c r="M27" s="198">
        <f t="shared" si="8"/>
        <v>534.05999999999995</v>
      </c>
      <c r="N27" s="198">
        <f t="shared" si="8"/>
        <v>12.42</v>
      </c>
      <c r="O27" s="198">
        <f t="shared" si="8"/>
        <v>0</v>
      </c>
      <c r="P27" s="198">
        <f t="shared" si="8"/>
        <v>24.84</v>
      </c>
      <c r="Q27" s="198">
        <f t="shared" si="8"/>
        <v>0</v>
      </c>
      <c r="R27" s="198">
        <f t="shared" si="8"/>
        <v>86.94</v>
      </c>
      <c r="S27" s="198">
        <f t="shared" si="8"/>
        <v>37.26</v>
      </c>
      <c r="T27" s="199">
        <f>SUM(J27:S27)</f>
        <v>12420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1950</v>
      </c>
      <c r="I28" s="30"/>
      <c r="J28" s="197">
        <f>Inputs!B37</f>
        <v>0.10199999999999999</v>
      </c>
      <c r="K28" s="197">
        <f>Inputs!B38</f>
        <v>0.35499999999999998</v>
      </c>
      <c r="L28" s="197">
        <f>Inputs!B39</f>
        <v>0.48699999999999999</v>
      </c>
      <c r="M28" s="197">
        <f>Inputs!B40</f>
        <v>4.2999999999999997E-2</v>
      </c>
      <c r="N28" s="197">
        <f>Inputs!B41</f>
        <v>1E-3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23265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39001</v>
      </c>
      <c r="I31" s="26"/>
      <c r="J31" s="198">
        <f>$E30*J32</f>
        <v>814.27500000000009</v>
      </c>
      <c r="K31" s="198">
        <f t="shared" ref="K31:S31" si="9">$E30*K32</f>
        <v>7002.7649999999994</v>
      </c>
      <c r="L31" s="198">
        <f t="shared" si="9"/>
        <v>14494.094999999999</v>
      </c>
      <c r="M31" s="198">
        <f t="shared" si="9"/>
        <v>767.745</v>
      </c>
      <c r="N31" s="198">
        <f t="shared" si="9"/>
        <v>0</v>
      </c>
      <c r="O31" s="198">
        <f t="shared" si="9"/>
        <v>0</v>
      </c>
      <c r="P31" s="198">
        <f t="shared" si="9"/>
        <v>46.53</v>
      </c>
      <c r="Q31" s="198">
        <f t="shared" si="9"/>
        <v>0</v>
      </c>
      <c r="R31" s="198">
        <f t="shared" si="9"/>
        <v>116.325</v>
      </c>
      <c r="S31" s="198">
        <f t="shared" si="9"/>
        <v>23.265000000000001</v>
      </c>
      <c r="T31" s="199">
        <f>SUM(J31:S31)</f>
        <v>23264.999999999996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0.30099999999999999</v>
      </c>
      <c r="L32" s="197">
        <f>Inputs!C39</f>
        <v>0.623</v>
      </c>
      <c r="M32" s="197">
        <f>Inputs!C40</f>
        <v>3.3000000000000002E-2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5.0000000000000001E-3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21165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34394</v>
      </c>
      <c r="I35" s="30"/>
      <c r="J35" s="198">
        <f>$E34*J36</f>
        <v>1269.8999999999999</v>
      </c>
      <c r="K35" s="198">
        <f t="shared" ref="K35:S35" si="10">$E34*K36</f>
        <v>7026.7800000000007</v>
      </c>
      <c r="L35" s="198">
        <f t="shared" si="10"/>
        <v>11894.730000000001</v>
      </c>
      <c r="M35" s="198">
        <f t="shared" si="10"/>
        <v>719.61</v>
      </c>
      <c r="N35" s="198">
        <f t="shared" si="10"/>
        <v>0</v>
      </c>
      <c r="O35" s="198">
        <f t="shared" si="10"/>
        <v>0</v>
      </c>
      <c r="P35" s="198">
        <f t="shared" si="10"/>
        <v>63.495000000000005</v>
      </c>
      <c r="Q35" s="198">
        <f t="shared" si="10"/>
        <v>0</v>
      </c>
      <c r="R35" s="198">
        <f t="shared" si="10"/>
        <v>126.99000000000001</v>
      </c>
      <c r="S35" s="198">
        <f t="shared" si="10"/>
        <v>63.495000000000005</v>
      </c>
      <c r="T35" s="199">
        <f>SUM(J35:S35)</f>
        <v>21165.000000000004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3927</v>
      </c>
      <c r="I36" s="30"/>
      <c r="J36" s="197">
        <f>Inputs!D37</f>
        <v>0.06</v>
      </c>
      <c r="K36" s="197">
        <f>Inputs!D38</f>
        <v>0.33200000000000002</v>
      </c>
      <c r="L36" s="197">
        <f>Inputs!D39</f>
        <v>0.56200000000000006</v>
      </c>
      <c r="M36" s="197">
        <f>Inputs!D40</f>
        <v>3.4000000000000002E-2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3.0000000000000001E-3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11775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18933</v>
      </c>
      <c r="I39" s="30"/>
      <c r="J39" s="198">
        <f>$E38*J40</f>
        <v>294.375</v>
      </c>
      <c r="K39" s="198">
        <f t="shared" ref="K39:S39" si="11">$E38*K40</f>
        <v>3049.7249999999999</v>
      </c>
      <c r="L39" s="198">
        <f t="shared" si="11"/>
        <v>7877.4750000000004</v>
      </c>
      <c r="M39" s="198">
        <f t="shared" si="11"/>
        <v>447.45</v>
      </c>
      <c r="N39" s="198">
        <f t="shared" si="11"/>
        <v>0</v>
      </c>
      <c r="O39" s="198">
        <f t="shared" si="11"/>
        <v>0</v>
      </c>
      <c r="P39" s="198">
        <f t="shared" si="11"/>
        <v>23.55</v>
      </c>
      <c r="Q39" s="198">
        <f t="shared" si="11"/>
        <v>0</v>
      </c>
      <c r="R39" s="198">
        <f t="shared" si="11"/>
        <v>70.650000000000006</v>
      </c>
      <c r="S39" s="198">
        <f t="shared" si="11"/>
        <v>11.775</v>
      </c>
      <c r="T39" s="199">
        <f>SUM(J39:S39)</f>
        <v>11775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2.5000000000000001E-2</v>
      </c>
      <c r="K40" s="197">
        <f>Inputs!E38</f>
        <v>0.25900000000000001</v>
      </c>
      <c r="L40" s="197">
        <f>Inputs!E39</f>
        <v>0.66900000000000004</v>
      </c>
      <c r="M40" s="197">
        <f>Inputs!E40</f>
        <v>3.7999999999999999E-2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39" t="s">
        <v>64</v>
      </c>
      <c r="B1" s="239"/>
      <c r="C1" s="239"/>
      <c r="D1" s="239"/>
      <c r="E1" s="239"/>
      <c r="F1" s="239"/>
      <c r="G1" s="239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45697.25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Nico Eyking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6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300</v>
      </c>
      <c r="C13" s="220">
        <f>'Grade out Information'!X26</f>
        <v>4500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60</v>
      </c>
      <c r="C21" s="220">
        <f>'Grade out Information'!E11</f>
        <v>900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360</v>
      </c>
      <c r="C27" s="222">
        <f>SUM(C13:C26)</f>
        <v>5400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90" zoomScaleNormal="90" workbookViewId="0">
      <selection activeCell="I30" sqref="I3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0" t="s">
        <v>103</v>
      </c>
      <c r="D7" s="240"/>
      <c r="E7" s="240"/>
      <c r="F7" s="240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6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900</v>
      </c>
      <c r="F11" s="217"/>
      <c r="G11" s="228">
        <f>SUM(C11:F11)</f>
        <v>900</v>
      </c>
      <c r="H11" s="229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600</v>
      </c>
      <c r="J15" s="133">
        <f>X15*K15</f>
        <v>274.2</v>
      </c>
      <c r="K15" s="184">
        <f>Inputs!B36</f>
        <v>0.45699999999999996</v>
      </c>
      <c r="L15" s="133">
        <f>X15*M15</f>
        <v>292.2</v>
      </c>
      <c r="M15" s="184">
        <f>Inputs!B39</f>
        <v>0.48699999999999999</v>
      </c>
      <c r="N15" s="133">
        <f>X15*O15</f>
        <v>25.799999999999997</v>
      </c>
      <c r="O15" s="184">
        <f>Inputs!B40</f>
        <v>4.2999999999999997E-2</v>
      </c>
      <c r="P15" s="133">
        <f>X15*Q15</f>
        <v>0.6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7.2</v>
      </c>
      <c r="W15" s="185">
        <f>Inputs!B43</f>
        <v>1.2E-2</v>
      </c>
      <c r="X15" s="213">
        <f>Z15*15</f>
        <v>600</v>
      </c>
      <c r="Y15" s="209">
        <f>K15+M15+O15+Q15+S15+U15+W15</f>
        <v>1</v>
      </c>
      <c r="Z15" s="226">
        <f>Inputs!I35</f>
        <v>40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1200</v>
      </c>
      <c r="J16" s="133">
        <f>X16*K16</f>
        <v>548.4</v>
      </c>
      <c r="K16" s="184">
        <f>K15</f>
        <v>0.45699999999999996</v>
      </c>
      <c r="L16" s="133">
        <f t="shared" ref="L16:L23" si="0">X16*M16</f>
        <v>584.4</v>
      </c>
      <c r="M16" s="184">
        <f>M15</f>
        <v>0.48699999999999999</v>
      </c>
      <c r="N16" s="133">
        <f t="shared" ref="N16:N21" si="1">X16*O16</f>
        <v>51.599999999999994</v>
      </c>
      <c r="O16" s="184">
        <f>O15</f>
        <v>4.2999999999999997E-2</v>
      </c>
      <c r="P16" s="133">
        <f t="shared" ref="P16:P23" si="2">X16*Q16</f>
        <v>1.2</v>
      </c>
      <c r="Q16" s="184">
        <f>Q15</f>
        <v>1E-3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14.4</v>
      </c>
      <c r="W16" s="185">
        <f>W15</f>
        <v>1.2E-2</v>
      </c>
      <c r="X16" s="213">
        <f t="shared" ref="X16:X23" si="6">Z16*15</f>
        <v>1200</v>
      </c>
      <c r="Y16" s="209">
        <f>K16+M16+O16+Q16+S16+U16+W16</f>
        <v>1</v>
      </c>
      <c r="Z16" s="226">
        <f>Inputs!I36</f>
        <v>80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0.33599999999999997</v>
      </c>
      <c r="L18" s="133">
        <f t="shared" si="0"/>
        <v>0</v>
      </c>
      <c r="M18" s="184">
        <f>Inputs!C39</f>
        <v>0.623</v>
      </c>
      <c r="N18" s="133">
        <f t="shared" si="1"/>
        <v>0</v>
      </c>
      <c r="O18" s="184">
        <f>Inputs!C40</f>
        <v>3.3000000000000002E-2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8.0000000000000002E-3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2700.0000000000005</v>
      </c>
      <c r="J20" s="133">
        <f>X20*K20</f>
        <v>1058.4000000000001</v>
      </c>
      <c r="K20" s="184">
        <f>Inputs!D36</f>
        <v>0.39200000000000002</v>
      </c>
      <c r="L20" s="133">
        <f t="shared" si="0"/>
        <v>1517.4</v>
      </c>
      <c r="M20" s="184">
        <f>Inputs!D39</f>
        <v>0.56200000000000006</v>
      </c>
      <c r="N20" s="133">
        <f t="shared" si="1"/>
        <v>91.800000000000011</v>
      </c>
      <c r="O20" s="184">
        <f>Inputs!D40</f>
        <v>3.4000000000000002E-2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32.4</v>
      </c>
      <c r="W20" s="185">
        <f>Inputs!D43</f>
        <v>1.2E-2</v>
      </c>
      <c r="X20" s="213">
        <f t="shared" si="6"/>
        <v>2700</v>
      </c>
      <c r="Y20" s="209">
        <f>K20+M20+O20+Q20+S20+U20+W20</f>
        <v>1</v>
      </c>
      <c r="Z20" s="226">
        <f>Inputs!I38</f>
        <v>180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0.39200000000000002</v>
      </c>
      <c r="L21" s="133">
        <f t="shared" si="0"/>
        <v>0</v>
      </c>
      <c r="M21" s="184">
        <f>M20</f>
        <v>0.56200000000000006</v>
      </c>
      <c r="N21" s="133">
        <f t="shared" si="1"/>
        <v>0</v>
      </c>
      <c r="O21" s="184">
        <f>O20</f>
        <v>3.4000000000000002E-2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1.2E-2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0.28400000000000003</v>
      </c>
      <c r="L23" s="133">
        <f t="shared" si="0"/>
        <v>0</v>
      </c>
      <c r="M23" s="184">
        <f>Inputs!E39</f>
        <v>0.66900000000000004</v>
      </c>
      <c r="N23" s="133">
        <f>X23*O23</f>
        <v>0</v>
      </c>
      <c r="O23" s="184">
        <f>Inputs!E40</f>
        <v>3.7999999999999999E-2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141"/>
      <c r="J26" s="139">
        <f>SUM(J15:J25)</f>
        <v>1881</v>
      </c>
      <c r="K26" s="139"/>
      <c r="L26" s="139">
        <f>SUM(L15:L25)</f>
        <v>2394</v>
      </c>
      <c r="M26" s="139"/>
      <c r="N26" s="139">
        <f>SUM(N15:N25)</f>
        <v>169.2</v>
      </c>
      <c r="O26" s="139"/>
      <c r="P26" s="139">
        <f>SUM(P15:P25)</f>
        <v>1.7999999999999998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54</v>
      </c>
      <c r="W26" s="139"/>
      <c r="X26" s="139">
        <f>SUM(X15:X25)</f>
        <v>4500</v>
      </c>
      <c r="Y26" s="139"/>
      <c r="Z26" s="139">
        <f>SUM(Z15:Z25)</f>
        <v>300</v>
      </c>
      <c r="AA26" s="141">
        <f>IF(Z33=0,0,Z33/(H33+Z33))</f>
        <v>0</v>
      </c>
      <c r="AB26" s="139">
        <f>G26+X26</f>
        <v>5400</v>
      </c>
      <c r="AC26" s="139">
        <f>H26+Z26</f>
        <v>360</v>
      </c>
      <c r="AD26" s="141">
        <f>I26+AA26</f>
        <v>0</v>
      </c>
    </row>
    <row r="30" spans="1:30" x14ac:dyDescent="0.2">
      <c r="A30" s="3" t="s">
        <v>107</v>
      </c>
      <c r="B30">
        <f>J26</f>
        <v>1881</v>
      </c>
    </row>
    <row r="31" spans="1:30" x14ac:dyDescent="0.2">
      <c r="A31" s="3" t="s">
        <v>108</v>
      </c>
      <c r="B31">
        <f>L26</f>
        <v>2394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169.2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1.7999999999999998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54</v>
      </c>
    </row>
    <row r="38" spans="1:13" x14ac:dyDescent="0.2">
      <c r="A38" s="3" t="s">
        <v>128</v>
      </c>
      <c r="B38">
        <f>SUM(B30:B36)</f>
        <v>4500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H12" sqref="H12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1" t="s">
        <v>63</v>
      </c>
      <c r="B1" s="241"/>
      <c r="C1" s="241"/>
      <c r="D1" s="241"/>
      <c r="E1" s="241"/>
      <c r="F1" s="241"/>
      <c r="G1" s="241"/>
      <c r="H1" s="241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20176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1950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39001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34394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3927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18933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18" sqref="N18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2" t="s">
        <v>142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3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</row>
    <row r="7" spans="1:16" x14ac:dyDescent="0.25">
      <c r="A7" s="148">
        <v>1</v>
      </c>
      <c r="B7" s="189">
        <f>Inputs!C$2</f>
        <v>6</v>
      </c>
      <c r="C7" s="151">
        <v>390028</v>
      </c>
      <c r="D7" s="188" t="s">
        <v>181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1511</v>
      </c>
      <c r="J7" s="189">
        <f>IF(H7="NEW",203, IF(H7="OLD",192,0))</f>
        <v>203</v>
      </c>
      <c r="K7" s="151">
        <v>1714</v>
      </c>
      <c r="L7" s="211">
        <f>IF(K7&gt;0,I7/E7,"NA")</f>
        <v>25.183333333333334</v>
      </c>
      <c r="M7" s="151">
        <v>128976</v>
      </c>
      <c r="N7" s="152" t="s">
        <v>237</v>
      </c>
      <c r="O7" s="157" t="s">
        <v>51</v>
      </c>
      <c r="P7" s="187">
        <f>IF(D7=Inputs!F$2,Inputs!I$2,IF(D7=Inputs!F$3,Inputs!I$3,IF(D7=Inputs!F$4,Inputs!I$4,IF(D7=Inputs!F$5,Inputs!I$5,"NA"))))</f>
        <v>69.892857142857139</v>
      </c>
    </row>
    <row r="8" spans="1:16" x14ac:dyDescent="0.25">
      <c r="A8" s="148">
        <v>2</v>
      </c>
      <c r="B8" s="189">
        <f>Inputs!C$2</f>
        <v>6</v>
      </c>
      <c r="C8" s="151">
        <v>390029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1501</v>
      </c>
      <c r="J8" s="189">
        <f>IF(H8="NEW",203, IF(H8="OLD",192,0))</f>
        <v>203</v>
      </c>
      <c r="K8" s="151">
        <v>1704</v>
      </c>
      <c r="L8" s="211">
        <f>IF(K8&gt;0,I8/E8,"NA")</f>
        <v>25.016666666666666</v>
      </c>
      <c r="M8" s="151">
        <v>128976</v>
      </c>
      <c r="N8" s="152" t="s">
        <v>237</v>
      </c>
      <c r="O8" s="157" t="s">
        <v>51</v>
      </c>
      <c r="P8" s="187">
        <f>IF(D8=Inputs!F$2,Inputs!I$2,IF(D8=Inputs!F$3,Inputs!I$3,IF(D8=Inputs!F$4,Inputs!I$4,IF(D8=Inputs!F$5,Inputs!I$5,"NA"))))</f>
        <v>69.892857142857139</v>
      </c>
    </row>
    <row r="9" spans="1:16" x14ac:dyDescent="0.25">
      <c r="A9" s="148">
        <v>3</v>
      </c>
      <c r="B9" s="189">
        <f>Inputs!C$2</f>
        <v>6</v>
      </c>
      <c r="C9" s="151">
        <v>390030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1507</v>
      </c>
      <c r="J9" s="189">
        <f>IF(H9="NEW",203, IF(H9="OLD",192,0))</f>
        <v>203</v>
      </c>
      <c r="K9" s="151">
        <v>1710</v>
      </c>
      <c r="L9" s="211">
        <f t="shared" ref="L9:L72" si="1">IF(K9&gt;0,I9/E9,"NA")</f>
        <v>25.116666666666667</v>
      </c>
      <c r="M9" s="151">
        <v>128976</v>
      </c>
      <c r="N9" s="152" t="s">
        <v>237</v>
      </c>
      <c r="O9" s="157" t="s">
        <v>51</v>
      </c>
      <c r="P9" s="187">
        <f>IF(D9=Inputs!F$2,Inputs!I$2,IF(D9=Inputs!F$3,Inputs!I$3,IF(D9=Inputs!F$4,Inputs!I$4,IF(D9=Inputs!F$5,Inputs!I$5,"NA"))))</f>
        <v>69.892857142857139</v>
      </c>
    </row>
    <row r="10" spans="1:16" x14ac:dyDescent="0.25">
      <c r="A10" s="148">
        <v>4</v>
      </c>
      <c r="B10" s="189">
        <f>Inputs!C$2</f>
        <v>6</v>
      </c>
      <c r="C10" s="151">
        <v>390031</v>
      </c>
      <c r="D10" s="188" t="s">
        <v>183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1459</v>
      </c>
      <c r="J10" s="189">
        <f>IF(H10="NEW",203, IF(H10="OLD",192,0))</f>
        <v>203</v>
      </c>
      <c r="K10" s="151">
        <v>1662</v>
      </c>
      <c r="L10" s="211">
        <f t="shared" si="1"/>
        <v>24.316666666666666</v>
      </c>
      <c r="M10" s="151">
        <v>128976</v>
      </c>
      <c r="N10" s="152" t="s">
        <v>237</v>
      </c>
      <c r="O10" s="157" t="s">
        <v>52</v>
      </c>
      <c r="P10" s="187">
        <f>IF(D10=Inputs!F$2,Inputs!I$2,IF(D10=Inputs!F$3,Inputs!I$3,IF(D10=Inputs!F$4,Inputs!I$4,IF(D10=Inputs!F$5,Inputs!I$5,"NA"))))</f>
        <v>61.892857142857146</v>
      </c>
    </row>
    <row r="11" spans="1:16" x14ac:dyDescent="0.25">
      <c r="A11" s="148">
        <v>5</v>
      </c>
      <c r="B11" s="189">
        <f>Inputs!C$2</f>
        <v>6</v>
      </c>
      <c r="C11" s="151">
        <v>390032</v>
      </c>
      <c r="D11" s="188" t="s">
        <v>183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1459</v>
      </c>
      <c r="J11" s="189">
        <f t="shared" ref="J11:J72" si="2">IF(H11="NEW",203, IF(H11="OLD",192,0))</f>
        <v>203</v>
      </c>
      <c r="K11" s="151">
        <v>1662</v>
      </c>
      <c r="L11" s="211">
        <f>IF(K11&gt;0,I11/E11,"NA")</f>
        <v>24.316666666666666</v>
      </c>
      <c r="M11" s="151">
        <v>128976</v>
      </c>
      <c r="N11" s="152" t="s">
        <v>237</v>
      </c>
      <c r="O11" s="157" t="s">
        <v>236</v>
      </c>
      <c r="P11" s="187">
        <f>IF(D11=Inputs!F$2,Inputs!I$2,IF(D11=Inputs!F$3,Inputs!I$3,IF(D11=Inputs!F$4,Inputs!I$4,IF(D11=Inputs!F$5,Inputs!I$5,"NA"))))</f>
        <v>61.892857142857146</v>
      </c>
    </row>
    <row r="12" spans="1:16" x14ac:dyDescent="0.25">
      <c r="A12" s="148">
        <v>6</v>
      </c>
      <c r="B12" s="189">
        <f>Inputs!C$2</f>
        <v>6</v>
      </c>
      <c r="C12" s="151">
        <v>390033</v>
      </c>
      <c r="D12" s="188" t="s">
        <v>9</v>
      </c>
      <c r="E12" s="148">
        <v>60</v>
      </c>
      <c r="F12" s="188"/>
      <c r="G12" s="188" t="s">
        <v>13</v>
      </c>
      <c r="H12" s="191" t="s">
        <v>220</v>
      </c>
      <c r="I12" s="210" t="str">
        <f t="shared" si="0"/>
        <v>NA</v>
      </c>
      <c r="J12" s="189">
        <f t="shared" si="2"/>
        <v>203</v>
      </c>
      <c r="K12" s="151"/>
      <c r="L12" s="211" t="str">
        <f t="shared" si="1"/>
        <v>NA</v>
      </c>
      <c r="M12" s="151">
        <v>128976</v>
      </c>
      <c r="N12" s="152" t="s">
        <v>237</v>
      </c>
      <c r="O12" s="157" t="s">
        <v>236</v>
      </c>
      <c r="P12" s="187" t="str">
        <f>IF(D12=Inputs!F$2,Inputs!I$2,IF(D12=Inputs!F$3,Inputs!I$3,IF(D12=Inputs!F$4,Inputs!I$4,IF(D12=Inputs!F$5,Inputs!I$5,"NA"))))</f>
        <v>NA</v>
      </c>
    </row>
    <row r="13" spans="1:16" x14ac:dyDescent="0.25">
      <c r="A13" s="148">
        <v>7</v>
      </c>
      <c r="B13" s="189">
        <f>Inputs!C$2</f>
        <v>6</v>
      </c>
      <c r="C13" s="151"/>
      <c r="D13" s="188"/>
      <c r="E13" s="148">
        <v>60</v>
      </c>
      <c r="F13" s="188"/>
      <c r="G13" s="188"/>
      <c r="H13" s="191"/>
      <c r="I13" s="210" t="str">
        <f t="shared" si="0"/>
        <v>NA</v>
      </c>
      <c r="J13" s="189">
        <f t="shared" si="2"/>
        <v>0</v>
      </c>
      <c r="K13" s="151"/>
      <c r="L13" s="211" t="str">
        <f t="shared" si="1"/>
        <v>NA</v>
      </c>
      <c r="M13" s="151"/>
      <c r="N13" s="152"/>
      <c r="O13" s="157"/>
      <c r="P13" s="187" t="str">
        <f>IF(D13=Inputs!F$2,Inputs!I$2,IF(D13=Inputs!F$3,Inputs!I$3,IF(D13=Inputs!F$4,Inputs!I$4,IF(D13=Inputs!F$5,Inputs!I$5,"NA"))))</f>
        <v>NA</v>
      </c>
    </row>
    <row r="14" spans="1:16" x14ac:dyDescent="0.25">
      <c r="A14" s="148">
        <v>8</v>
      </c>
      <c r="B14" s="189">
        <f>Inputs!C$2</f>
        <v>6</v>
      </c>
      <c r="C14" s="151"/>
      <c r="D14" s="188"/>
      <c r="E14" s="148">
        <v>60</v>
      </c>
      <c r="F14" s="188"/>
      <c r="G14" s="188"/>
      <c r="H14" s="191"/>
      <c r="I14" s="210" t="str">
        <f t="shared" si="0"/>
        <v>NA</v>
      </c>
      <c r="J14" s="189">
        <f t="shared" si="2"/>
        <v>0</v>
      </c>
      <c r="K14" s="151"/>
      <c r="L14" s="211" t="str">
        <f t="shared" si="1"/>
        <v>NA</v>
      </c>
      <c r="M14" s="151"/>
      <c r="N14" s="152"/>
      <c r="O14" s="157"/>
      <c r="P14" s="187" t="str">
        <f>IF(D14=Inputs!F$2,Inputs!I$2,IF(D14=Inputs!F$3,Inputs!I$3,IF(D14=Inputs!F$4,Inputs!I$4,IF(D14=Inputs!F$5,Inputs!I$5,"NA"))))</f>
        <v>NA</v>
      </c>
    </row>
    <row r="15" spans="1:16" x14ac:dyDescent="0.25">
      <c r="A15" s="148">
        <v>9</v>
      </c>
      <c r="B15" s="189">
        <f>Inputs!C$2</f>
        <v>6</v>
      </c>
      <c r="C15" s="151"/>
      <c r="D15" s="188"/>
      <c r="E15" s="148">
        <v>60</v>
      </c>
      <c r="F15" s="188"/>
      <c r="G15" s="188"/>
      <c r="H15" s="191"/>
      <c r="I15" s="210" t="str">
        <f t="shared" si="0"/>
        <v>NA</v>
      </c>
      <c r="J15" s="189">
        <f t="shared" si="2"/>
        <v>0</v>
      </c>
      <c r="K15" s="151"/>
      <c r="L15" s="211" t="str">
        <f t="shared" si="1"/>
        <v>NA</v>
      </c>
      <c r="M15" s="151"/>
      <c r="N15" s="152"/>
      <c r="O15" s="157"/>
      <c r="P15" s="187" t="str">
        <f>IF(D15=Inputs!F$2,Inputs!I$2,IF(D15=Inputs!F$3,Inputs!I$3,IF(D15=Inputs!F$4,Inputs!I$4,IF(D15=Inputs!F$5,Inputs!I$5,"NA"))))</f>
        <v>NA</v>
      </c>
    </row>
    <row r="16" spans="1:16" x14ac:dyDescent="0.25">
      <c r="A16" s="148">
        <v>10</v>
      </c>
      <c r="B16" s="189">
        <f>Inputs!C$2</f>
        <v>6</v>
      </c>
      <c r="C16" s="151"/>
      <c r="D16" s="188"/>
      <c r="E16" s="148">
        <v>60</v>
      </c>
      <c r="F16" s="188"/>
      <c r="G16" s="188"/>
      <c r="H16" s="191"/>
      <c r="I16" s="210" t="str">
        <f t="shared" si="0"/>
        <v>NA</v>
      </c>
      <c r="J16" s="189">
        <f t="shared" si="2"/>
        <v>0</v>
      </c>
      <c r="K16" s="151"/>
      <c r="L16" s="211" t="str">
        <f t="shared" si="1"/>
        <v>NA</v>
      </c>
      <c r="M16" s="151"/>
      <c r="N16" s="152"/>
      <c r="O16" s="157"/>
      <c r="P16" s="187" t="str">
        <f>IF(D16=Inputs!F$2,Inputs!I$2,IF(D16=Inputs!F$3,Inputs!I$3,IF(D16=Inputs!F$4,Inputs!I$4,IF(D16=Inputs!F$5,Inputs!I$5,"NA"))))</f>
        <v>NA</v>
      </c>
    </row>
    <row r="17" spans="1:16" x14ac:dyDescent="0.25">
      <c r="A17" s="148">
        <v>11</v>
      </c>
      <c r="B17" s="189">
        <f>Inputs!C$2</f>
        <v>6</v>
      </c>
      <c r="C17" s="151"/>
      <c r="D17" s="188"/>
      <c r="E17" s="148">
        <v>60</v>
      </c>
      <c r="F17" s="188"/>
      <c r="G17" s="188"/>
      <c r="H17" s="191"/>
      <c r="I17" s="210" t="str">
        <f t="shared" si="0"/>
        <v>NA</v>
      </c>
      <c r="J17" s="189">
        <f t="shared" si="2"/>
        <v>0</v>
      </c>
      <c r="K17" s="151"/>
      <c r="L17" s="211" t="str">
        <f t="shared" si="1"/>
        <v>NA</v>
      </c>
      <c r="M17" s="151"/>
      <c r="N17" s="152"/>
      <c r="O17" s="157"/>
      <c r="P17" s="187" t="str">
        <f>IF(D17=Inputs!F$2,Inputs!I$2,IF(D17=Inputs!F$3,Inputs!I$3,IF(D17=Inputs!F$4,Inputs!I$4,IF(D17=Inputs!F$5,Inputs!I$5,"NA"))))</f>
        <v>NA</v>
      </c>
    </row>
    <row r="18" spans="1:16" x14ac:dyDescent="0.25">
      <c r="A18" s="148">
        <v>12</v>
      </c>
      <c r="B18" s="189">
        <f>Inputs!C$2</f>
        <v>6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IF(D18=Inputs!F$2,Inputs!I$2,IF(D18=Inputs!F$3,Inputs!I$3,IF(D18=Inputs!F$4,Inputs!I$4,IF(D18=Inputs!F$5,Inputs!I$5,"NA"))))</f>
        <v>NA</v>
      </c>
    </row>
    <row r="19" spans="1:16" x14ac:dyDescent="0.25">
      <c r="A19" s="148">
        <v>13</v>
      </c>
      <c r="B19" s="189">
        <f>Inputs!C$2</f>
        <v>6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IF(D19=Inputs!F$2,Inputs!I$2,IF(D19=Inputs!F$3,Inputs!I$3,IF(D19=Inputs!F$4,Inputs!I$4,IF(D19=Inputs!F$5,Inputs!I$5,"NA"))))</f>
        <v>NA</v>
      </c>
    </row>
    <row r="20" spans="1:16" x14ac:dyDescent="0.25">
      <c r="A20" s="148">
        <v>14</v>
      </c>
      <c r="B20" s="189">
        <f>Inputs!C$2</f>
        <v>6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IF(D20=Inputs!F$2,Inputs!I$2,IF(D20=Inputs!F$3,Inputs!I$3,IF(D20=Inputs!F$4,Inputs!I$4,IF(D20=Inputs!F$5,Inputs!I$5,"NA"))))</f>
        <v>NA</v>
      </c>
    </row>
    <row r="21" spans="1:16" x14ac:dyDescent="0.25">
      <c r="A21" s="148">
        <v>15</v>
      </c>
      <c r="B21" s="189">
        <f>Inputs!C$2</f>
        <v>6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IF(D21=Inputs!F$2,Inputs!I$2,IF(D21=Inputs!F$3,Inputs!I$3,IF(D21=Inputs!F$4,Inputs!I$4,IF(D21=Inputs!F$5,Inputs!I$5,"NA"))))</f>
        <v>NA</v>
      </c>
    </row>
    <row r="22" spans="1:16" x14ac:dyDescent="0.25">
      <c r="A22" s="148">
        <v>16</v>
      </c>
      <c r="B22" s="189">
        <f>Inputs!C$2</f>
        <v>6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 x14ac:dyDescent="0.25">
      <c r="A23" s="148">
        <v>17</v>
      </c>
      <c r="B23" s="189">
        <f>Inputs!C$2</f>
        <v>6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6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6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6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6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6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6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6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6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6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6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6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6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6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6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6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6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6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6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6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6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6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6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6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6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6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6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6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6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6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6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6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6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6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6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6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6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6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6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6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6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6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6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6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6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6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6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6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6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6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6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6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6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6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6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6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6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6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6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6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B6" sqref="B6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6</v>
      </c>
      <c r="F2" s="166" t="s">
        <v>183</v>
      </c>
      <c r="G2" s="186">
        <v>45264</v>
      </c>
      <c r="I2" s="205">
        <f>(C$3-G2)/7</f>
        <v>61.892857142857146</v>
      </c>
      <c r="J2" s="230">
        <f>I2-19</f>
        <v>42.892857142857146</v>
      </c>
      <c r="K2" s="166" t="s">
        <v>220</v>
      </c>
      <c r="L2">
        <v>203</v>
      </c>
    </row>
    <row r="3" spans="1:12" x14ac:dyDescent="0.2">
      <c r="B3" s="170" t="s">
        <v>210</v>
      </c>
      <c r="C3" s="245">
        <f>C2*7+(C1-1900)*365.25-1</f>
        <v>45697.25</v>
      </c>
      <c r="D3" s="246"/>
      <c r="F3" s="166" t="s">
        <v>7</v>
      </c>
      <c r="G3" s="186">
        <v>45390</v>
      </c>
      <c r="I3" s="205">
        <f>(C$3-G3)/7</f>
        <v>43.892857142857146</v>
      </c>
      <c r="J3" s="230">
        <f>I3-19</f>
        <v>24.892857142857146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45208</v>
      </c>
      <c r="I4" s="205">
        <f>(C$3-G4)/7</f>
        <v>69.892857142857139</v>
      </c>
      <c r="J4" s="230">
        <f>I4-19</f>
        <v>50.892857142857139</v>
      </c>
    </row>
    <row r="5" spans="1:12" x14ac:dyDescent="0.2">
      <c r="A5" s="166" t="s">
        <v>223</v>
      </c>
      <c r="B5" s="247" t="s">
        <v>238</v>
      </c>
      <c r="C5" s="247"/>
      <c r="F5" s="166" t="s">
        <v>5</v>
      </c>
      <c r="G5" s="186">
        <v>45449</v>
      </c>
      <c r="I5" s="205">
        <f>(C$3-G5)/7</f>
        <v>35.464285714285715</v>
      </c>
      <c r="J5" s="230">
        <f>I5-19</f>
        <v>16.464285714285715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168">
        <v>103</v>
      </c>
      <c r="C10" s="168">
        <v>10</v>
      </c>
      <c r="E10" s="139">
        <v>3</v>
      </c>
      <c r="F10" s="168">
        <v>110</v>
      </c>
      <c r="G10" s="168">
        <v>14</v>
      </c>
    </row>
    <row r="11" spans="1:12" x14ac:dyDescent="0.2">
      <c r="A11" s="139">
        <v>6</v>
      </c>
      <c r="B11" s="168">
        <v>216</v>
      </c>
      <c r="C11" s="165"/>
      <c r="E11" s="139">
        <v>6</v>
      </c>
      <c r="F11" s="168">
        <v>223</v>
      </c>
      <c r="G11" s="165"/>
    </row>
    <row r="12" spans="1:12" x14ac:dyDescent="0.2">
      <c r="A12" s="139">
        <v>7</v>
      </c>
      <c r="B12" s="168">
        <v>165</v>
      </c>
      <c r="C12" s="168">
        <v>19</v>
      </c>
      <c r="E12" s="139">
        <v>7</v>
      </c>
      <c r="F12" s="168">
        <v>182</v>
      </c>
      <c r="G12" s="168">
        <v>20</v>
      </c>
    </row>
    <row r="13" spans="1:12" x14ac:dyDescent="0.2">
      <c r="A13" s="139">
        <v>11</v>
      </c>
      <c r="B13" s="168">
        <v>105</v>
      </c>
      <c r="C13" s="165"/>
      <c r="E13" s="139">
        <v>11</v>
      </c>
      <c r="F13" s="168">
        <v>115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108</v>
      </c>
      <c r="C16" s="168">
        <v>11</v>
      </c>
      <c r="E16" s="139">
        <v>3</v>
      </c>
      <c r="F16" s="168">
        <v>107</v>
      </c>
      <c r="G16" s="168">
        <v>11</v>
      </c>
    </row>
    <row r="17" spans="1:11" x14ac:dyDescent="0.2">
      <c r="A17" s="139">
        <v>6</v>
      </c>
      <c r="B17" s="168">
        <v>234</v>
      </c>
      <c r="C17" s="165"/>
      <c r="E17" s="139">
        <v>6</v>
      </c>
      <c r="F17" s="168">
        <v>219</v>
      </c>
      <c r="G17" s="165"/>
    </row>
    <row r="18" spans="1:11" x14ac:dyDescent="0.2">
      <c r="A18" s="139">
        <v>7</v>
      </c>
      <c r="B18" s="168">
        <v>197</v>
      </c>
      <c r="C18" s="168">
        <v>21</v>
      </c>
      <c r="E18" s="139">
        <v>7</v>
      </c>
      <c r="F18" s="168">
        <v>184</v>
      </c>
      <c r="G18" s="168">
        <v>20</v>
      </c>
    </row>
    <row r="19" spans="1:11" x14ac:dyDescent="0.2">
      <c r="A19" s="139">
        <v>11</v>
      </c>
      <c r="B19" s="168">
        <v>116</v>
      </c>
      <c r="C19" s="165"/>
      <c r="E19" s="139">
        <v>11</v>
      </c>
      <c r="F19" s="168">
        <v>114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108</v>
      </c>
      <c r="C23" s="168">
        <v>11</v>
      </c>
      <c r="E23" s="139">
        <v>3</v>
      </c>
      <c r="F23" s="168">
        <v>107</v>
      </c>
      <c r="G23" s="168">
        <v>11</v>
      </c>
    </row>
    <row r="24" spans="1:11" x14ac:dyDescent="0.2">
      <c r="A24" s="139">
        <v>6</v>
      </c>
      <c r="B24" s="168">
        <v>220</v>
      </c>
      <c r="C24" s="165"/>
      <c r="E24" s="139">
        <v>6</v>
      </c>
      <c r="F24" s="168">
        <v>219</v>
      </c>
      <c r="G24" s="165"/>
    </row>
    <row r="25" spans="1:11" x14ac:dyDescent="0.2">
      <c r="A25" s="139">
        <v>7</v>
      </c>
      <c r="B25" s="168">
        <v>183</v>
      </c>
      <c r="C25" s="168">
        <v>20</v>
      </c>
      <c r="E25" s="139">
        <v>7</v>
      </c>
      <c r="F25" s="168">
        <v>176</v>
      </c>
      <c r="G25" s="168">
        <v>20</v>
      </c>
    </row>
    <row r="26" spans="1:11" x14ac:dyDescent="0.2">
      <c r="A26" s="139">
        <v>11</v>
      </c>
      <c r="B26" s="168">
        <v>112</v>
      </c>
      <c r="C26" s="165"/>
      <c r="E26" s="139">
        <v>11</v>
      </c>
      <c r="F26" s="168">
        <v>111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107</v>
      </c>
      <c r="C29" s="168">
        <v>10</v>
      </c>
      <c r="E29" s="139">
        <v>3</v>
      </c>
      <c r="F29" s="203">
        <f t="shared" ref="F29:G32" si="0">B10+F10+B16+F16+B23+F23+B29</f>
        <v>750</v>
      </c>
      <c r="G29" s="203">
        <f t="shared" si="0"/>
        <v>78</v>
      </c>
      <c r="I29" s="139">
        <v>3</v>
      </c>
      <c r="J29" s="203">
        <f t="shared" ref="J29:K31" si="1">F29*15</f>
        <v>11250</v>
      </c>
      <c r="K29" s="203">
        <f t="shared" si="1"/>
        <v>1170</v>
      </c>
    </row>
    <row r="30" spans="1:11" x14ac:dyDescent="0.2">
      <c r="A30" s="139">
        <v>6</v>
      </c>
      <c r="B30" s="168">
        <v>220</v>
      </c>
      <c r="C30" s="165"/>
      <c r="E30" s="139">
        <v>6</v>
      </c>
      <c r="F30" s="203">
        <f t="shared" si="0"/>
        <v>1551</v>
      </c>
      <c r="G30" s="204">
        <f t="shared" si="0"/>
        <v>0</v>
      </c>
      <c r="I30" s="139">
        <v>6</v>
      </c>
      <c r="J30" s="203">
        <f t="shared" si="1"/>
        <v>23265</v>
      </c>
      <c r="K30" s="204">
        <f t="shared" si="1"/>
        <v>0</v>
      </c>
    </row>
    <row r="31" spans="1:11" x14ac:dyDescent="0.2">
      <c r="A31" s="139">
        <v>7</v>
      </c>
      <c r="B31" s="168">
        <v>184</v>
      </c>
      <c r="C31" s="168">
        <v>20</v>
      </c>
      <c r="E31" s="139">
        <v>7</v>
      </c>
      <c r="F31" s="203">
        <f t="shared" si="0"/>
        <v>1271</v>
      </c>
      <c r="G31" s="203">
        <f t="shared" si="0"/>
        <v>140</v>
      </c>
      <c r="I31" s="139">
        <v>7</v>
      </c>
      <c r="J31" s="203">
        <f t="shared" si="1"/>
        <v>19065</v>
      </c>
      <c r="K31" s="203">
        <f t="shared" si="1"/>
        <v>2100</v>
      </c>
    </row>
    <row r="32" spans="1:11" x14ac:dyDescent="0.2">
      <c r="A32" s="139">
        <v>11</v>
      </c>
      <c r="B32" s="168">
        <v>112</v>
      </c>
      <c r="C32" s="165"/>
      <c r="E32" s="139">
        <v>11</v>
      </c>
      <c r="F32" s="203">
        <f t="shared" si="0"/>
        <v>785</v>
      </c>
      <c r="G32" s="204">
        <f t="shared" si="0"/>
        <v>0</v>
      </c>
      <c r="I32" s="139">
        <v>11</v>
      </c>
      <c r="J32" s="203">
        <f>F32*15</f>
        <v>11775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4" t="s">
        <v>224</v>
      </c>
      <c r="H35" s="244"/>
      <c r="I35" s="225">
        <v>40</v>
      </c>
    </row>
    <row r="36" spans="1:9" x14ac:dyDescent="0.2">
      <c r="A36" s="172" t="s">
        <v>107</v>
      </c>
      <c r="B36" s="201">
        <f>B37+B38</f>
        <v>0.45699999999999996</v>
      </c>
      <c r="C36" s="201">
        <f>C37+C38</f>
        <v>0.33599999999999997</v>
      </c>
      <c r="D36" s="201">
        <f>D37+D38</f>
        <v>0.39200000000000002</v>
      </c>
      <c r="E36" s="201">
        <f>E37+E38</f>
        <v>0.28400000000000003</v>
      </c>
      <c r="G36" s="244" t="s">
        <v>225</v>
      </c>
      <c r="H36" s="244"/>
      <c r="I36" s="225">
        <v>80</v>
      </c>
    </row>
    <row r="37" spans="1:9" x14ac:dyDescent="0.2">
      <c r="A37" s="172" t="s">
        <v>200</v>
      </c>
      <c r="B37" s="173">
        <v>0.10199999999999999</v>
      </c>
      <c r="C37" s="236">
        <v>3.5000000000000003E-2</v>
      </c>
      <c r="D37" s="173">
        <v>0.06</v>
      </c>
      <c r="E37" s="173">
        <v>2.5000000000000001E-2</v>
      </c>
      <c r="G37" s="244" t="s">
        <v>226</v>
      </c>
      <c r="H37" s="244"/>
      <c r="I37" s="225">
        <v>0</v>
      </c>
    </row>
    <row r="38" spans="1:9" x14ac:dyDescent="0.2">
      <c r="A38" s="172" t="s">
        <v>201</v>
      </c>
      <c r="B38" s="173">
        <v>0.35499999999999998</v>
      </c>
      <c r="C38" s="173">
        <v>0.30099999999999999</v>
      </c>
      <c r="D38" s="173">
        <v>0.33200000000000002</v>
      </c>
      <c r="E38" s="173">
        <v>0.25900000000000001</v>
      </c>
      <c r="G38" s="244" t="s">
        <v>227</v>
      </c>
      <c r="H38" s="244"/>
      <c r="I38" s="225">
        <v>180</v>
      </c>
    </row>
    <row r="39" spans="1:9" x14ac:dyDescent="0.2">
      <c r="A39" s="172" t="s">
        <v>202</v>
      </c>
      <c r="B39" s="173">
        <v>0.48699999999999999</v>
      </c>
      <c r="C39" s="173">
        <v>0.623</v>
      </c>
      <c r="D39" s="173">
        <v>0.56200000000000006</v>
      </c>
      <c r="E39" s="173">
        <v>0.66900000000000004</v>
      </c>
      <c r="G39" s="244" t="s">
        <v>228</v>
      </c>
      <c r="H39" s="244"/>
      <c r="I39" s="225">
        <v>0</v>
      </c>
    </row>
    <row r="40" spans="1:9" x14ac:dyDescent="0.2">
      <c r="A40" s="172" t="s">
        <v>203</v>
      </c>
      <c r="B40" s="173">
        <v>4.2999999999999997E-2</v>
      </c>
      <c r="C40" s="173">
        <v>3.3000000000000002E-2</v>
      </c>
      <c r="D40" s="173">
        <v>3.4000000000000002E-2</v>
      </c>
      <c r="E40" s="173">
        <v>3.7999999999999999E-2</v>
      </c>
      <c r="G40" s="244" t="s">
        <v>229</v>
      </c>
      <c r="H40" s="244"/>
      <c r="I40" s="225">
        <v>0</v>
      </c>
    </row>
    <row r="41" spans="1:9" x14ac:dyDescent="0.2">
      <c r="A41" s="172" t="s">
        <v>212</v>
      </c>
      <c r="B41" s="173">
        <v>1E-3</v>
      </c>
      <c r="C41" s="173">
        <v>0</v>
      </c>
      <c r="D41" s="173">
        <v>0</v>
      </c>
      <c r="E41" s="173">
        <v>0</v>
      </c>
      <c r="G41" s="244" t="s">
        <v>231</v>
      </c>
      <c r="H41" s="244"/>
      <c r="I41" s="225">
        <v>60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1.2E-2</v>
      </c>
      <c r="C43" s="202">
        <f>SUM(C47:C50)</f>
        <v>8.0000000000000002E-3</v>
      </c>
      <c r="D43" s="202">
        <f>SUM(D47:D50)</f>
        <v>1.2E-2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64.25</v>
      </c>
      <c r="C44" s="232">
        <v>62.12</v>
      </c>
      <c r="D44" s="232">
        <v>63.92</v>
      </c>
      <c r="E44" s="232">
        <v>62.87</v>
      </c>
    </row>
    <row r="45" spans="1:9" x14ac:dyDescent="0.2">
      <c r="A45" s="233" t="s">
        <v>234</v>
      </c>
      <c r="B45" s="231">
        <f>J29+K29</f>
        <v>12420</v>
      </c>
      <c r="C45" s="231">
        <f>J30</f>
        <v>23265</v>
      </c>
      <c r="D45" s="231">
        <f>J31</f>
        <v>19065</v>
      </c>
      <c r="E45" s="231">
        <f>J32</f>
        <v>11775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3.0000000000000001E-3</v>
      </c>
      <c r="C47" s="173">
        <v>1E-3</v>
      </c>
      <c r="D47" s="173">
        <v>3.0000000000000001E-3</v>
      </c>
      <c r="E47" s="173">
        <v>1E-3</v>
      </c>
    </row>
    <row r="48" spans="1:9" x14ac:dyDescent="0.2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3.0000000000000001E-3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2025-02-10T19:28:50Z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