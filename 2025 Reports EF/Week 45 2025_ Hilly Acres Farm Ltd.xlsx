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m\Desktop\2023 Reports\2024 Reports\Reports\2025 Reports EF\"/>
    </mc:Choice>
  </mc:AlternateContent>
  <xr:revisionPtr revIDLastSave="0" documentId="13_ncr:1_{7F0400AE-9C01-4A74-AA97-C7771F23C59C}" xr6:coauthVersionLast="47" xr6:coauthVersionMax="47" xr10:uidLastSave="{00000000-0000-0000-0000-000000000000}"/>
  <bookViews>
    <workbookView xWindow="-120" yWindow="-120" windowWidth="29040" windowHeight="15720" tabRatio="500" activeTab="5" xr2:uid="{00000000-000D-0000-FFFF-FFFF00000000}"/>
  </bookViews>
  <sheets>
    <sheet name="Hilly Acres Farm Ltd." sheetId="2" r:id="rId1"/>
    <sheet name="Declaration Summary" sheetId="4" r:id="rId2"/>
    <sheet name="Grade out Information" sheetId="5" r:id="rId3"/>
    <sheet name="Bird Inventory" sheetId="3" r:id="rId4"/>
    <sheet name="Pallet Information" sheetId="6" r:id="rId5"/>
    <sheet name="Inputs" sheetId="8" r:id="rId6"/>
    <sheet name="Procedures" sheetId="7" r:id="rId7"/>
    <sheet name="Producer Number" sheetId="1" r:id="rId8"/>
  </sheets>
  <definedNames>
    <definedName name="_xlnm.Print_Area" localSheetId="6">Procedures!$A$1:$O$41</definedName>
  </definedNames>
  <calcPr calcId="181029"/>
</workbook>
</file>

<file path=xl/calcChain.xml><?xml version="1.0" encoding="utf-8"?>
<calcChain xmlns="http://schemas.openxmlformats.org/spreadsheetml/2006/main">
  <c r="E11" i="5" l="1"/>
  <c r="J7" i="6"/>
  <c r="I71" i="6"/>
  <c r="I30" i="6"/>
  <c r="I38" i="6"/>
  <c r="L38" i="6" s="1"/>
  <c r="I39" i="6"/>
  <c r="I40" i="6"/>
  <c r="I41" i="6"/>
  <c r="I42" i="6"/>
  <c r="I43" i="6"/>
  <c r="I44" i="6"/>
  <c r="I45" i="6"/>
  <c r="I46" i="6"/>
  <c r="I47" i="6"/>
  <c r="I48" i="6"/>
  <c r="I49" i="6"/>
  <c r="I50" i="6"/>
  <c r="I51" i="6"/>
  <c r="I52" i="6"/>
  <c r="I53" i="6"/>
  <c r="I54" i="6"/>
  <c r="I55" i="6"/>
  <c r="I56" i="6"/>
  <c r="I57" i="6"/>
  <c r="I58" i="6"/>
  <c r="I59" i="6"/>
  <c r="I60" i="6"/>
  <c r="I61" i="6"/>
  <c r="I62" i="6"/>
  <c r="I63" i="6"/>
  <c r="I64" i="6"/>
  <c r="I65" i="6"/>
  <c r="I66" i="6"/>
  <c r="I67" i="6"/>
  <c r="I68" i="6"/>
  <c r="I69" i="6"/>
  <c r="I70" i="6"/>
  <c r="I72" i="6"/>
  <c r="I73" i="6"/>
  <c r="I74" i="6"/>
  <c r="I78" i="6"/>
  <c r="G11" i="5"/>
  <c r="H11" i="5" s="1"/>
  <c r="P39" i="6"/>
  <c r="P40" i="6"/>
  <c r="P41" i="6"/>
  <c r="P42" i="6"/>
  <c r="P43" i="6"/>
  <c r="P44" i="6"/>
  <c r="P45" i="6"/>
  <c r="P46" i="6"/>
  <c r="P47" i="6"/>
  <c r="P48" i="6"/>
  <c r="P49" i="6"/>
  <c r="P50" i="6"/>
  <c r="P51" i="6"/>
  <c r="P52" i="6"/>
  <c r="P53" i="6"/>
  <c r="P54" i="6"/>
  <c r="P55" i="6"/>
  <c r="P56" i="6"/>
  <c r="P57" i="6"/>
  <c r="P58" i="6"/>
  <c r="P59" i="6"/>
  <c r="P60" i="6"/>
  <c r="P61" i="6"/>
  <c r="P62" i="6"/>
  <c r="P63" i="6"/>
  <c r="P64" i="6"/>
  <c r="P65" i="6"/>
  <c r="P66" i="6"/>
  <c r="P67" i="6"/>
  <c r="P68" i="6"/>
  <c r="P69" i="6"/>
  <c r="P70" i="6"/>
  <c r="P71" i="6"/>
  <c r="P72" i="6"/>
  <c r="P73" i="6"/>
  <c r="P74" i="6"/>
  <c r="P75" i="6"/>
  <c r="P76" i="6"/>
  <c r="P77" i="6"/>
  <c r="P78" i="6"/>
  <c r="P79" i="6"/>
  <c r="P80" i="6"/>
  <c r="P81" i="6"/>
  <c r="P82" i="6"/>
  <c r="L39" i="6"/>
  <c r="L40" i="6"/>
  <c r="L41" i="6"/>
  <c r="L42" i="6"/>
  <c r="L43" i="6"/>
  <c r="L44" i="6"/>
  <c r="L45" i="6"/>
  <c r="L46" i="6"/>
  <c r="L47" i="6"/>
  <c r="L48" i="6"/>
  <c r="L49" i="6"/>
  <c r="L50" i="6"/>
  <c r="L51" i="6"/>
  <c r="L52" i="6"/>
  <c r="L53" i="6"/>
  <c r="L54" i="6"/>
  <c r="L55" i="6"/>
  <c r="L56" i="6"/>
  <c r="L57" i="6"/>
  <c r="L58" i="6"/>
  <c r="L59" i="6"/>
  <c r="L60" i="6"/>
  <c r="L61" i="6"/>
  <c r="L62" i="6"/>
  <c r="L63" i="6"/>
  <c r="L64" i="6"/>
  <c r="L65" i="6"/>
  <c r="L66" i="6"/>
  <c r="L67" i="6"/>
  <c r="L68" i="6"/>
  <c r="L69" i="6"/>
  <c r="L70" i="6"/>
  <c r="L71" i="6"/>
  <c r="L72" i="6"/>
  <c r="L73" i="6"/>
  <c r="L74" i="6"/>
  <c r="L75" i="6"/>
  <c r="L76" i="6"/>
  <c r="L77" i="6"/>
  <c r="L78" i="6"/>
  <c r="L79" i="6"/>
  <c r="L80" i="6"/>
  <c r="L81" i="6"/>
  <c r="L82" i="6"/>
  <c r="I75" i="6"/>
  <c r="I76" i="6"/>
  <c r="I77" i="6"/>
  <c r="I79" i="6"/>
  <c r="I80" i="6"/>
  <c r="I81" i="6"/>
  <c r="I82" i="6"/>
  <c r="J10" i="6"/>
  <c r="I10" i="6" s="1"/>
  <c r="L10" i="6" s="1"/>
  <c r="J9" i="6"/>
  <c r="I9" i="6" s="1"/>
  <c r="L9" i="6" s="1"/>
  <c r="J11" i="6"/>
  <c r="I11" i="6" s="1"/>
  <c r="J12" i="6"/>
  <c r="I12" i="6" s="1"/>
  <c r="L12" i="6" s="1"/>
  <c r="J13" i="6"/>
  <c r="I13" i="6" s="1"/>
  <c r="L13" i="6" s="1"/>
  <c r="J14" i="6"/>
  <c r="I14" i="6" s="1"/>
  <c r="L14" i="6" s="1"/>
  <c r="J15" i="6"/>
  <c r="I15" i="6" s="1"/>
  <c r="J16" i="6"/>
  <c r="I16" i="6" s="1"/>
  <c r="J17" i="6"/>
  <c r="I17" i="6" s="1"/>
  <c r="J18" i="6"/>
  <c r="J19" i="6"/>
  <c r="I19" i="6" s="1"/>
  <c r="J20" i="6"/>
  <c r="I20" i="6" s="1"/>
  <c r="J21" i="6"/>
  <c r="I21" i="6" s="1"/>
  <c r="J22" i="6"/>
  <c r="I22" i="6" s="1"/>
  <c r="J23" i="6"/>
  <c r="I23" i="6" s="1"/>
  <c r="L23" i="6" s="1"/>
  <c r="J24" i="6"/>
  <c r="I24" i="6" s="1"/>
  <c r="J25" i="6"/>
  <c r="I25" i="6" s="1"/>
  <c r="J26" i="6"/>
  <c r="I26" i="6" s="1"/>
  <c r="J27" i="6"/>
  <c r="I27" i="6" s="1"/>
  <c r="L27" i="6" s="1"/>
  <c r="J28" i="6"/>
  <c r="I28" i="6" s="1"/>
  <c r="L28" i="6" s="1"/>
  <c r="J29" i="6"/>
  <c r="I29" i="6" s="1"/>
  <c r="L29" i="6" s="1"/>
  <c r="J30" i="6"/>
  <c r="J31" i="6"/>
  <c r="I31" i="6" s="1"/>
  <c r="J32" i="6"/>
  <c r="I32" i="6" s="1"/>
  <c r="J33" i="6"/>
  <c r="I33" i="6" s="1"/>
  <c r="L33" i="6" s="1"/>
  <c r="J34" i="6"/>
  <c r="I34" i="6" s="1"/>
  <c r="L34" i="6" s="1"/>
  <c r="J35" i="6"/>
  <c r="I35" i="6" s="1"/>
  <c r="L35" i="6" s="1"/>
  <c r="J36" i="6"/>
  <c r="I36" i="6" s="1"/>
  <c r="L36" i="6" s="1"/>
  <c r="J37" i="6"/>
  <c r="I37" i="6" s="1"/>
  <c r="L37" i="6" s="1"/>
  <c r="J38" i="6"/>
  <c r="J39" i="6"/>
  <c r="J40" i="6"/>
  <c r="J41" i="6"/>
  <c r="J42" i="6"/>
  <c r="J43" i="6"/>
  <c r="J44" i="6"/>
  <c r="J45" i="6"/>
  <c r="J46" i="6"/>
  <c r="J47" i="6"/>
  <c r="J48" i="6"/>
  <c r="J49" i="6"/>
  <c r="J50" i="6"/>
  <c r="J51" i="6"/>
  <c r="J52" i="6"/>
  <c r="J53" i="6"/>
  <c r="J54" i="6"/>
  <c r="J55" i="6"/>
  <c r="J56" i="6"/>
  <c r="J57" i="6"/>
  <c r="J58" i="6"/>
  <c r="J59" i="6"/>
  <c r="J60" i="6"/>
  <c r="J61" i="6"/>
  <c r="J62" i="6"/>
  <c r="J63" i="6"/>
  <c r="J64" i="6"/>
  <c r="J65" i="6"/>
  <c r="J66" i="6"/>
  <c r="J67" i="6"/>
  <c r="J68" i="6"/>
  <c r="J69" i="6"/>
  <c r="J70" i="6"/>
  <c r="J71" i="6"/>
  <c r="J72" i="6"/>
  <c r="J73" i="6"/>
  <c r="J74" i="6"/>
  <c r="J75" i="6"/>
  <c r="J76" i="6"/>
  <c r="J77" i="6"/>
  <c r="J78" i="6"/>
  <c r="J79" i="6"/>
  <c r="J80" i="6"/>
  <c r="J81" i="6"/>
  <c r="J82" i="6"/>
  <c r="J8" i="6"/>
  <c r="I8" i="6" s="1"/>
  <c r="L8" i="6" s="1"/>
  <c r="I7" i="6"/>
  <c r="L7" i="6" s="1"/>
  <c r="G1" i="2"/>
  <c r="C3" i="8"/>
  <c r="I3" i="8" s="1"/>
  <c r="J3" i="8" s="1"/>
  <c r="P36" i="2"/>
  <c r="B43" i="8"/>
  <c r="W15" i="5" s="1"/>
  <c r="C43" i="8"/>
  <c r="W17" i="5" s="1"/>
  <c r="E43" i="8"/>
  <c r="W23" i="5" s="1"/>
  <c r="D43" i="8"/>
  <c r="W20" i="5" s="1"/>
  <c r="E9" i="4"/>
  <c r="Z23" i="5"/>
  <c r="X23" i="5" s="1"/>
  <c r="Z18" i="5"/>
  <c r="X18" i="5" s="1"/>
  <c r="Z17" i="5"/>
  <c r="X17" i="5" s="1"/>
  <c r="T17" i="5" s="1"/>
  <c r="Z15" i="5"/>
  <c r="X15" i="5" s="1"/>
  <c r="Z21" i="5"/>
  <c r="X21" i="5" s="1"/>
  <c r="T21" i="5" s="1"/>
  <c r="Z20" i="5"/>
  <c r="F6" i="4"/>
  <c r="G12" i="5"/>
  <c r="H12" i="5" s="1"/>
  <c r="S40" i="2"/>
  <c r="R40" i="2"/>
  <c r="Q40" i="2"/>
  <c r="P40" i="2"/>
  <c r="N40" i="2"/>
  <c r="M40" i="2"/>
  <c r="L40" i="2"/>
  <c r="K40" i="2"/>
  <c r="J40" i="2"/>
  <c r="S32" i="2"/>
  <c r="R32" i="2"/>
  <c r="Q32" i="2"/>
  <c r="P32" i="2"/>
  <c r="N32" i="2"/>
  <c r="M32" i="2"/>
  <c r="L32" i="2"/>
  <c r="K32" i="2"/>
  <c r="J32" i="2"/>
  <c r="R28" i="2"/>
  <c r="S28" i="2"/>
  <c r="Q28" i="2"/>
  <c r="P28" i="2"/>
  <c r="N28" i="2"/>
  <c r="M28" i="2"/>
  <c r="L28" i="2"/>
  <c r="K28" i="2"/>
  <c r="J28" i="2"/>
  <c r="S36" i="2"/>
  <c r="R36" i="2"/>
  <c r="Q36" i="2"/>
  <c r="N36" i="2"/>
  <c r="M36" i="2"/>
  <c r="L36" i="2"/>
  <c r="K36" i="2"/>
  <c r="J36" i="2"/>
  <c r="H39" i="2"/>
  <c r="H32" i="2"/>
  <c r="H31" i="2"/>
  <c r="H27" i="2"/>
  <c r="H36" i="2"/>
  <c r="H35" i="2"/>
  <c r="J4" i="6"/>
  <c r="J5" i="6"/>
  <c r="J3" i="6"/>
  <c r="B8" i="6"/>
  <c r="B9" i="6"/>
  <c r="B10" i="6"/>
  <c r="B11" i="6"/>
  <c r="B12" i="6"/>
  <c r="B13" i="6"/>
  <c r="B14" i="6"/>
  <c r="B15" i="6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B32" i="6"/>
  <c r="B33" i="6"/>
  <c r="B34" i="6"/>
  <c r="B35" i="6"/>
  <c r="B36" i="6"/>
  <c r="B37" i="6"/>
  <c r="B38" i="6"/>
  <c r="B39" i="6"/>
  <c r="B40" i="6"/>
  <c r="B41" i="6"/>
  <c r="B42" i="6"/>
  <c r="B43" i="6"/>
  <c r="B44" i="6"/>
  <c r="B45" i="6"/>
  <c r="B46" i="6"/>
  <c r="B47" i="6"/>
  <c r="B48" i="6"/>
  <c r="B49" i="6"/>
  <c r="B50" i="6"/>
  <c r="B51" i="6"/>
  <c r="B52" i="6"/>
  <c r="B53" i="6"/>
  <c r="B54" i="6"/>
  <c r="B55" i="6"/>
  <c r="B56" i="6"/>
  <c r="B57" i="6"/>
  <c r="B58" i="6"/>
  <c r="B59" i="6"/>
  <c r="B60" i="6"/>
  <c r="B61" i="6"/>
  <c r="B62" i="6"/>
  <c r="B63" i="6"/>
  <c r="B64" i="6"/>
  <c r="B65" i="6"/>
  <c r="B66" i="6"/>
  <c r="B67" i="6"/>
  <c r="B68" i="6"/>
  <c r="B69" i="6"/>
  <c r="B70" i="6"/>
  <c r="B71" i="6"/>
  <c r="B72" i="6"/>
  <c r="B73" i="6"/>
  <c r="B74" i="6"/>
  <c r="B75" i="6"/>
  <c r="B76" i="6"/>
  <c r="B77" i="6"/>
  <c r="B78" i="6"/>
  <c r="B79" i="6"/>
  <c r="B80" i="6"/>
  <c r="B81" i="6"/>
  <c r="B82" i="6"/>
  <c r="B7" i="6"/>
  <c r="B3" i="4" l="1"/>
  <c r="L11" i="6"/>
  <c r="L26" i="6"/>
  <c r="I18" i="6"/>
  <c r="L18" i="6" s="1"/>
  <c r="L25" i="6"/>
  <c r="L32" i="6"/>
  <c r="L31" i="6"/>
  <c r="L21" i="6"/>
  <c r="L20" i="6"/>
  <c r="L19" i="6"/>
  <c r="L17" i="6"/>
  <c r="L16" i="6"/>
  <c r="L30" i="6"/>
  <c r="L24" i="6"/>
  <c r="L22" i="6"/>
  <c r="L15" i="6"/>
  <c r="H26" i="5"/>
  <c r="I5" i="8"/>
  <c r="T28" i="2"/>
  <c r="T40" i="2"/>
  <c r="T32" i="2"/>
  <c r="T36" i="2"/>
  <c r="G26" i="5"/>
  <c r="T23" i="5"/>
  <c r="T18" i="5"/>
  <c r="Z26" i="5"/>
  <c r="X20" i="5"/>
  <c r="T15" i="5"/>
  <c r="AC26" i="5" l="1"/>
  <c r="X26" i="5"/>
  <c r="AB26" i="5" s="1"/>
  <c r="T20" i="5"/>
  <c r="T26" i="5" s="1"/>
  <c r="S23" i="5" l="1"/>
  <c r="R23" i="5" s="1"/>
  <c r="Q23" i="5"/>
  <c r="P23" i="5" s="1"/>
  <c r="O23" i="5"/>
  <c r="N23" i="5" s="1"/>
  <c r="M23" i="5"/>
  <c r="L23" i="5" s="1"/>
  <c r="S17" i="5"/>
  <c r="Q17" i="5"/>
  <c r="O17" i="5"/>
  <c r="M17" i="5"/>
  <c r="A8" i="5"/>
  <c r="S15" i="5"/>
  <c r="R15" i="5" s="1"/>
  <c r="Q15" i="5"/>
  <c r="P15" i="5" s="1"/>
  <c r="O15" i="5"/>
  <c r="N15" i="5" s="1"/>
  <c r="M15" i="5"/>
  <c r="L15" i="5" s="1"/>
  <c r="S20" i="5"/>
  <c r="Q20" i="5"/>
  <c r="O20" i="5"/>
  <c r="M20" i="5"/>
  <c r="B36" i="8"/>
  <c r="K15" i="5" s="1"/>
  <c r="J15" i="5" s="1"/>
  <c r="C36" i="8"/>
  <c r="K17" i="5" s="1"/>
  <c r="E36" i="8"/>
  <c r="K23" i="5" s="1"/>
  <c r="J23" i="5" s="1"/>
  <c r="D36" i="8"/>
  <c r="K20" i="5" s="1"/>
  <c r="V15" i="5"/>
  <c r="V23" i="5"/>
  <c r="B52" i="8"/>
  <c r="C52" i="8"/>
  <c r="E52" i="8"/>
  <c r="D52" i="8"/>
  <c r="G32" i="8"/>
  <c r="K32" i="8" s="1"/>
  <c r="G29" i="8"/>
  <c r="K29" i="8" s="1"/>
  <c r="G30" i="8"/>
  <c r="K30" i="8" s="1"/>
  <c r="G31" i="8"/>
  <c r="K31" i="8" s="1"/>
  <c r="F32" i="8"/>
  <c r="J32" i="8" s="1"/>
  <c r="E38" i="2" s="1"/>
  <c r="F30" i="8"/>
  <c r="J30" i="8" s="1"/>
  <c r="C45" i="8" s="1"/>
  <c r="F29" i="8"/>
  <c r="J29" i="8" s="1"/>
  <c r="F31" i="8"/>
  <c r="J31" i="8" s="1"/>
  <c r="D45" i="8" l="1"/>
  <c r="E26" i="2"/>
  <c r="B45" i="8"/>
  <c r="K39" i="2"/>
  <c r="E45" i="8"/>
  <c r="S18" i="5"/>
  <c r="R18" i="5" s="1"/>
  <c r="R17" i="5"/>
  <c r="S21" i="5"/>
  <c r="R21" i="5" s="1"/>
  <c r="R20" i="5"/>
  <c r="E34" i="2"/>
  <c r="I15" i="5"/>
  <c r="I23" i="5"/>
  <c r="W18" i="5"/>
  <c r="V18" i="5" s="1"/>
  <c r="V17" i="5"/>
  <c r="Q21" i="5"/>
  <c r="P21" i="5" s="1"/>
  <c r="P20" i="5"/>
  <c r="Q18" i="5"/>
  <c r="P18" i="5" s="1"/>
  <c r="P17" i="5"/>
  <c r="O18" i="5"/>
  <c r="N18" i="5" s="1"/>
  <c r="N17" i="5"/>
  <c r="M18" i="5"/>
  <c r="L18" i="5" s="1"/>
  <c r="L17" i="5"/>
  <c r="K18" i="5"/>
  <c r="J18" i="5" s="1"/>
  <c r="J17" i="5"/>
  <c r="W21" i="5"/>
  <c r="V21" i="5" s="1"/>
  <c r="V20" i="5"/>
  <c r="O21" i="5"/>
  <c r="N21" i="5" s="1"/>
  <c r="N20" i="5"/>
  <c r="M21" i="5"/>
  <c r="L21" i="5" s="1"/>
  <c r="L20" i="5"/>
  <c r="K21" i="5"/>
  <c r="J21" i="5" s="1"/>
  <c r="Y20" i="5"/>
  <c r="J20" i="5"/>
  <c r="E30" i="2"/>
  <c r="G2" i="2"/>
  <c r="I4" i="8"/>
  <c r="I2" i="8"/>
  <c r="Y23" i="5"/>
  <c r="Y15" i="5"/>
  <c r="P7" i="6" l="1"/>
  <c r="O13" i="2"/>
  <c r="O14" i="2"/>
  <c r="Q31" i="2"/>
  <c r="O11" i="2"/>
  <c r="O10" i="2"/>
  <c r="S27" i="2"/>
  <c r="O7" i="2"/>
  <c r="P38" i="6"/>
  <c r="P37" i="6"/>
  <c r="P33" i="6"/>
  <c r="P36" i="6"/>
  <c r="P34" i="6"/>
  <c r="P35" i="6"/>
  <c r="P31" i="6"/>
  <c r="P32" i="6"/>
  <c r="P27" i="6"/>
  <c r="P26" i="6"/>
  <c r="P13" i="6"/>
  <c r="P22" i="6"/>
  <c r="P30" i="6"/>
  <c r="P23" i="6"/>
  <c r="P29" i="6"/>
  <c r="P28" i="6"/>
  <c r="P24" i="6"/>
  <c r="P25" i="6"/>
  <c r="P9" i="6"/>
  <c r="P17" i="6"/>
  <c r="P21" i="6"/>
  <c r="P14" i="6"/>
  <c r="P19" i="6"/>
  <c r="P10" i="6"/>
  <c r="P11" i="6"/>
  <c r="P12" i="6"/>
  <c r="P16" i="6"/>
  <c r="P20" i="6"/>
  <c r="P8" i="6"/>
  <c r="P18" i="6"/>
  <c r="P15" i="6"/>
  <c r="J2" i="8"/>
  <c r="O27" i="2"/>
  <c r="L39" i="2"/>
  <c r="S39" i="2"/>
  <c r="Q39" i="2"/>
  <c r="R39" i="2"/>
  <c r="O39" i="2"/>
  <c r="M39" i="2"/>
  <c r="J39" i="2"/>
  <c r="M27" i="2"/>
  <c r="R27" i="2"/>
  <c r="J27" i="2"/>
  <c r="N39" i="2"/>
  <c r="P39" i="2"/>
  <c r="P35" i="2"/>
  <c r="P13" i="2"/>
  <c r="N27" i="2"/>
  <c r="P27" i="2"/>
  <c r="K27" i="2"/>
  <c r="Q27" i="2"/>
  <c r="L27" i="2"/>
  <c r="J5" i="8"/>
  <c r="J4" i="8"/>
  <c r="R26" i="5"/>
  <c r="N35" i="2"/>
  <c r="S35" i="2"/>
  <c r="O35" i="2"/>
  <c r="Q35" i="2"/>
  <c r="J35" i="2"/>
  <c r="K35" i="2"/>
  <c r="M35" i="2"/>
  <c r="L35" i="2"/>
  <c r="R35" i="2"/>
  <c r="N26" i="5"/>
  <c r="L26" i="5"/>
  <c r="B31" i="5" s="1"/>
  <c r="P26" i="5"/>
  <c r="I17" i="5"/>
  <c r="I18" i="5"/>
  <c r="V26" i="5"/>
  <c r="Y21" i="5"/>
  <c r="I21" i="5"/>
  <c r="J26" i="5"/>
  <c r="B30" i="5" s="1"/>
  <c r="I20" i="5"/>
  <c r="J31" i="2"/>
  <c r="M31" i="2"/>
  <c r="L31" i="2"/>
  <c r="R31" i="2"/>
  <c r="N31" i="2"/>
  <c r="K31" i="2"/>
  <c r="P31" i="2"/>
  <c r="S31" i="2"/>
  <c r="O31" i="2"/>
  <c r="T39" i="2" l="1"/>
  <c r="V16" i="2"/>
  <c r="T16" i="2"/>
  <c r="R16" i="2"/>
  <c r="P16" i="2"/>
  <c r="O16" i="2"/>
  <c r="U16" i="2"/>
  <c r="S16" i="2"/>
  <c r="Q16" i="2"/>
  <c r="L16" i="2"/>
  <c r="K16" i="2"/>
  <c r="I5" i="6" l="1"/>
  <c r="I4" i="6"/>
  <c r="I3" i="6"/>
  <c r="L3" i="6" s="1"/>
  <c r="AA26" i="5"/>
  <c r="C13" i="4"/>
  <c r="F26" i="5"/>
  <c r="E26" i="5"/>
  <c r="D26" i="5"/>
  <c r="C26" i="5"/>
  <c r="Y18" i="5"/>
  <c r="Y17" i="5"/>
  <c r="F42" i="4"/>
  <c r="D42" i="4"/>
  <c r="C42" i="4"/>
  <c r="B42" i="4"/>
  <c r="E41" i="4"/>
  <c r="G41" i="4" s="1"/>
  <c r="E40" i="4"/>
  <c r="G40" i="4" s="1"/>
  <c r="E39" i="4"/>
  <c r="G39" i="4" s="1"/>
  <c r="G38" i="4"/>
  <c r="E37" i="4"/>
  <c r="G37" i="4" s="1"/>
  <c r="E36" i="4"/>
  <c r="G36" i="4" s="1"/>
  <c r="E35" i="4"/>
  <c r="G35" i="4" s="1"/>
  <c r="E34" i="4"/>
  <c r="G34" i="4" s="1"/>
  <c r="C25" i="4"/>
  <c r="B25" i="4" s="1"/>
  <c r="C24" i="4"/>
  <c r="B24" i="4" s="1"/>
  <c r="C22" i="4"/>
  <c r="B22" i="4" s="1"/>
  <c r="C21" i="4"/>
  <c r="B21" i="4" s="1"/>
  <c r="C19" i="4"/>
  <c r="B19" i="4" s="1"/>
  <c r="C18" i="4"/>
  <c r="C16" i="4"/>
  <c r="B16" i="4" s="1"/>
  <c r="C15" i="4"/>
  <c r="B15" i="4" s="1"/>
  <c r="T27" i="2"/>
  <c r="T31" i="2"/>
  <c r="T35" i="2"/>
  <c r="I19" i="2"/>
  <c r="B13" i="4" l="1"/>
  <c r="C27" i="4"/>
  <c r="S11" i="2"/>
  <c r="S13" i="2"/>
  <c r="S8" i="2"/>
  <c r="L8" i="2"/>
  <c r="T8" i="2"/>
  <c r="R14" i="2"/>
  <c r="T13" i="2"/>
  <c r="G32" i="4"/>
  <c r="G42" i="4" s="1"/>
  <c r="B34" i="5"/>
  <c r="B36" i="5"/>
  <c r="B33" i="5"/>
  <c r="Q14" i="2"/>
  <c r="U14" i="2"/>
  <c r="V13" i="2"/>
  <c r="P14" i="2"/>
  <c r="B32" i="5"/>
  <c r="B35" i="5"/>
  <c r="S10" i="2"/>
  <c r="U8" i="2"/>
  <c r="U7" i="2"/>
  <c r="K11" i="2"/>
  <c r="B18" i="4"/>
  <c r="B27" i="4" l="1"/>
  <c r="B38" i="5"/>
  <c r="T7" i="2"/>
  <c r="S7" i="2"/>
  <c r="L7" i="2"/>
  <c r="Q8" i="2"/>
  <c r="Q7" i="2"/>
  <c r="P8" i="2"/>
  <c r="P7" i="2"/>
  <c r="O8" i="2"/>
  <c r="V7" i="2"/>
  <c r="V8" i="2"/>
  <c r="K8" i="2"/>
  <c r="M8" i="2" s="1"/>
  <c r="K7" i="2"/>
  <c r="V11" i="2"/>
  <c r="V10" i="2"/>
  <c r="U11" i="2"/>
  <c r="U10" i="2"/>
  <c r="R11" i="2"/>
  <c r="R10" i="2"/>
  <c r="Q11" i="2"/>
  <c r="Q10" i="2"/>
  <c r="R13" i="2"/>
  <c r="E42" i="4"/>
  <c r="AD26" i="5"/>
  <c r="M16" i="2"/>
  <c r="T14" i="2"/>
  <c r="N16" i="2"/>
  <c r="S14" i="2"/>
  <c r="Q13" i="2"/>
  <c r="U13" i="2"/>
  <c r="V14" i="2"/>
  <c r="L14" i="2"/>
  <c r="L13" i="2"/>
  <c r="P10" i="2"/>
  <c r="P11" i="2"/>
  <c r="L11" i="2"/>
  <c r="L10" i="2"/>
  <c r="K13" i="2"/>
  <c r="K14" i="2"/>
  <c r="K10" i="2"/>
  <c r="T11" i="2"/>
  <c r="T10" i="2"/>
  <c r="R8" i="2"/>
  <c r="R7" i="2"/>
  <c r="M7" i="2" l="1"/>
  <c r="N7" i="2"/>
  <c r="N8" i="2"/>
  <c r="H8" i="2" s="1"/>
  <c r="J8" i="2" s="1"/>
  <c r="V19" i="2"/>
  <c r="U19" i="2"/>
  <c r="Q19" i="2"/>
  <c r="M10" i="2"/>
  <c r="H16" i="2"/>
  <c r="J16" i="2" s="1"/>
  <c r="T19" i="2"/>
  <c r="N14" i="2"/>
  <c r="S19" i="2"/>
  <c r="P19" i="2"/>
  <c r="L19" i="2"/>
  <c r="M11" i="2"/>
  <c r="M14" i="2"/>
  <c r="K19" i="2"/>
  <c r="M13" i="2"/>
  <c r="R19" i="2"/>
  <c r="N13" i="2"/>
  <c r="O19" i="2"/>
  <c r="N10" i="2"/>
  <c r="N11" i="2"/>
  <c r="H14" i="2" l="1"/>
  <c r="J14" i="2" s="1"/>
  <c r="H13" i="2"/>
  <c r="H7" i="2"/>
  <c r="J7" i="2" s="1"/>
  <c r="H10" i="2"/>
  <c r="J10" i="2" s="1"/>
  <c r="H11" i="2"/>
  <c r="J11" i="2" s="1"/>
  <c r="N19" i="2"/>
  <c r="M19" i="2"/>
  <c r="N21" i="2" l="1"/>
  <c r="J13" i="2"/>
  <c r="J19" i="2" s="1"/>
  <c r="H19" i="2"/>
</calcChain>
</file>

<file path=xl/sharedStrings.xml><?xml version="1.0" encoding="utf-8"?>
<sst xmlns="http://schemas.openxmlformats.org/spreadsheetml/2006/main" count="593" uniqueCount="237">
  <si>
    <t>Producer Number</t>
  </si>
  <si>
    <t>Producer Name</t>
  </si>
  <si>
    <t>7168-C3</t>
  </si>
  <si>
    <t>7168-C10</t>
  </si>
  <si>
    <t>7168-E11</t>
  </si>
  <si>
    <t>7169-E6</t>
  </si>
  <si>
    <t>Graded IP</t>
  </si>
  <si>
    <t>Grades</t>
  </si>
  <si>
    <t>X L</t>
  </si>
  <si>
    <t>LARGE</t>
  </si>
  <si>
    <t>MED</t>
  </si>
  <si>
    <t>SMALL</t>
  </si>
  <si>
    <t>Packaging</t>
  </si>
  <si>
    <t>Packaging weight - 203 (new pallet)</t>
  </si>
  <si>
    <t>Packaging weight- 192 (old pallet)</t>
  </si>
  <si>
    <t>Hilly Acres Farm Ltd.</t>
  </si>
  <si>
    <t>Week #</t>
  </si>
  <si>
    <t>WEEKLY SUMMARY REPORT</t>
  </si>
  <si>
    <t>Week ending</t>
  </si>
  <si>
    <t xml:space="preserve">TOTAL </t>
  </si>
  <si>
    <t>Prod</t>
  </si>
  <si>
    <t>Marketing</t>
  </si>
  <si>
    <t xml:space="preserve">Housing  </t>
  </si>
  <si>
    <t xml:space="preserve"> </t>
  </si>
  <si>
    <t>TOTAL DZ</t>
  </si>
  <si>
    <t>NESTRUN</t>
  </si>
  <si>
    <t>MKTABLE</t>
  </si>
  <si>
    <t>BARN</t>
  </si>
  <si>
    <t>#</t>
  </si>
  <si>
    <t>Type</t>
  </si>
  <si>
    <t>Egg Type</t>
  </si>
  <si>
    <t>Colour</t>
  </si>
  <si>
    <t>RECEIVED</t>
  </si>
  <si>
    <t>DOZEN</t>
  </si>
  <si>
    <t>FOR GRADE</t>
  </si>
  <si>
    <t>REJECTS</t>
  </si>
  <si>
    <t>LOSS</t>
  </si>
  <si>
    <t>REJECTS/LOSS</t>
  </si>
  <si>
    <t>EGGS</t>
  </si>
  <si>
    <t>JUMBO</t>
  </si>
  <si>
    <t>EX LG</t>
  </si>
  <si>
    <t>MEDIUM</t>
  </si>
  <si>
    <t>B GRADE</t>
  </si>
  <si>
    <t>CRACKS</t>
  </si>
  <si>
    <t>PEE WEE</t>
  </si>
  <si>
    <t>RE</t>
  </si>
  <si>
    <t>Regular</t>
  </si>
  <si>
    <t>White</t>
  </si>
  <si>
    <t>Brown</t>
  </si>
  <si>
    <t>Enriched</t>
  </si>
  <si>
    <t>Totals</t>
  </si>
  <si>
    <t xml:space="preserve">**Email this to Lorraine Ryan, IP Office, email address:  lorraine@nsegg.ca </t>
  </si>
  <si>
    <r>
      <rPr>
        <b/>
        <sz val="10"/>
        <rFont val="Arial"/>
        <family val="2"/>
        <charset val="1"/>
      </rPr>
      <t xml:space="preserve">BIRD INVENTORY </t>
    </r>
    <r>
      <rPr>
        <b/>
        <u/>
        <sz val="10"/>
        <rFont val="Arial"/>
        <family val="2"/>
        <charset val="1"/>
      </rPr>
      <t>FOR WEEK</t>
    </r>
  </si>
  <si>
    <r>
      <rPr>
        <b/>
        <sz val="10"/>
        <rFont val="Arial"/>
        <family val="2"/>
        <charset val="1"/>
      </rPr>
      <t xml:space="preserve">TOTAL </t>
    </r>
    <r>
      <rPr>
        <b/>
        <u/>
        <sz val="10"/>
        <rFont val="Arial"/>
        <family val="2"/>
        <charset val="1"/>
      </rPr>
      <t>DOZEN</t>
    </r>
  </si>
  <si>
    <t>Barn 11 total dozen production for the week</t>
  </si>
  <si>
    <t>Barn 6 total dozen production for the week</t>
  </si>
  <si>
    <t xml:space="preserve">Bird Inventory </t>
  </si>
  <si>
    <t>NS IP DECLARATION</t>
  </si>
  <si>
    <t>DATE:</t>
  </si>
  <si>
    <t>TO:</t>
  </si>
  <si>
    <t>Egg Farmers of Nova Scotia</t>
  </si>
  <si>
    <t>PREPARED BY</t>
  </si>
  <si>
    <t>Email:  Lorraine @nsegg.ca</t>
  </si>
  <si>
    <t>FROM:</t>
  </si>
  <si>
    <t>RE:</t>
  </si>
  <si>
    <t>SURPLUS EGGS WEEK #</t>
  </si>
  <si>
    <t>Boxes</t>
  </si>
  <si>
    <t>Dozens</t>
  </si>
  <si>
    <t>Nest Run</t>
  </si>
  <si>
    <t>Graded X Large White</t>
  </si>
  <si>
    <t>Graded X Large Brown</t>
  </si>
  <si>
    <t>Graded Large White</t>
  </si>
  <si>
    <t>Graded Large Brown</t>
  </si>
  <si>
    <t>Graded Medium White</t>
  </si>
  <si>
    <t>Graded Medium Brown</t>
  </si>
  <si>
    <t>Graded Small White</t>
  </si>
  <si>
    <t>Graded Small Brown</t>
  </si>
  <si>
    <t>TOTAL:</t>
  </si>
  <si>
    <t>Left</t>
  </si>
  <si>
    <t>Declared</t>
  </si>
  <si>
    <t>Already</t>
  </si>
  <si>
    <t>Total</t>
  </si>
  <si>
    <t>BOXES</t>
  </si>
  <si>
    <t>on</t>
  </si>
  <si>
    <t>Hand</t>
  </si>
  <si>
    <t>Graded X Large- White</t>
  </si>
  <si>
    <t>Graded X Large- Brown</t>
  </si>
  <si>
    <t>Graded Large- White</t>
  </si>
  <si>
    <t>Graded Large- Brown</t>
  </si>
  <si>
    <t>Graded Medium- White</t>
  </si>
  <si>
    <t>Graded Medium- Brown</t>
  </si>
  <si>
    <t>Graded Small- White</t>
  </si>
  <si>
    <t>Graded Small- Brown</t>
  </si>
  <si>
    <t>IP Breakdown to determine percentages and weights for the various IP Shippers</t>
  </si>
  <si>
    <t>Week</t>
  </si>
  <si>
    <t>Location</t>
  </si>
  <si>
    <t>Graded IP Dozens</t>
  </si>
  <si>
    <t>Graded Total</t>
  </si>
  <si>
    <t xml:space="preserve">Graded Total </t>
  </si>
  <si>
    <t>%  of total</t>
  </si>
  <si>
    <t>J/XL</t>
  </si>
  <si>
    <t>L</t>
  </si>
  <si>
    <t>M</t>
  </si>
  <si>
    <t>S</t>
  </si>
  <si>
    <t>PW</t>
  </si>
  <si>
    <t>B</t>
  </si>
  <si>
    <t>UG</t>
  </si>
  <si>
    <t>NR Total</t>
  </si>
  <si>
    <t>% of total</t>
  </si>
  <si>
    <t>Grand Total</t>
  </si>
  <si>
    <t>XL</t>
  </si>
  <si>
    <t>Graded</t>
  </si>
  <si>
    <t>%</t>
  </si>
  <si>
    <t>NR</t>
  </si>
  <si>
    <t>IP</t>
  </si>
  <si>
    <t>GRADED IP INFORMATION</t>
  </si>
  <si>
    <r>
      <rPr>
        <sz val="10"/>
        <rFont val="Arial"/>
        <family val="2"/>
        <charset val="1"/>
      </rPr>
      <t xml:space="preserve">Graded - </t>
    </r>
    <r>
      <rPr>
        <b/>
        <sz val="10"/>
        <rFont val="Arial"/>
        <family val="2"/>
        <charset val="1"/>
      </rPr>
      <t>White</t>
    </r>
  </si>
  <si>
    <r>
      <rPr>
        <sz val="10"/>
        <rFont val="Arial"/>
        <family val="2"/>
        <charset val="1"/>
      </rPr>
      <t xml:space="preserve">Graded - </t>
    </r>
    <r>
      <rPr>
        <b/>
        <sz val="10"/>
        <rFont val="Arial"/>
        <family val="2"/>
        <charset val="1"/>
      </rPr>
      <t>Brown</t>
    </r>
  </si>
  <si>
    <t>NR GRADE OUT INFORMATION</t>
  </si>
  <si>
    <t>TOTAL</t>
  </si>
  <si>
    <t>NO#</t>
  </si>
  <si>
    <t>WK</t>
  </si>
  <si>
    <t>TAG#</t>
  </si>
  <si>
    <t>QUAN</t>
  </si>
  <si>
    <t>GRADED IP</t>
  </si>
  <si>
    <t>PACK</t>
  </si>
  <si>
    <t>NET</t>
  </si>
  <si>
    <t>GROSS</t>
  </si>
  <si>
    <t>WT</t>
  </si>
  <si>
    <t>IP#</t>
  </si>
  <si>
    <t>SHIP DATE</t>
  </si>
  <si>
    <t>CLR</t>
  </si>
  <si>
    <t>AGE</t>
  </si>
  <si>
    <t>Sample for Grading Station</t>
  </si>
  <si>
    <t>Procedure Information for Tabs</t>
  </si>
  <si>
    <t>Please save the completed workbook by each week number,year_grading station,  I.e. Week 39, 2019_Hilly Acres Farm  Ltd.</t>
  </si>
  <si>
    <t>This tab is for information only.</t>
  </si>
  <si>
    <t>The information is used in the dropdowns on the pallet information tab.</t>
  </si>
  <si>
    <t>Hilly Acres Farm Ltd. (Weekly Summary Report)</t>
  </si>
  <si>
    <t>The reporting under this tab replaces the previous combined weekly marketing reports.</t>
  </si>
  <si>
    <t>You will note the reporting must be entered separately for each laying facility (barn).</t>
  </si>
  <si>
    <t>Enter the week # and week ending date in the yellow highlighted area.</t>
  </si>
  <si>
    <t>Enter the total weekly egg production in dozens from each laying facility (barn) in the green highlighted area</t>
  </si>
  <si>
    <t>Enter the weekly bird inventory number(s) for each laying facility in the orange highlighted area,</t>
  </si>
  <si>
    <t>Enter the individual grade out (by dozens and size) for each laying facility in the blue highlighted area.</t>
  </si>
  <si>
    <t>Once all the highlighted areas have been completed, the formulas will populate the information required in the top section of the report.</t>
  </si>
  <si>
    <r>
      <rPr>
        <b/>
        <sz val="12"/>
        <rFont val="Arial"/>
        <family val="2"/>
        <charset val="1"/>
      </rPr>
      <t>This information is to be completed and submitted to EFNS no later than the end of day Wednesday of the following week.</t>
    </r>
    <r>
      <rPr>
        <sz val="12"/>
        <rFont val="Arial"/>
        <family val="2"/>
        <charset val="1"/>
      </rPr>
      <t xml:space="preserve">  </t>
    </r>
  </si>
  <si>
    <t>E.g. Week 40 reporting is to be submitted by end Wednesday of week 41.</t>
  </si>
  <si>
    <t>IP Declaration Sections</t>
  </si>
  <si>
    <t>Declaration Summary</t>
  </si>
  <si>
    <t>The reporting under this tab replaces the previous procedure  Hilly Acres Farm Ltd. used when reporting the IP declaration.</t>
  </si>
  <si>
    <t>Enter data requested in the yellow highlighted areas.</t>
  </si>
  <si>
    <t xml:space="preserve">In the orange highlighted areas, enter the week number and any IP not yet shipped from previous weeks.   </t>
  </si>
  <si>
    <t>In the green area, enter product that has been shipped from the week being declared.  This will calculate the total IP on hand.</t>
  </si>
  <si>
    <t>The IP declaration is to be completed and submitted each week by 12:00 p.m. on Monday of the following week.</t>
  </si>
  <si>
    <t>E.g. Week 40 IP declaration is to be submitted by 12:00 p.m. on Monday of week 41.</t>
  </si>
  <si>
    <t>Grade out information</t>
  </si>
  <si>
    <t>Enter data for graded and nest run product (by dozens) in the green highlighted sections.</t>
  </si>
  <si>
    <t xml:space="preserve">Enter the percentage breakdowns of your nest run sample grade outs by barn and color in the yellow highlighted areas. The formulas will populate the remaining </t>
  </si>
  <si>
    <t>sections of the sheet as well as the IP declaration summary tab.</t>
  </si>
  <si>
    <t>Pallet Information</t>
  </si>
  <si>
    <t>The procedure on each line would be as follows:</t>
  </si>
  <si>
    <t>1.  Enter the tag number in the first yellow highlighted section.</t>
  </si>
  <si>
    <t xml:space="preserve">2.  In the orange highlighted sections, choose the appropriate information from the dropdowns. </t>
  </si>
  <si>
    <t>3. Complete the remaining yellow highlighted sections.</t>
  </si>
  <si>
    <t>From WK #</t>
  </si>
  <si>
    <t xml:space="preserve">WK # </t>
  </si>
  <si>
    <t xml:space="preserve">Shipped wk # </t>
  </si>
  <si>
    <t>7168-E7</t>
  </si>
  <si>
    <t>Barn 11</t>
  </si>
  <si>
    <t>Barn 6</t>
  </si>
  <si>
    <t>Barn 7</t>
  </si>
  <si>
    <t>Barn</t>
  </si>
  <si>
    <t>SUNDAY</t>
  </si>
  <si>
    <t>MONDAY</t>
  </si>
  <si>
    <t>TUESDAY</t>
  </si>
  <si>
    <t>WEDNESDAY</t>
  </si>
  <si>
    <t>THURSDAY</t>
  </si>
  <si>
    <t>FRIDAY</t>
  </si>
  <si>
    <t>SATURDAY</t>
  </si>
  <si>
    <t>PRODUCTION (# of stacks)</t>
  </si>
  <si>
    <t>TOTAL (stacks)</t>
  </si>
  <si>
    <t>TOTAL (dozens)</t>
  </si>
  <si>
    <t>GRADE OUT</t>
  </si>
  <si>
    <t>Jumbo</t>
  </si>
  <si>
    <t>Xlarge</t>
  </si>
  <si>
    <t>Large</t>
  </si>
  <si>
    <t>Medium</t>
  </si>
  <si>
    <t>Liquid</t>
  </si>
  <si>
    <t>Blood</t>
  </si>
  <si>
    <t>Crack</t>
  </si>
  <si>
    <t>Dirt</t>
  </si>
  <si>
    <t>Barn 7 total dozen production for the week</t>
  </si>
  <si>
    <t>Week Ending</t>
  </si>
  <si>
    <t>Year</t>
  </si>
  <si>
    <t>Small</t>
  </si>
  <si>
    <t>Peewee</t>
  </si>
  <si>
    <t>Undergrade</t>
  </si>
  <si>
    <t>Total %</t>
  </si>
  <si>
    <t>Hatch Date</t>
  </si>
  <si>
    <t>Age</t>
  </si>
  <si>
    <t>NEW</t>
  </si>
  <si>
    <t>OLD</t>
  </si>
  <si>
    <t>Pallets</t>
  </si>
  <si>
    <t>Prepared by</t>
  </si>
  <si>
    <t>Barn 6 White</t>
  </si>
  <si>
    <t>Barn 7 White</t>
  </si>
  <si>
    <t>Barn 7 Brown</t>
  </si>
  <si>
    <t>Barn 11 White</t>
  </si>
  <si>
    <t>NEST RUN TOTALS (Boxes/Stacks)</t>
  </si>
  <si>
    <t xml:space="preserve">Medium </t>
  </si>
  <si>
    <t>Avg. Wt. (g)</t>
  </si>
  <si>
    <t>Feed (kg)</t>
  </si>
  <si>
    <t>Prod. (doz.)</t>
  </si>
  <si>
    <t>Wks lay</t>
  </si>
  <si>
    <t>Barn 10 White</t>
  </si>
  <si>
    <t>Barn 10 Brown</t>
  </si>
  <si>
    <t>Barn 10</t>
  </si>
  <si>
    <t>Theodore &amp; Aaron Eyking Barn 6</t>
  </si>
  <si>
    <t>Chris &amp; Nico Eyking Barn 7</t>
  </si>
  <si>
    <t>Theodore &amp; Aaron Eyking Barn 10</t>
  </si>
  <si>
    <t>Barn 10 total dozen production for the week</t>
  </si>
  <si>
    <t>Chris &amp; Nico Eyking Barn 11</t>
  </si>
  <si>
    <t>Theodore &amp; Aaron Eyking Barn 10 - White</t>
  </si>
  <si>
    <t>Theodore &amp; Aaron Eyking Barn 10 - Brown</t>
  </si>
  <si>
    <t>Theodore &amp; Aaron Eyking Barn 6 - White</t>
  </si>
  <si>
    <t>Chris &amp; Nico Eyking Barn 7 - White</t>
  </si>
  <si>
    <t>Chris &amp; Nico Eyking Barn 7 - Brown</t>
  </si>
  <si>
    <t>Chris &amp; Nico Eyking Barn 11 - White</t>
  </si>
  <si>
    <t>7169-E10</t>
  </si>
  <si>
    <t>Chris &amp; Nico Eyking Barn 7 - Enriched</t>
  </si>
  <si>
    <t xml:space="preserve">Chris &amp; Nico Eyking Barn 11 - Enriched  </t>
  </si>
  <si>
    <t xml:space="preserve">Theodore &amp; Aaron Eyking Barn 10 - Enriched  </t>
  </si>
  <si>
    <t xml:space="preserve">Theodore &amp; Aaron Eyking Barn 6 - Enriched  </t>
  </si>
  <si>
    <t xml:space="preserve">Pamela Penney </t>
  </si>
  <si>
    <t>Nov 7/25</t>
  </si>
  <si>
    <t>Mix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</si>
</sst>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0.00_)"/>
    <numFmt numFmtId="165" formatCode="0.000_)"/>
    <numFmt numFmtId="166" formatCode="0.000%"/>
    <numFmt numFmtId="167" formatCode="dd/mm/yyyy"/>
    <numFmt numFmtId="168" formatCode="0.0%"/>
    <numFmt numFmtId="169" formatCode="0.0000%"/>
    <numFmt numFmtId="170" formatCode="0.000000000"/>
    <numFmt numFmtId="171" formatCode="0.000"/>
    <numFmt numFmtId="172" formatCode="[$-1009]mmmm\ d\,\ yyyy;@"/>
  </numFmts>
  <fonts count="39" x14ac:knownFonts="1">
    <font>
      <sz val="10"/>
      <name val="Arial"/>
      <charset val="1"/>
    </font>
    <font>
      <sz val="11"/>
      <color rgb="FF000000"/>
      <name val="Calibri"/>
      <family val="2"/>
      <charset val="1"/>
    </font>
    <font>
      <sz val="10"/>
      <name val="Arial"/>
      <family val="2"/>
      <charset val="1"/>
    </font>
    <font>
      <b/>
      <sz val="10"/>
      <name val="Arial"/>
      <family val="2"/>
      <charset val="1"/>
    </font>
    <font>
      <b/>
      <sz val="10"/>
      <color rgb="FFFF0000"/>
      <name val="Arial"/>
      <family val="2"/>
      <charset val="1"/>
    </font>
    <font>
      <sz val="11"/>
      <name val="Arial"/>
      <family val="2"/>
      <charset val="1"/>
    </font>
    <font>
      <b/>
      <i/>
      <sz val="10"/>
      <name val="Arial"/>
      <family val="2"/>
      <charset val="1"/>
    </font>
    <font>
      <b/>
      <sz val="10"/>
      <color rgb="FF000000"/>
      <name val="Arial"/>
      <family val="2"/>
      <charset val="1"/>
    </font>
    <font>
      <b/>
      <u/>
      <sz val="10"/>
      <name val="Arial"/>
      <family val="2"/>
      <charset val="1"/>
    </font>
    <font>
      <b/>
      <u/>
      <sz val="8"/>
      <color rgb="FF000000"/>
      <name val="Arial"/>
      <family val="2"/>
      <charset val="1"/>
    </font>
    <font>
      <b/>
      <i/>
      <u/>
      <sz val="10"/>
      <name val="Arial"/>
      <family val="2"/>
      <charset val="1"/>
    </font>
    <font>
      <b/>
      <u/>
      <sz val="10"/>
      <color rgb="FF000000"/>
      <name val="Arial"/>
      <family val="2"/>
      <charset val="1"/>
    </font>
    <font>
      <sz val="10"/>
      <color rgb="FF000000"/>
      <name val="Arial"/>
      <family val="2"/>
      <charset val="1"/>
    </font>
    <font>
      <i/>
      <sz val="10"/>
      <name val="Arial"/>
      <family val="2"/>
      <charset val="1"/>
    </font>
    <font>
      <b/>
      <sz val="14"/>
      <name val="Arial"/>
      <family val="2"/>
      <charset val="1"/>
    </font>
    <font>
      <sz val="10"/>
      <color rgb="FF0000FF"/>
      <name val="Arial"/>
      <family val="2"/>
      <charset val="1"/>
    </font>
    <font>
      <i/>
      <sz val="8"/>
      <color rgb="FF0000FF"/>
      <name val="Arial"/>
      <family val="2"/>
      <charset val="1"/>
    </font>
    <font>
      <sz val="14"/>
      <name val="Arial"/>
      <family val="2"/>
      <charset val="1"/>
    </font>
    <font>
      <b/>
      <sz val="12"/>
      <name val="Arial"/>
      <family val="2"/>
      <charset val="1"/>
    </font>
    <font>
      <sz val="12"/>
      <color rgb="FF0000FF"/>
      <name val="Arial"/>
      <family val="2"/>
      <charset val="1"/>
    </font>
    <font>
      <i/>
      <sz val="12"/>
      <color rgb="FF0000FF"/>
      <name val="Arial"/>
      <family val="2"/>
      <charset val="1"/>
    </font>
    <font>
      <sz val="12"/>
      <name val="Arial"/>
      <family val="2"/>
      <charset val="1"/>
    </font>
    <font>
      <b/>
      <sz val="16"/>
      <color rgb="FFFFFFFF"/>
      <name val="Arial"/>
      <family val="2"/>
      <charset val="1"/>
    </font>
    <font>
      <b/>
      <sz val="12"/>
      <color rgb="FF0000FF"/>
      <name val="Arial"/>
      <family val="2"/>
      <charset val="1"/>
    </font>
    <font>
      <sz val="12"/>
      <color rgb="FF000000"/>
      <name val="Arial"/>
      <family val="2"/>
      <charset val="1"/>
    </font>
    <font>
      <sz val="10"/>
      <color rgb="FFFFFFFF"/>
      <name val="Arial"/>
      <family val="2"/>
      <charset val="1"/>
    </font>
    <font>
      <sz val="12"/>
      <color rgb="FFFF0000"/>
      <name val="Arial"/>
      <family val="2"/>
      <charset val="1"/>
    </font>
    <font>
      <b/>
      <sz val="11"/>
      <name val="Arial"/>
      <family val="2"/>
      <charset val="1"/>
    </font>
    <font>
      <b/>
      <sz val="10"/>
      <color rgb="FFFFFFFF"/>
      <name val="Arial"/>
      <family val="2"/>
      <charset val="1"/>
    </font>
    <font>
      <b/>
      <sz val="11"/>
      <color rgb="FFFF0000"/>
      <name val="Arial"/>
      <family val="2"/>
      <charset val="1"/>
    </font>
    <font>
      <b/>
      <sz val="12"/>
      <color rgb="FFFF0000"/>
      <name val="Arial"/>
      <family val="2"/>
      <charset val="1"/>
    </font>
    <font>
      <sz val="11"/>
      <name val="Calibri"/>
      <family val="2"/>
      <charset val="1"/>
    </font>
    <font>
      <b/>
      <u/>
      <sz val="11"/>
      <color rgb="FF000000"/>
      <name val="Calibri"/>
      <family val="2"/>
      <charset val="1"/>
    </font>
    <font>
      <sz val="10"/>
      <name val="Arial"/>
      <family val="2"/>
    </font>
    <font>
      <sz val="8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u/>
      <sz val="10"/>
      <name val="Arial"/>
      <family val="2"/>
    </font>
    <font>
      <sz val="12"/>
      <color theme="1"/>
      <name val="Arial"/>
      <family val="2"/>
      <charset val="1"/>
    </font>
  </fonts>
  <fills count="2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D9D9D9"/>
        <bgColor rgb="FFDAE3F3"/>
      </patternFill>
    </fill>
    <fill>
      <patternFill patternType="solid">
        <fgColor rgb="FF000000"/>
        <bgColor rgb="FF003300"/>
      </patternFill>
    </fill>
    <fill>
      <patternFill patternType="solid">
        <fgColor rgb="FFC5E0B4"/>
        <bgColor rgb="FFD9D9D9"/>
      </patternFill>
    </fill>
    <fill>
      <patternFill patternType="solid">
        <fgColor rgb="FFFFC000"/>
        <bgColor rgb="FFFF9900"/>
      </patternFill>
    </fill>
    <fill>
      <patternFill patternType="solid">
        <fgColor rgb="FF92D050"/>
        <bgColor rgb="FFA9D18E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C000"/>
        <bgColor rgb="FFFFFF00"/>
      </patternFill>
    </fill>
    <fill>
      <patternFill patternType="solid">
        <fgColor theme="0" tint="-0.34998626667073579"/>
        <bgColor rgb="FFFF9900"/>
      </patternFill>
    </fill>
    <fill>
      <patternFill patternType="solid">
        <fgColor theme="0" tint="-0.34998626667073579"/>
        <bgColor rgb="FFA9D18E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rgb="FFFF9900"/>
      </patternFill>
    </fill>
    <fill>
      <patternFill patternType="solid">
        <fgColor rgb="FFFFC000"/>
        <bgColor rgb="FFD9D9D9"/>
      </patternFill>
    </fill>
    <fill>
      <patternFill patternType="solid">
        <fgColor theme="4" tint="0.59999389629810485"/>
        <bgColor rgb="FFD9D9D9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rgb="FFA9D18E"/>
      </patternFill>
    </fill>
    <fill>
      <patternFill patternType="solid">
        <fgColor theme="4" tint="0.59999389629810485"/>
        <bgColor rgb="FFA9D18E"/>
      </patternFill>
    </fill>
    <fill>
      <patternFill patternType="solid">
        <fgColor theme="4" tint="0.59999389629810485"/>
        <bgColor rgb="FFFFFF00"/>
      </patternFill>
    </fill>
    <fill>
      <patternFill patternType="solid">
        <fgColor rgb="FFFFC000"/>
        <bgColor rgb="FFA9D18E"/>
      </patternFill>
    </fill>
    <fill>
      <patternFill patternType="solid">
        <fgColor rgb="FF92D050"/>
        <bgColor indexed="64"/>
      </patternFill>
    </fill>
  </fills>
  <borders count="2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/>
      <bottom style="medium">
        <color auto="1"/>
      </bottom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>
      <left/>
      <right style="hair">
        <color auto="1"/>
      </right>
      <top style="thin">
        <color auto="1"/>
      </top>
      <bottom style="double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double">
        <color auto="1"/>
      </bottom>
      <diagonal/>
    </border>
    <border>
      <left style="hair">
        <color auto="1"/>
      </left>
      <right/>
      <top style="thin">
        <color auto="1"/>
      </top>
      <bottom style="double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hair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hair">
        <color auto="1"/>
      </right>
      <top/>
      <bottom style="thin">
        <color auto="1"/>
      </bottom>
      <diagonal/>
    </border>
    <border>
      <left style="hair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</borders>
  <cellStyleXfs count="5">
    <xf numFmtId="0" fontId="0" fillId="0" borderId="0"/>
    <xf numFmtId="9" fontId="33" fillId="0" borderId="0" applyBorder="0" applyProtection="0"/>
    <xf numFmtId="0" fontId="1" fillId="0" borderId="0"/>
    <xf numFmtId="0" fontId="2" fillId="0" borderId="0"/>
    <xf numFmtId="0" fontId="1" fillId="0" borderId="0"/>
  </cellStyleXfs>
  <cellXfs count="249">
    <xf numFmtId="0" fontId="0" fillId="0" borderId="0" xfId="0"/>
    <xf numFmtId="0" fontId="3" fillId="0" borderId="0" xfId="0" applyFont="1"/>
    <xf numFmtId="0" fontId="2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  <xf numFmtId="0" fontId="2" fillId="0" borderId="0" xfId="3"/>
    <xf numFmtId="0" fontId="3" fillId="0" borderId="0" xfId="3" applyFont="1"/>
    <xf numFmtId="0" fontId="4" fillId="0" borderId="0" xfId="3" applyFont="1" applyAlignment="1">
      <alignment wrapText="1"/>
    </xf>
    <xf numFmtId="0" fontId="2" fillId="0" borderId="1" xfId="3" applyBorder="1"/>
    <xf numFmtId="0" fontId="5" fillId="0" borderId="0" xfId="3" applyFont="1" applyAlignment="1" applyProtection="1">
      <alignment horizontal="center"/>
      <protection locked="0"/>
    </xf>
    <xf numFmtId="15" fontId="5" fillId="0" borderId="0" xfId="3" applyNumberFormat="1" applyFont="1" applyAlignment="1" applyProtection="1">
      <alignment horizontal="center"/>
      <protection locked="0"/>
    </xf>
    <xf numFmtId="0" fontId="2" fillId="0" borderId="0" xfId="3" applyAlignment="1">
      <alignment horizontal="right"/>
    </xf>
    <xf numFmtId="0" fontId="6" fillId="0" borderId="0" xfId="3" applyFont="1" applyAlignment="1">
      <alignment horizontal="center"/>
    </xf>
    <xf numFmtId="0" fontId="3" fillId="0" borderId="0" xfId="3" applyFont="1" applyAlignment="1">
      <alignment horizontal="center"/>
    </xf>
    <xf numFmtId="0" fontId="3" fillId="0" borderId="2" xfId="3" applyFont="1" applyBorder="1" applyAlignment="1">
      <alignment horizontal="center"/>
    </xf>
    <xf numFmtId="0" fontId="7" fillId="0" borderId="0" xfId="3" applyFont="1" applyAlignment="1">
      <alignment horizontal="center"/>
    </xf>
    <xf numFmtId="0" fontId="8" fillId="0" borderId="0" xfId="3" applyFont="1"/>
    <xf numFmtId="49" fontId="8" fillId="0" borderId="0" xfId="3" applyNumberFormat="1" applyFont="1" applyAlignment="1">
      <alignment horizontal="center" vertical="center"/>
    </xf>
    <xf numFmtId="0" fontId="8" fillId="0" borderId="0" xfId="3" applyFont="1" applyAlignment="1">
      <alignment horizontal="center"/>
    </xf>
    <xf numFmtId="0" fontId="8" fillId="0" borderId="0" xfId="3" applyFont="1" applyAlignment="1">
      <alignment horizontal="right"/>
    </xf>
    <xf numFmtId="0" fontId="8" fillId="0" borderId="2" xfId="3" applyFont="1" applyBorder="1" applyAlignment="1">
      <alignment horizontal="center"/>
    </xf>
    <xf numFmtId="0" fontId="9" fillId="0" borderId="0" xfId="3" applyFont="1" applyAlignment="1">
      <alignment horizontal="center"/>
    </xf>
    <xf numFmtId="0" fontId="10" fillId="0" borderId="0" xfId="3" applyFont="1" applyAlignment="1">
      <alignment horizontal="center"/>
    </xf>
    <xf numFmtId="0" fontId="11" fillId="0" borderId="0" xfId="3" applyFont="1" applyAlignment="1">
      <alignment horizontal="center"/>
    </xf>
    <xf numFmtId="0" fontId="0" fillId="0" borderId="0" xfId="0" applyAlignment="1">
      <alignment horizontal="right"/>
    </xf>
    <xf numFmtId="0" fontId="2" fillId="0" borderId="0" xfId="3" applyAlignment="1">
      <alignment horizontal="center"/>
    </xf>
    <xf numFmtId="2" fontId="2" fillId="0" borderId="0" xfId="3" applyNumberFormat="1" applyAlignment="1">
      <alignment horizontal="center"/>
    </xf>
    <xf numFmtId="2" fontId="2" fillId="0" borderId="2" xfId="3" applyNumberFormat="1" applyBorder="1" applyAlignment="1">
      <alignment horizontal="center"/>
    </xf>
    <xf numFmtId="2" fontId="12" fillId="0" borderId="0" xfId="3" applyNumberFormat="1" applyFont="1" applyAlignment="1">
      <alignment horizontal="center"/>
    </xf>
    <xf numFmtId="2" fontId="3" fillId="0" borderId="0" xfId="3" applyNumberFormat="1" applyFont="1" applyAlignment="1">
      <alignment horizontal="center"/>
    </xf>
    <xf numFmtId="1" fontId="2" fillId="0" borderId="0" xfId="3" applyNumberFormat="1" applyAlignment="1">
      <alignment horizontal="center"/>
    </xf>
    <xf numFmtId="10" fontId="13" fillId="0" borderId="0" xfId="3" applyNumberFormat="1" applyFont="1" applyAlignment="1">
      <alignment horizontal="center"/>
    </xf>
    <xf numFmtId="1" fontId="12" fillId="0" borderId="0" xfId="3" applyNumberFormat="1" applyFont="1" applyAlignment="1">
      <alignment horizontal="center"/>
    </xf>
    <xf numFmtId="1" fontId="3" fillId="0" borderId="0" xfId="3" applyNumberFormat="1" applyFont="1" applyAlignment="1">
      <alignment horizontal="center"/>
    </xf>
    <xf numFmtId="0" fontId="2" fillId="0" borderId="0" xfId="0" applyFont="1" applyAlignment="1">
      <alignment horizontal="right"/>
    </xf>
    <xf numFmtId="1" fontId="6" fillId="0" borderId="0" xfId="3" applyNumberFormat="1" applyFont="1" applyAlignment="1">
      <alignment horizontal="center"/>
    </xf>
    <xf numFmtId="0" fontId="14" fillId="3" borderId="0" xfId="3" applyFont="1" applyFill="1"/>
    <xf numFmtId="2" fontId="14" fillId="3" borderId="0" xfId="3" applyNumberFormat="1" applyFont="1" applyFill="1" applyAlignment="1">
      <alignment horizontal="center"/>
    </xf>
    <xf numFmtId="0" fontId="15" fillId="0" borderId="0" xfId="3" applyFont="1"/>
    <xf numFmtId="2" fontId="15" fillId="0" borderId="0" xfId="3" applyNumberFormat="1" applyFont="1"/>
    <xf numFmtId="2" fontId="15" fillId="0" borderId="0" xfId="3" applyNumberFormat="1" applyFont="1" applyAlignment="1">
      <alignment horizontal="center"/>
    </xf>
    <xf numFmtId="2" fontId="16" fillId="0" borderId="0" xfId="3" applyNumberFormat="1" applyFont="1"/>
    <xf numFmtId="0" fontId="17" fillId="0" borderId="0" xfId="0" applyFont="1" applyAlignment="1">
      <alignment vertical="center"/>
    </xf>
    <xf numFmtId="0" fontId="15" fillId="0" borderId="0" xfId="3" applyFont="1" applyAlignment="1">
      <alignment horizontal="center"/>
    </xf>
    <xf numFmtId="0" fontId="16" fillId="0" borderId="0" xfId="3" applyFont="1"/>
    <xf numFmtId="0" fontId="15" fillId="4" borderId="0" xfId="3" applyFont="1" applyFill="1"/>
    <xf numFmtId="0" fontId="15" fillId="4" borderId="0" xfId="3" applyFont="1" applyFill="1" applyAlignment="1">
      <alignment horizontal="center"/>
    </xf>
    <xf numFmtId="0" fontId="16" fillId="4" borderId="0" xfId="3" applyFont="1" applyFill="1"/>
    <xf numFmtId="0" fontId="3" fillId="0" borderId="0" xfId="3" applyFont="1" applyAlignment="1">
      <alignment horizontal="center" wrapText="1"/>
    </xf>
    <xf numFmtId="0" fontId="15" fillId="0" borderId="0" xfId="3" applyFont="1" applyAlignment="1">
      <alignment horizontal="center" wrapText="1"/>
    </xf>
    <xf numFmtId="0" fontId="18" fillId="0" borderId="0" xfId="3" applyFont="1"/>
    <xf numFmtId="0" fontId="19" fillId="0" borderId="0" xfId="3" applyFont="1"/>
    <xf numFmtId="0" fontId="19" fillId="0" borderId="0" xfId="3" applyFont="1" applyAlignment="1">
      <alignment horizontal="center"/>
    </xf>
    <xf numFmtId="0" fontId="20" fillId="0" borderId="0" xfId="3" applyFont="1"/>
    <xf numFmtId="0" fontId="21" fillId="0" borderId="0" xfId="3" applyFont="1"/>
    <xf numFmtId="1" fontId="2" fillId="6" borderId="0" xfId="3" applyNumberFormat="1" applyFill="1" applyAlignment="1">
      <alignment horizontal="center"/>
    </xf>
    <xf numFmtId="2" fontId="2" fillId="0" borderId="0" xfId="3" applyNumberFormat="1"/>
    <xf numFmtId="0" fontId="21" fillId="0" borderId="0" xfId="3" applyFont="1" applyAlignment="1">
      <alignment horizontal="center"/>
    </xf>
    <xf numFmtId="1" fontId="21" fillId="0" borderId="0" xfId="3" applyNumberFormat="1" applyFont="1" applyAlignment="1">
      <alignment horizontal="center"/>
    </xf>
    <xf numFmtId="2" fontId="21" fillId="0" borderId="0" xfId="3" applyNumberFormat="1" applyFont="1" applyAlignment="1">
      <alignment horizontal="center"/>
    </xf>
    <xf numFmtId="0" fontId="2" fillId="0" borderId="0" xfId="0" applyFont="1" applyAlignment="1">
      <alignment wrapText="1"/>
    </xf>
    <xf numFmtId="0" fontId="21" fillId="0" borderId="0" xfId="2" applyFont="1" applyProtection="1">
      <protection locked="0"/>
    </xf>
    <xf numFmtId="0" fontId="18" fillId="0" borderId="0" xfId="2" applyFont="1" applyAlignment="1" applyProtection="1">
      <alignment horizontal="center"/>
      <protection locked="0"/>
    </xf>
    <xf numFmtId="164" fontId="23" fillId="0" borderId="0" xfId="2" applyNumberFormat="1" applyFont="1" applyProtection="1">
      <protection locked="0"/>
    </xf>
    <xf numFmtId="0" fontId="21" fillId="0" borderId="0" xfId="2" applyFont="1"/>
    <xf numFmtId="0" fontId="18" fillId="0" borderId="0" xfId="2" applyFont="1" applyAlignment="1">
      <alignment horizontal="left"/>
    </xf>
    <xf numFmtId="0" fontId="18" fillId="0" borderId="0" xfId="2" applyFont="1" applyProtection="1">
      <protection locked="0"/>
    </xf>
    <xf numFmtId="17" fontId="23" fillId="0" borderId="0" xfId="2" applyNumberFormat="1" applyFont="1" applyProtection="1">
      <protection locked="0"/>
    </xf>
    <xf numFmtId="0" fontId="18" fillId="0" borderId="0" xfId="2" applyFont="1"/>
    <xf numFmtId="0" fontId="21" fillId="0" borderId="0" xfId="2" applyFont="1" applyAlignment="1">
      <alignment horizontal="left"/>
    </xf>
    <xf numFmtId="0" fontId="2" fillId="0" borderId="0" xfId="2" applyFont="1" applyAlignment="1">
      <alignment horizontal="left"/>
    </xf>
    <xf numFmtId="0" fontId="18" fillId="0" borderId="0" xfId="2" applyFont="1" applyAlignment="1" applyProtection="1">
      <alignment horizontal="left"/>
      <protection locked="0"/>
    </xf>
    <xf numFmtId="0" fontId="18" fillId="0" borderId="3" xfId="2" applyFont="1" applyBorder="1" applyAlignment="1">
      <alignment horizontal="left"/>
    </xf>
    <xf numFmtId="0" fontId="18" fillId="0" borderId="3" xfId="2" applyFont="1" applyBorder="1" applyAlignment="1" applyProtection="1">
      <alignment horizontal="left"/>
      <protection locked="0"/>
    </xf>
    <xf numFmtId="0" fontId="18" fillId="0" borderId="3" xfId="2" applyFont="1" applyBorder="1"/>
    <xf numFmtId="0" fontId="21" fillId="0" borderId="3" xfId="2" applyFont="1" applyBorder="1"/>
    <xf numFmtId="0" fontId="21" fillId="0" borderId="4" xfId="2" applyFont="1" applyBorder="1" applyAlignment="1">
      <alignment vertical="center"/>
    </xf>
    <xf numFmtId="0" fontId="14" fillId="0" borderId="5" xfId="2" applyFont="1" applyBorder="1" applyAlignment="1">
      <alignment horizontal="center" vertical="center"/>
    </xf>
    <xf numFmtId="0" fontId="14" fillId="0" borderId="6" xfId="2" applyFont="1" applyBorder="1" applyAlignment="1">
      <alignment horizontal="center" vertical="center"/>
    </xf>
    <xf numFmtId="0" fontId="14" fillId="0" borderId="0" xfId="2" applyFont="1" applyAlignment="1">
      <alignment horizontal="center" vertical="center"/>
    </xf>
    <xf numFmtId="0" fontId="17" fillId="0" borderId="0" xfId="2" applyFont="1" applyAlignment="1">
      <alignment horizontal="center" vertical="center"/>
    </xf>
    <xf numFmtId="0" fontId="21" fillId="0" borderId="0" xfId="2" applyFont="1" applyAlignment="1">
      <alignment vertical="center"/>
    </xf>
    <xf numFmtId="0" fontId="21" fillId="0" borderId="1" xfId="2" applyFont="1" applyBorder="1" applyAlignment="1">
      <alignment horizontal="left" vertical="center"/>
    </xf>
    <xf numFmtId="0" fontId="24" fillId="0" borderId="1" xfId="2" applyFont="1" applyBorder="1" applyAlignment="1">
      <alignment horizontal="right"/>
    </xf>
    <xf numFmtId="0" fontId="21" fillId="0" borderId="1" xfId="2" applyFont="1" applyBorder="1" applyAlignment="1">
      <alignment vertical="center"/>
    </xf>
    <xf numFmtId="165" fontId="25" fillId="0" borderId="0" xfId="2" applyNumberFormat="1" applyFont="1" applyAlignment="1">
      <alignment horizontal="center" vertical="center"/>
    </xf>
    <xf numFmtId="165" fontId="26" fillId="0" borderId="0" xfId="2" applyNumberFormat="1" applyFont="1" applyAlignment="1">
      <alignment vertical="center"/>
    </xf>
    <xf numFmtId="164" fontId="26" fillId="0" borderId="0" xfId="2" applyNumberFormat="1" applyFont="1" applyAlignment="1">
      <alignment vertical="center"/>
    </xf>
    <xf numFmtId="0" fontId="21" fillId="0" borderId="1" xfId="2" applyFont="1" applyBorder="1" applyAlignment="1" applyProtection="1">
      <alignment vertical="center"/>
      <protection locked="0"/>
    </xf>
    <xf numFmtId="0" fontId="18" fillId="0" borderId="7" xfId="2" applyFont="1" applyBorder="1" applyAlignment="1">
      <alignment horizontal="left" vertical="center"/>
    </xf>
    <xf numFmtId="0" fontId="18" fillId="0" borderId="8" xfId="2" applyFont="1" applyBorder="1" applyAlignment="1">
      <alignment vertical="center"/>
    </xf>
    <xf numFmtId="0" fontId="18" fillId="0" borderId="0" xfId="2" applyFont="1" applyAlignment="1">
      <alignment vertical="center"/>
    </xf>
    <xf numFmtId="0" fontId="26" fillId="0" borderId="0" xfId="2" applyFont="1" applyAlignment="1">
      <alignment vertical="center"/>
    </xf>
    <xf numFmtId="2" fontId="26" fillId="0" borderId="0" xfId="2" applyNumberFormat="1" applyFont="1" applyAlignment="1">
      <alignment vertical="center"/>
    </xf>
    <xf numFmtId="0" fontId="19" fillId="0" borderId="10" xfId="2" applyFont="1" applyBorder="1" applyAlignment="1" applyProtection="1">
      <alignment vertical="center"/>
      <protection locked="0"/>
    </xf>
    <xf numFmtId="0" fontId="26" fillId="0" borderId="10" xfId="2" applyFont="1" applyBorder="1" applyAlignment="1">
      <alignment vertical="center"/>
    </xf>
    <xf numFmtId="0" fontId="21" fillId="0" borderId="10" xfId="2" applyFont="1" applyBorder="1" applyAlignment="1">
      <alignment vertical="center"/>
    </xf>
    <xf numFmtId="0" fontId="21" fillId="0" borderId="11" xfId="2" applyFont="1" applyBorder="1" applyAlignment="1">
      <alignment vertical="center"/>
    </xf>
    <xf numFmtId="0" fontId="27" fillId="0" borderId="12" xfId="2" applyFont="1" applyBorder="1" applyAlignment="1">
      <alignment horizontal="center" vertical="center"/>
    </xf>
    <xf numFmtId="0" fontId="18" fillId="0" borderId="12" xfId="2" applyFont="1" applyBorder="1" applyAlignment="1">
      <alignment horizontal="center" vertical="center"/>
    </xf>
    <xf numFmtId="0" fontId="18" fillId="0" borderId="12" xfId="2" applyFont="1" applyBorder="1" applyAlignment="1" applyProtection="1">
      <alignment horizontal="center" vertical="center"/>
      <protection locked="0"/>
    </xf>
    <xf numFmtId="165" fontId="28" fillId="0" borderId="0" xfId="2" applyNumberFormat="1" applyFont="1" applyAlignment="1">
      <alignment horizontal="center" vertical="center"/>
    </xf>
    <xf numFmtId="0" fontId="18" fillId="0" borderId="13" xfId="2" applyFont="1" applyBorder="1" applyAlignment="1">
      <alignment vertical="center"/>
    </xf>
    <xf numFmtId="0" fontId="27" fillId="0" borderId="14" xfId="2" applyFont="1" applyBorder="1" applyAlignment="1">
      <alignment horizontal="center" vertical="center"/>
    </xf>
    <xf numFmtId="0" fontId="18" fillId="0" borderId="14" xfId="2" applyFont="1" applyBorder="1" applyAlignment="1">
      <alignment horizontal="center" vertical="center"/>
    </xf>
    <xf numFmtId="0" fontId="18" fillId="0" borderId="14" xfId="2" applyFont="1" applyBorder="1" applyAlignment="1" applyProtection="1">
      <alignment horizontal="center" vertical="center"/>
      <protection locked="0"/>
    </xf>
    <xf numFmtId="0" fontId="21" fillId="0" borderId="15" xfId="2" applyFont="1" applyBorder="1" applyAlignment="1">
      <alignment vertical="center"/>
    </xf>
    <xf numFmtId="0" fontId="5" fillId="6" borderId="16" xfId="2" applyFont="1" applyFill="1" applyBorder="1" applyAlignment="1" applyProtection="1">
      <alignment horizontal="center" vertical="center"/>
      <protection locked="0"/>
    </xf>
    <xf numFmtId="0" fontId="21" fillId="0" borderId="16" xfId="2" applyFont="1" applyBorder="1" applyAlignment="1">
      <alignment horizontal="center" vertical="center"/>
    </xf>
    <xf numFmtId="0" fontId="21" fillId="7" borderId="16" xfId="2" applyFont="1" applyFill="1" applyBorder="1" applyAlignment="1" applyProtection="1">
      <alignment horizontal="center" vertical="center"/>
      <protection locked="0"/>
    </xf>
    <xf numFmtId="0" fontId="27" fillId="0" borderId="16" xfId="2" applyFont="1" applyBorder="1" applyAlignment="1">
      <alignment horizontal="center" vertical="center"/>
    </xf>
    <xf numFmtId="0" fontId="21" fillId="6" borderId="1" xfId="2" applyFont="1" applyFill="1" applyBorder="1" applyAlignment="1" applyProtection="1">
      <alignment vertical="center"/>
      <protection locked="0"/>
    </xf>
    <xf numFmtId="0" fontId="21" fillId="7" borderId="1" xfId="2" applyFont="1" applyFill="1" applyBorder="1" applyAlignment="1">
      <alignment vertical="center"/>
    </xf>
    <xf numFmtId="0" fontId="21" fillId="7" borderId="1" xfId="2" applyFont="1" applyFill="1" applyBorder="1" applyAlignment="1">
      <alignment horizontal="right" vertical="center"/>
    </xf>
    <xf numFmtId="0" fontId="21" fillId="7" borderId="1" xfId="2" applyFont="1" applyFill="1" applyBorder="1" applyAlignment="1" applyProtection="1">
      <alignment vertical="center"/>
      <protection locked="0"/>
    </xf>
    <xf numFmtId="0" fontId="17" fillId="0" borderId="0" xfId="2" applyFont="1"/>
    <xf numFmtId="0" fontId="29" fillId="0" borderId="0" xfId="2" applyFont="1" applyAlignment="1" applyProtection="1">
      <alignment horizontal="center" vertical="center"/>
      <protection locked="0"/>
    </xf>
    <xf numFmtId="0" fontId="21" fillId="0" borderId="0" xfId="2" applyFont="1" applyAlignment="1">
      <alignment horizontal="left" vertical="center"/>
    </xf>
    <xf numFmtId="0" fontId="19" fillId="0" borderId="0" xfId="2" applyFont="1" applyAlignment="1" applyProtection="1">
      <alignment vertical="center"/>
      <protection locked="0"/>
    </xf>
    <xf numFmtId="0" fontId="17" fillId="0" borderId="0" xfId="2" applyFont="1" applyAlignment="1" applyProtection="1">
      <alignment horizontal="center"/>
      <protection locked="0"/>
    </xf>
    <xf numFmtId="0" fontId="30" fillId="0" borderId="0" xfId="2" applyFont="1" applyProtection="1">
      <protection locked="0"/>
    </xf>
    <xf numFmtId="10" fontId="0" fillId="0" borderId="0" xfId="1" applyNumberFormat="1" applyFont="1" applyBorder="1" applyProtection="1"/>
    <xf numFmtId="9" fontId="0" fillId="0" borderId="0" xfId="1" applyFont="1" applyBorder="1" applyProtection="1"/>
    <xf numFmtId="0" fontId="0" fillId="0" borderId="17" xfId="0" applyBorder="1" applyAlignment="1">
      <alignment wrapText="1"/>
    </xf>
    <xf numFmtId="0" fontId="0" fillId="0" borderId="17" xfId="0" applyBorder="1"/>
    <xf numFmtId="0" fontId="0" fillId="0" borderId="18" xfId="0" applyBorder="1"/>
    <xf numFmtId="9" fontId="0" fillId="0" borderId="17" xfId="1" applyFont="1" applyBorder="1" applyProtection="1"/>
    <xf numFmtId="0" fontId="0" fillId="0" borderId="19" xfId="0" applyBorder="1"/>
    <xf numFmtId="0" fontId="0" fillId="0" borderId="10" xfId="0" applyBorder="1"/>
    <xf numFmtId="9" fontId="0" fillId="0" borderId="19" xfId="1" applyFont="1" applyBorder="1" applyProtection="1"/>
    <xf numFmtId="0" fontId="0" fillId="0" borderId="20" xfId="0" applyBorder="1"/>
    <xf numFmtId="9" fontId="0" fillId="0" borderId="20" xfId="1" applyFont="1" applyBorder="1" applyProtection="1"/>
    <xf numFmtId="0" fontId="2" fillId="0" borderId="20" xfId="0" applyFont="1" applyBorder="1" applyAlignment="1">
      <alignment horizontal="center"/>
    </xf>
    <xf numFmtId="0" fontId="2" fillId="0" borderId="20" xfId="0" applyFont="1" applyBorder="1"/>
    <xf numFmtId="10" fontId="1" fillId="0" borderId="20" xfId="1" applyNumberFormat="1" applyFont="1" applyBorder="1" applyProtection="1"/>
    <xf numFmtId="10" fontId="1" fillId="0" borderId="0" xfId="1" applyNumberFormat="1" applyFont="1" applyBorder="1" applyProtection="1"/>
    <xf numFmtId="0" fontId="1" fillId="0" borderId="0" xfId="1" applyNumberFormat="1" applyFont="1" applyBorder="1" applyProtection="1"/>
    <xf numFmtId="166" fontId="1" fillId="0" borderId="20" xfId="1" applyNumberFormat="1" applyFont="1" applyBorder="1" applyProtection="1"/>
    <xf numFmtId="10" fontId="2" fillId="0" borderId="20" xfId="0" applyNumberFormat="1" applyFont="1" applyBorder="1"/>
    <xf numFmtId="0" fontId="0" fillId="0" borderId="1" xfId="0" applyBorder="1"/>
    <xf numFmtId="0" fontId="2" fillId="0" borderId="1" xfId="0" applyFont="1" applyBorder="1"/>
    <xf numFmtId="9" fontId="0" fillId="0" borderId="1" xfId="1" applyFont="1" applyBorder="1" applyProtection="1"/>
    <xf numFmtId="0" fontId="1" fillId="0" borderId="0" xfId="2"/>
    <xf numFmtId="0" fontId="1" fillId="0" borderId="0" xfId="2" applyAlignment="1">
      <alignment horizontal="center"/>
    </xf>
    <xf numFmtId="2" fontId="1" fillId="0" borderId="0" xfId="2" applyNumberFormat="1" applyAlignment="1">
      <alignment horizontal="center"/>
    </xf>
    <xf numFmtId="0" fontId="32" fillId="0" borderId="0" xfId="2" applyFont="1" applyAlignment="1">
      <alignment horizontal="center"/>
    </xf>
    <xf numFmtId="0" fontId="8" fillId="0" borderId="0" xfId="2" applyFont="1" applyAlignment="1">
      <alignment horizontal="center"/>
    </xf>
    <xf numFmtId="2" fontId="8" fillId="0" borderId="0" xfId="2" applyNumberFormat="1" applyFont="1" applyAlignment="1">
      <alignment horizontal="center"/>
    </xf>
    <xf numFmtId="0" fontId="1" fillId="0" borderId="1" xfId="2" applyBorder="1" applyAlignment="1">
      <alignment horizontal="center"/>
    </xf>
    <xf numFmtId="2" fontId="1" fillId="0" borderId="1" xfId="2" applyNumberFormat="1" applyBorder="1" applyAlignment="1">
      <alignment horizontal="center"/>
    </xf>
    <xf numFmtId="167" fontId="1" fillId="0" borderId="1" xfId="2" applyNumberFormat="1" applyBorder="1" applyAlignment="1">
      <alignment horizontal="center"/>
    </xf>
    <xf numFmtId="0" fontId="1" fillId="2" borderId="1" xfId="2" applyFill="1" applyBorder="1" applyAlignment="1">
      <alignment horizontal="center"/>
    </xf>
    <xf numFmtId="167" fontId="1" fillId="2" borderId="1" xfId="2" applyNumberFormat="1" applyFill="1" applyBorder="1" applyAlignment="1">
      <alignment horizontal="center"/>
    </xf>
    <xf numFmtId="0" fontId="2" fillId="2" borderId="1" xfId="2" applyFont="1" applyFill="1" applyBorder="1" applyAlignment="1">
      <alignment horizontal="center"/>
    </xf>
    <xf numFmtId="0" fontId="18" fillId="0" borderId="0" xfId="0" applyFont="1"/>
    <xf numFmtId="0" fontId="21" fillId="0" borderId="0" xfId="0" applyFont="1"/>
    <xf numFmtId="0" fontId="21" fillId="0" borderId="10" xfId="3" applyFont="1" applyBorder="1"/>
    <xf numFmtId="2" fontId="1" fillId="2" borderId="1" xfId="2" applyNumberFormat="1" applyFill="1" applyBorder="1" applyAlignment="1">
      <alignment horizontal="center"/>
    </xf>
    <xf numFmtId="168" fontId="33" fillId="0" borderId="0" xfId="1" applyNumberFormat="1"/>
    <xf numFmtId="10" fontId="33" fillId="0" borderId="0" xfId="1" applyNumberFormat="1"/>
    <xf numFmtId="169" fontId="33" fillId="0" borderId="0" xfId="1" applyNumberFormat="1"/>
    <xf numFmtId="170" fontId="0" fillId="0" borderId="0" xfId="0" applyNumberFormat="1"/>
    <xf numFmtId="171" fontId="0" fillId="0" borderId="0" xfId="0" applyNumberFormat="1"/>
    <xf numFmtId="171" fontId="33" fillId="0" borderId="0" xfId="1" applyNumberFormat="1"/>
    <xf numFmtId="0" fontId="1" fillId="8" borderId="1" xfId="2" applyFill="1" applyBorder="1" applyAlignment="1">
      <alignment horizontal="center"/>
    </xf>
    <xf numFmtId="0" fontId="0" fillId="9" borderId="1" xfId="0" applyFill="1" applyBorder="1"/>
    <xf numFmtId="0" fontId="33" fillId="0" borderId="0" xfId="0" applyFont="1"/>
    <xf numFmtId="0" fontId="36" fillId="0" borderId="0" xfId="0" applyFont="1"/>
    <xf numFmtId="0" fontId="0" fillId="8" borderId="1" xfId="0" applyFill="1" applyBorder="1"/>
    <xf numFmtId="0" fontId="37" fillId="0" borderId="0" xfId="0" applyFont="1"/>
    <xf numFmtId="0" fontId="33" fillId="0" borderId="0" xfId="0" applyFont="1" applyAlignment="1">
      <alignment horizontal="right"/>
    </xf>
    <xf numFmtId="0" fontId="5" fillId="10" borderId="1" xfId="3" applyFont="1" applyFill="1" applyBorder="1" applyAlignment="1" applyProtection="1">
      <alignment horizontal="center"/>
      <protection locked="0"/>
    </xf>
    <xf numFmtId="0" fontId="33" fillId="0" borderId="1" xfId="0" applyFont="1" applyBorder="1"/>
    <xf numFmtId="168" fontId="0" fillId="8" borderId="1" xfId="0" applyNumberFormat="1" applyFill="1" applyBorder="1"/>
    <xf numFmtId="0" fontId="18" fillId="11" borderId="0" xfId="0" applyFont="1" applyFill="1"/>
    <xf numFmtId="0" fontId="2" fillId="11" borderId="20" xfId="0" applyFont="1" applyFill="1" applyBorder="1"/>
    <xf numFmtId="10" fontId="31" fillId="11" borderId="20" xfId="1" applyNumberFormat="1" applyFont="1" applyFill="1" applyBorder="1" applyProtection="1"/>
    <xf numFmtId="10" fontId="31" fillId="11" borderId="0" xfId="1" applyNumberFormat="1" applyFont="1" applyFill="1" applyBorder="1" applyProtection="1"/>
    <xf numFmtId="0" fontId="31" fillId="11" borderId="0" xfId="1" applyNumberFormat="1" applyFont="1" applyFill="1" applyBorder="1" applyProtection="1"/>
    <xf numFmtId="166" fontId="31" fillId="11" borderId="20" xfId="1" applyNumberFormat="1" applyFont="1" applyFill="1" applyBorder="1" applyProtection="1"/>
    <xf numFmtId="0" fontId="2" fillId="11" borderId="0" xfId="0" applyFont="1" applyFill="1"/>
    <xf numFmtId="10" fontId="2" fillId="11" borderId="20" xfId="0" applyNumberFormat="1" applyFont="1" applyFill="1" applyBorder="1"/>
    <xf numFmtId="0" fontId="3" fillId="11" borderId="17" xfId="0" applyFont="1" applyFill="1" applyBorder="1"/>
    <xf numFmtId="0" fontId="0" fillId="13" borderId="19" xfId="0" applyFill="1" applyBorder="1"/>
    <xf numFmtId="10" fontId="1" fillId="10" borderId="20" xfId="1" applyNumberFormat="1" applyFont="1" applyFill="1" applyBorder="1" applyProtection="1"/>
    <xf numFmtId="166" fontId="1" fillId="10" borderId="20" xfId="1" applyNumberFormat="1" applyFont="1" applyFill="1" applyBorder="1" applyProtection="1"/>
    <xf numFmtId="15" fontId="0" fillId="14" borderId="0" xfId="0" applyNumberFormat="1" applyFill="1"/>
    <xf numFmtId="1" fontId="1" fillId="10" borderId="1" xfId="2" applyNumberFormat="1" applyFill="1" applyBorder="1" applyAlignment="1">
      <alignment horizontal="center"/>
    </xf>
    <xf numFmtId="0" fontId="2" fillId="15" borderId="1" xfId="2" applyFont="1" applyFill="1" applyBorder="1" applyAlignment="1">
      <alignment horizontal="center"/>
    </xf>
    <xf numFmtId="0" fontId="1" fillId="13" borderId="1" xfId="2" applyFill="1" applyBorder="1" applyAlignment="1">
      <alignment horizontal="center"/>
    </xf>
    <xf numFmtId="0" fontId="33" fillId="0" borderId="0" xfId="0" applyFont="1" applyAlignment="1">
      <alignment horizontal="center"/>
    </xf>
    <xf numFmtId="0" fontId="1" fillId="15" borderId="1" xfId="2" applyFill="1" applyBorder="1" applyAlignment="1">
      <alignment horizontal="center"/>
    </xf>
    <xf numFmtId="0" fontId="2" fillId="0" borderId="1" xfId="2" applyFont="1" applyBorder="1" applyAlignment="1">
      <alignment horizontal="center"/>
    </xf>
    <xf numFmtId="3" fontId="2" fillId="0" borderId="0" xfId="3" applyNumberFormat="1" applyAlignment="1">
      <alignment horizontal="center"/>
    </xf>
    <xf numFmtId="3" fontId="2" fillId="15" borderId="0" xfId="3" applyNumberFormat="1" applyFill="1" applyAlignment="1">
      <alignment horizontal="center"/>
    </xf>
    <xf numFmtId="3" fontId="0" fillId="0" borderId="0" xfId="0" applyNumberFormat="1"/>
    <xf numFmtId="0" fontId="19" fillId="16" borderId="0" xfId="3" applyFont="1" applyFill="1"/>
    <xf numFmtId="168" fontId="2" fillId="13" borderId="0" xfId="1" applyNumberFormat="1" applyFont="1" applyFill="1" applyBorder="1" applyAlignment="1" applyProtection="1">
      <alignment horizontal="center"/>
    </xf>
    <xf numFmtId="1" fontId="2" fillId="17" borderId="0" xfId="3" applyNumberFormat="1" applyFill="1" applyAlignment="1">
      <alignment horizontal="center"/>
    </xf>
    <xf numFmtId="1" fontId="2" fillId="18" borderId="0" xfId="3" applyNumberFormat="1" applyFill="1"/>
    <xf numFmtId="168" fontId="2" fillId="13" borderId="0" xfId="3" applyNumberFormat="1" applyFill="1"/>
    <xf numFmtId="168" fontId="0" fillId="18" borderId="1" xfId="0" applyNumberFormat="1" applyFill="1" applyBorder="1"/>
    <xf numFmtId="168" fontId="0" fillId="18" borderId="0" xfId="0" applyNumberFormat="1" applyFill="1"/>
    <xf numFmtId="0" fontId="0" fillId="18" borderId="1" xfId="0" applyFill="1" applyBorder="1"/>
    <xf numFmtId="0" fontId="0" fillId="19" borderId="1" xfId="0" applyFill="1" applyBorder="1"/>
    <xf numFmtId="1" fontId="0" fillId="18" borderId="0" xfId="0" applyNumberFormat="1" applyFill="1"/>
    <xf numFmtId="0" fontId="21" fillId="10" borderId="0" xfId="2" applyFont="1" applyFill="1" applyAlignment="1">
      <alignment horizontal="center"/>
    </xf>
    <xf numFmtId="15" fontId="21" fillId="10" borderId="0" xfId="2" applyNumberFormat="1" applyFont="1" applyFill="1" applyProtection="1">
      <protection locked="0"/>
    </xf>
    <xf numFmtId="0" fontId="38" fillId="16" borderId="0" xfId="3" applyFont="1" applyFill="1"/>
    <xf numFmtId="10" fontId="2" fillId="22" borderId="20" xfId="0" applyNumberFormat="1" applyFont="1" applyFill="1" applyBorder="1"/>
    <xf numFmtId="0" fontId="1" fillId="18" borderId="1" xfId="2" applyFill="1" applyBorder="1" applyAlignment="1">
      <alignment horizontal="center"/>
    </xf>
    <xf numFmtId="2" fontId="1" fillId="18" borderId="1" xfId="2" applyNumberFormat="1" applyFill="1" applyBorder="1" applyAlignment="1">
      <alignment horizontal="center"/>
    </xf>
    <xf numFmtId="0" fontId="1" fillId="0" borderId="20" xfId="1" applyNumberFormat="1" applyFont="1" applyBorder="1" applyProtection="1"/>
    <xf numFmtId="0" fontId="2" fillId="21" borderId="20" xfId="0" applyFont="1" applyFill="1" applyBorder="1"/>
    <xf numFmtId="0" fontId="2" fillId="0" borderId="20" xfId="3" applyBorder="1"/>
    <xf numFmtId="0" fontId="0" fillId="0" borderId="23" xfId="0" applyBorder="1"/>
    <xf numFmtId="0" fontId="0" fillId="0" borderId="24" xfId="0" applyBorder="1"/>
    <xf numFmtId="0" fontId="2" fillId="20" borderId="20" xfId="0" applyFont="1" applyFill="1" applyBorder="1"/>
    <xf numFmtId="168" fontId="0" fillId="13" borderId="20" xfId="0" applyNumberFormat="1" applyFill="1" applyBorder="1"/>
    <xf numFmtId="0" fontId="24" fillId="13" borderId="1" xfId="2" applyFont="1" applyFill="1" applyBorder="1" applyAlignment="1">
      <alignment horizontal="right"/>
    </xf>
    <xf numFmtId="0" fontId="21" fillId="13" borderId="1" xfId="2" applyFont="1" applyFill="1" applyBorder="1" applyAlignment="1">
      <alignment vertical="center"/>
    </xf>
    <xf numFmtId="0" fontId="18" fillId="18" borderId="8" xfId="2" applyFont="1" applyFill="1" applyBorder="1" applyAlignment="1">
      <alignment vertical="center"/>
    </xf>
    <xf numFmtId="0" fontId="18" fillId="18" borderId="9" xfId="2" applyFont="1" applyFill="1" applyBorder="1" applyAlignment="1">
      <alignment vertical="center"/>
    </xf>
    <xf numFmtId="0" fontId="21" fillId="10" borderId="0" xfId="2" applyFont="1" applyFill="1"/>
    <xf numFmtId="0" fontId="36" fillId="0" borderId="0" xfId="0" applyFont="1" applyAlignment="1">
      <alignment horizontal="left"/>
    </xf>
    <xf numFmtId="1" fontId="0" fillId="8" borderId="1" xfId="0" applyNumberFormat="1" applyFill="1" applyBorder="1"/>
    <xf numFmtId="1" fontId="2" fillId="13" borderId="20" xfId="0" applyNumberFormat="1" applyFont="1" applyFill="1" applyBorder="1"/>
    <xf numFmtId="0" fontId="2" fillId="23" borderId="20" xfId="0" applyFont="1" applyFill="1" applyBorder="1"/>
    <xf numFmtId="0" fontId="2" fillId="18" borderId="20" xfId="0" applyFont="1" applyFill="1" applyBorder="1"/>
    <xf numFmtId="1" fontId="2" fillId="18" borderId="20" xfId="0" applyNumberFormat="1" applyFont="1" applyFill="1" applyBorder="1"/>
    <xf numFmtId="1" fontId="0" fillId="0" borderId="0" xfId="0" applyNumberFormat="1"/>
    <xf numFmtId="3" fontId="0" fillId="18" borderId="1" xfId="0" applyNumberFormat="1" applyFill="1" applyBorder="1"/>
    <xf numFmtId="2" fontId="0" fillId="8" borderId="1" xfId="0" applyNumberFormat="1" applyFill="1" applyBorder="1"/>
    <xf numFmtId="0" fontId="33" fillId="24" borderId="1" xfId="0" applyFont="1" applyFill="1" applyBorder="1"/>
    <xf numFmtId="168" fontId="0" fillId="0" borderId="0" xfId="0" applyNumberFormat="1"/>
    <xf numFmtId="0" fontId="1" fillId="8" borderId="0" xfId="2" applyFill="1" applyAlignment="1">
      <alignment horizontal="center"/>
    </xf>
    <xf numFmtId="168" fontId="33" fillId="8" borderId="1" xfId="0" applyNumberFormat="1" applyFont="1" applyFill="1" applyBorder="1"/>
    <xf numFmtId="0" fontId="33" fillId="8" borderId="1" xfId="0" applyFont="1" applyFill="1" applyBorder="1"/>
    <xf numFmtId="172" fontId="5" fillId="10" borderId="23" xfId="3" applyNumberFormat="1" applyFont="1" applyFill="1" applyBorder="1" applyAlignment="1" applyProtection="1">
      <alignment horizontal="left"/>
      <protection locked="0"/>
    </xf>
    <xf numFmtId="172" fontId="5" fillId="10" borderId="0" xfId="3" applyNumberFormat="1" applyFont="1" applyFill="1" applyAlignment="1" applyProtection="1">
      <alignment horizontal="left"/>
      <protection locked="0"/>
    </xf>
    <xf numFmtId="0" fontId="22" fillId="4" borderId="0" xfId="2" applyFont="1" applyFill="1" applyAlignment="1">
      <alignment horizontal="center"/>
    </xf>
    <xf numFmtId="0" fontId="2" fillId="12" borderId="1" xfId="0" applyFont="1" applyFill="1" applyBorder="1" applyAlignment="1">
      <alignment horizontal="center"/>
    </xf>
    <xf numFmtId="0" fontId="14" fillId="0" borderId="0" xfId="0" applyFont="1" applyAlignment="1">
      <alignment horizontal="center"/>
    </xf>
    <xf numFmtId="0" fontId="1" fillId="5" borderId="21" xfId="2" applyFill="1" applyBorder="1" applyAlignment="1">
      <alignment horizontal="center"/>
    </xf>
    <xf numFmtId="0" fontId="1" fillId="7" borderId="22" xfId="2" applyFill="1" applyBorder="1" applyAlignment="1">
      <alignment horizontal="center"/>
    </xf>
    <xf numFmtId="0" fontId="33" fillId="0" borderId="1" xfId="0" applyFont="1" applyBorder="1" applyAlignment="1">
      <alignment horizontal="left"/>
    </xf>
    <xf numFmtId="172" fontId="0" fillId="18" borderId="23" xfId="0" applyNumberFormat="1" applyFill="1" applyBorder="1" applyAlignment="1">
      <alignment horizontal="center"/>
    </xf>
    <xf numFmtId="172" fontId="0" fillId="18" borderId="0" xfId="0" applyNumberFormat="1" applyFill="1" applyAlignment="1">
      <alignment horizontal="center"/>
    </xf>
    <xf numFmtId="0" fontId="33" fillId="8" borderId="0" xfId="0" applyFont="1" applyFill="1" applyAlignment="1">
      <alignment horizontal="left"/>
    </xf>
  </cellXfs>
  <cellStyles count="5">
    <cellStyle name="Normal" xfId="0" builtinId="0"/>
    <cellStyle name="Normal 2" xfId="2" xr:uid="{00000000-0005-0000-0000-000006000000}"/>
    <cellStyle name="Normal 2 2" xfId="3" xr:uid="{00000000-0005-0000-0000-000007000000}"/>
    <cellStyle name="Normal 4" xfId="4" xr:uid="{00000000-0005-0000-0000-000008000000}"/>
    <cellStyle name="Percent" xfId="1" builtinId="5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9D18E"/>
      <rgbColor rgb="FF808080"/>
      <rgbColor rgb="FF9999FF"/>
      <rgbColor rgb="FF7030A0"/>
      <rgbColor rgb="FFFFFFCC"/>
      <rgbColor rgb="FFDAE3F3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C5E0B4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C000"/>
    <pageSetUpPr fitToPage="1"/>
  </sheetPr>
  <dimension ref="A1:AMJ50"/>
  <sheetViews>
    <sheetView zoomScale="70" zoomScaleNormal="70" workbookViewId="0">
      <selection activeCell="F46" sqref="F46"/>
    </sheetView>
  </sheetViews>
  <sheetFormatPr defaultColWidth="8.85546875" defaultRowHeight="12.75" x14ac:dyDescent="0.2"/>
  <cols>
    <col min="1" max="1" width="37.85546875" style="5" customWidth="1"/>
    <col min="2" max="2" width="4.140625" style="5" customWidth="1"/>
    <col min="3" max="3" width="8.85546875" style="5"/>
    <col min="4" max="4" width="11.42578125" style="5" customWidth="1"/>
    <col min="5" max="5" width="20.85546875" style="5" customWidth="1"/>
    <col min="6" max="6" width="13" style="5" customWidth="1"/>
    <col min="7" max="7" width="11.42578125" style="5" customWidth="1"/>
    <col min="8" max="8" width="17" style="5" customWidth="1"/>
    <col min="9" max="9" width="14.140625" style="5" customWidth="1"/>
    <col min="10" max="10" width="15" style="5" customWidth="1"/>
    <col min="11" max="11" width="9.7109375" style="5" bestFit="1" customWidth="1"/>
    <col min="12" max="12" width="9.85546875" style="5" customWidth="1"/>
    <col min="13" max="13" width="16" style="5" customWidth="1"/>
    <col min="14" max="14" width="14" style="5" customWidth="1"/>
    <col min="15" max="15" width="15" style="5" customWidth="1"/>
    <col min="16" max="16" width="14.28515625" style="5" customWidth="1"/>
    <col min="17" max="17" width="13" style="5" customWidth="1"/>
    <col min="18" max="18" width="12" style="5" customWidth="1"/>
    <col min="19" max="19" width="11.5703125" style="5" customWidth="1"/>
    <col min="20" max="20" width="10.42578125" style="5" customWidth="1"/>
    <col min="21" max="21" width="9.85546875" style="5" customWidth="1"/>
    <col min="22" max="22" width="10.140625" style="5" customWidth="1"/>
    <col min="23" max="1024" width="8.85546875" style="5"/>
  </cols>
  <sheetData>
    <row r="1" spans="1:22" ht="14.25" customHeight="1" x14ac:dyDescent="0.2">
      <c r="A1" s="6" t="s">
        <v>15</v>
      </c>
      <c r="B1" s="6"/>
      <c r="C1" s="7"/>
      <c r="D1" s="7"/>
      <c r="E1" s="7"/>
      <c r="F1" s="8" t="s">
        <v>16</v>
      </c>
      <c r="G1" s="171">
        <f>Inputs!C2</f>
        <v>45</v>
      </c>
      <c r="H1" s="7"/>
      <c r="I1" s="7"/>
      <c r="J1" s="7"/>
      <c r="L1" s="9"/>
      <c r="M1" s="6"/>
      <c r="N1" s="6"/>
    </row>
    <row r="2" spans="1:22" ht="14.25" x14ac:dyDescent="0.2">
      <c r="A2" s="6" t="s">
        <v>17</v>
      </c>
      <c r="B2" s="6"/>
      <c r="C2" s="7"/>
      <c r="D2" s="7"/>
      <c r="E2" s="7"/>
      <c r="F2" s="8" t="s">
        <v>18</v>
      </c>
      <c r="G2" s="238">
        <f>Inputs!C3</f>
        <v>45970.25</v>
      </c>
      <c r="H2" s="239"/>
      <c r="I2" s="7"/>
      <c r="J2" s="7"/>
      <c r="L2" s="10"/>
      <c r="P2" s="11"/>
    </row>
    <row r="3" spans="1:22" x14ac:dyDescent="0.2">
      <c r="A3" s="6"/>
      <c r="B3" s="6"/>
      <c r="C3" s="7"/>
      <c r="D3" s="7"/>
      <c r="E3" s="7"/>
      <c r="F3" s="7"/>
      <c r="G3" s="7"/>
      <c r="H3" s="7"/>
      <c r="I3" s="7"/>
      <c r="J3" s="7"/>
      <c r="N3" s="12" t="s">
        <v>19</v>
      </c>
      <c r="P3" s="11"/>
    </row>
    <row r="4" spans="1:22" x14ac:dyDescent="0.2">
      <c r="C4" s="13" t="s">
        <v>20</v>
      </c>
      <c r="D4" s="13" t="s">
        <v>21</v>
      </c>
      <c r="E4" s="13" t="s">
        <v>22</v>
      </c>
      <c r="F4" s="13" t="s">
        <v>23</v>
      </c>
      <c r="G4" s="13"/>
      <c r="H4" s="13" t="s">
        <v>24</v>
      </c>
      <c r="I4" s="14" t="s">
        <v>25</v>
      </c>
      <c r="J4" s="13" t="s">
        <v>24</v>
      </c>
      <c r="K4" s="13"/>
      <c r="L4" s="13"/>
      <c r="M4" s="15" t="s">
        <v>24</v>
      </c>
      <c r="N4" s="12" t="s">
        <v>26</v>
      </c>
    </row>
    <row r="5" spans="1:22" x14ac:dyDescent="0.2">
      <c r="A5" s="16" t="s">
        <v>27</v>
      </c>
      <c r="C5" s="17" t="s">
        <v>28</v>
      </c>
      <c r="D5" s="18" t="s">
        <v>29</v>
      </c>
      <c r="E5" s="18" t="s">
        <v>29</v>
      </c>
      <c r="F5" s="18" t="s">
        <v>30</v>
      </c>
      <c r="G5" s="18" t="s">
        <v>31</v>
      </c>
      <c r="H5" s="19" t="s">
        <v>32</v>
      </c>
      <c r="I5" s="20" t="s">
        <v>33</v>
      </c>
      <c r="J5" s="18" t="s">
        <v>34</v>
      </c>
      <c r="K5" s="18" t="s">
        <v>35</v>
      </c>
      <c r="L5" s="18" t="s">
        <v>36</v>
      </c>
      <c r="M5" s="21" t="s">
        <v>37</v>
      </c>
      <c r="N5" s="22" t="s">
        <v>38</v>
      </c>
      <c r="O5" s="18" t="s">
        <v>39</v>
      </c>
      <c r="P5" s="18" t="s">
        <v>40</v>
      </c>
      <c r="Q5" s="18" t="s">
        <v>9</v>
      </c>
      <c r="R5" s="18" t="s">
        <v>41</v>
      </c>
      <c r="S5" s="18" t="s">
        <v>11</v>
      </c>
      <c r="T5" s="18" t="s">
        <v>42</v>
      </c>
      <c r="U5" s="18" t="s">
        <v>43</v>
      </c>
      <c r="V5" s="18" t="s">
        <v>44</v>
      </c>
    </row>
    <row r="6" spans="1:22" x14ac:dyDescent="0.2">
      <c r="A6" s="16"/>
      <c r="H6" s="19"/>
      <c r="I6" s="20"/>
      <c r="J6" s="18"/>
      <c r="K6" s="18"/>
      <c r="L6" s="18"/>
      <c r="M6" s="23"/>
      <c r="N6" s="22"/>
      <c r="O6" s="18"/>
      <c r="P6" s="18"/>
      <c r="Q6" s="18"/>
      <c r="R6" s="18"/>
      <c r="S6" s="18"/>
      <c r="T6" s="18"/>
      <c r="U6" s="18"/>
      <c r="V6" s="18"/>
    </row>
    <row r="7" spans="1:22" x14ac:dyDescent="0.2">
      <c r="A7" s="3" t="s">
        <v>218</v>
      </c>
      <c r="B7" s="3"/>
      <c r="C7" s="34">
        <v>7169</v>
      </c>
      <c r="D7" s="25" t="s">
        <v>45</v>
      </c>
      <c r="E7" s="25" t="s">
        <v>49</v>
      </c>
      <c r="F7" s="25" t="s">
        <v>46</v>
      </c>
      <c r="G7" s="25" t="s">
        <v>47</v>
      </c>
      <c r="H7" s="26">
        <f>IFERROR(M7+N7,"")</f>
        <v>28574.999999999996</v>
      </c>
      <c r="I7" s="27">
        <v>0</v>
      </c>
      <c r="J7" s="26">
        <f>IFERROR(H7-I7,"")</f>
        <v>28574.999999999996</v>
      </c>
      <c r="K7" s="26">
        <f>IFERROR(($E$26/($H$27+$H$28)*$H$27)*R28,"")</f>
        <v>200.02500000000001</v>
      </c>
      <c r="L7" s="26">
        <f>IFERROR(($E$26/($H$27+$H$28)*$H$27)*S28,"")</f>
        <v>28.574999999999999</v>
      </c>
      <c r="M7" s="28">
        <f>IFERROR(K7+L7,"")</f>
        <v>228.6</v>
      </c>
      <c r="N7" s="29">
        <f>IFERROR(O7+P7+Q7+R7+S7+T7+U7+V7,"")</f>
        <v>28346.399999999998</v>
      </c>
      <c r="O7" s="26">
        <f t="shared" ref="O7:V7" si="0">IFERROR(($E$26/($H$27+$H$28)*$H$27)*J28,"")</f>
        <v>457.2</v>
      </c>
      <c r="P7" s="26">
        <f t="shared" si="0"/>
        <v>5286.375</v>
      </c>
      <c r="Q7" s="26">
        <f t="shared" si="0"/>
        <v>19916.774999999998</v>
      </c>
      <c r="R7" s="26">
        <f t="shared" si="0"/>
        <v>2571.75</v>
      </c>
      <c r="S7" s="26">
        <f t="shared" si="0"/>
        <v>28.574999999999999</v>
      </c>
      <c r="T7" s="26">
        <f t="shared" si="0"/>
        <v>0</v>
      </c>
      <c r="U7" s="26">
        <f t="shared" si="0"/>
        <v>85.725000000000009</v>
      </c>
      <c r="V7" s="26">
        <f t="shared" si="0"/>
        <v>0</v>
      </c>
    </row>
    <row r="8" spans="1:22" x14ac:dyDescent="0.2">
      <c r="A8" s="3" t="s">
        <v>218</v>
      </c>
      <c r="B8" s="3"/>
      <c r="C8" s="34">
        <v>7169</v>
      </c>
      <c r="D8" s="25" t="s">
        <v>45</v>
      </c>
      <c r="E8" s="25" t="s">
        <v>49</v>
      </c>
      <c r="F8" s="25" t="s">
        <v>46</v>
      </c>
      <c r="G8" s="25" t="s">
        <v>48</v>
      </c>
      <c r="H8" s="26">
        <f>IFERROR(M8+N8,"")</f>
        <v>0</v>
      </c>
      <c r="I8" s="27">
        <v>0</v>
      </c>
      <c r="J8" s="26">
        <f>IFERROR(H8-I8,"")</f>
        <v>0</v>
      </c>
      <c r="K8" s="26">
        <f>IFERROR(($E$26/($H$27+$H$28)*$H$28)*R28,"")</f>
        <v>0</v>
      </c>
      <c r="L8" s="26">
        <f>IFERROR(($E$26/($H$27+$H$28)*$H$28)*S28,"")</f>
        <v>0</v>
      </c>
      <c r="M8" s="28">
        <f>IFERROR(K8+L8,"")</f>
        <v>0</v>
      </c>
      <c r="N8" s="29">
        <f>IFERROR(O8+P8+Q8+R8+S8+T8+U8+V8,"")</f>
        <v>0</v>
      </c>
      <c r="O8" s="26">
        <f t="shared" ref="O8:V8" si="1">IFERROR(($E$26/($H$27+$H$28)*$H$28)*J28,"")</f>
        <v>0</v>
      </c>
      <c r="P8" s="26">
        <f t="shared" si="1"/>
        <v>0</v>
      </c>
      <c r="Q8" s="26">
        <f t="shared" si="1"/>
        <v>0</v>
      </c>
      <c r="R8" s="26">
        <f t="shared" si="1"/>
        <v>0</v>
      </c>
      <c r="S8" s="26">
        <f t="shared" si="1"/>
        <v>0</v>
      </c>
      <c r="T8" s="26">
        <f t="shared" si="1"/>
        <v>0</v>
      </c>
      <c r="U8" s="26">
        <f t="shared" si="1"/>
        <v>0</v>
      </c>
      <c r="V8" s="26">
        <f t="shared" si="1"/>
        <v>0</v>
      </c>
    </row>
    <row r="10" spans="1:22" x14ac:dyDescent="0.2">
      <c r="A10" s="3" t="s">
        <v>219</v>
      </c>
      <c r="C10" s="24">
        <v>7168</v>
      </c>
      <c r="D10" s="25" t="s">
        <v>45</v>
      </c>
      <c r="E10" s="25" t="s">
        <v>49</v>
      </c>
      <c r="F10" s="25" t="s">
        <v>46</v>
      </c>
      <c r="G10" s="25" t="s">
        <v>47</v>
      </c>
      <c r="H10" s="26">
        <f>IFERROR(M10+N10,"")</f>
        <v>20445.517349334721</v>
      </c>
      <c r="I10" s="27">
        <v>0</v>
      </c>
      <c r="J10" s="26">
        <f>IFERROR(H10-I10,"")</f>
        <v>20445.517349334721</v>
      </c>
      <c r="K10" s="26">
        <f>IFERROR(($E$30/($H$31+$H$32)*$H$31)*R32,"")</f>
        <v>143.11862144534308</v>
      </c>
      <c r="L10" s="26">
        <f>IFERROR(($E$30/($H$31+$H$32)*$H$31)*S32,"")</f>
        <v>20.445517349334725</v>
      </c>
      <c r="M10" s="28">
        <f>IFERROR(K10+L10,"")</f>
        <v>163.5641387946778</v>
      </c>
      <c r="N10" s="29">
        <f>IFERROR(O10+P10+Q10+R10+S10+T10+U10+V10,"")</f>
        <v>20281.953210540043</v>
      </c>
      <c r="O10" s="26">
        <f t="shared" ref="O10:V10" si="2">IFERROR(($E$30/($H$31+$H$32)*$H$31)*J32,"")</f>
        <v>531.58345108270282</v>
      </c>
      <c r="P10" s="26">
        <f t="shared" si="2"/>
        <v>5295.3889934776935</v>
      </c>
      <c r="Q10" s="26">
        <f t="shared" si="2"/>
        <v>12921.566964779546</v>
      </c>
      <c r="R10" s="26">
        <f t="shared" si="2"/>
        <v>1472.0772491521</v>
      </c>
      <c r="S10" s="26">
        <f t="shared" si="2"/>
        <v>20.445517349334725</v>
      </c>
      <c r="T10" s="26">
        <f t="shared" si="2"/>
        <v>0</v>
      </c>
      <c r="U10" s="26">
        <f t="shared" si="2"/>
        <v>40.891034698669451</v>
      </c>
      <c r="V10" s="26">
        <f t="shared" si="2"/>
        <v>0</v>
      </c>
    </row>
    <row r="11" spans="1:22" x14ac:dyDescent="0.2">
      <c r="A11" s="3" t="s">
        <v>219</v>
      </c>
      <c r="C11" s="24">
        <v>7168</v>
      </c>
      <c r="D11" s="25" t="s">
        <v>45</v>
      </c>
      <c r="E11" s="25" t="s">
        <v>49</v>
      </c>
      <c r="F11" s="25" t="s">
        <v>46</v>
      </c>
      <c r="G11" s="25" t="s">
        <v>48</v>
      </c>
      <c r="H11" s="26">
        <f>IFERROR(M11+N11,"")</f>
        <v>2264.4826506652753</v>
      </c>
      <c r="I11" s="27">
        <v>0</v>
      </c>
      <c r="J11" s="26">
        <f>IFERROR(H11-I11,"")</f>
        <v>2264.4826506652753</v>
      </c>
      <c r="K11" s="26">
        <f>IFERROR(($E$30/($H$31+$H$32)*$H$32)*R32,"")</f>
        <v>15.851378554656927</v>
      </c>
      <c r="L11" s="26">
        <f>IFERROR(($E$30/($H$31+$H$32)*$H$32)*S32,"")</f>
        <v>2.2644826506652755</v>
      </c>
      <c r="M11" s="28">
        <f>IFERROR(K11+L11,"")</f>
        <v>18.115861205322204</v>
      </c>
      <c r="N11" s="29">
        <f>IFERROR(O11+P11+Q11+R11+S11+T11+U11+V11,"")</f>
        <v>2246.366789459953</v>
      </c>
      <c r="O11" s="26">
        <f t="shared" ref="O11:V11" si="3">IFERROR(($E$30/($H$31+$H$32)*$H$32)*J32,"")</f>
        <v>58.876548917297157</v>
      </c>
      <c r="P11" s="26">
        <f t="shared" si="3"/>
        <v>586.50100652230628</v>
      </c>
      <c r="Q11" s="26">
        <f t="shared" si="3"/>
        <v>1431.1530352204541</v>
      </c>
      <c r="R11" s="26">
        <f t="shared" si="3"/>
        <v>163.04275084789981</v>
      </c>
      <c r="S11" s="26">
        <f t="shared" si="3"/>
        <v>2.2644826506652755</v>
      </c>
      <c r="T11" s="26">
        <f t="shared" si="3"/>
        <v>0</v>
      </c>
      <c r="U11" s="26">
        <f t="shared" si="3"/>
        <v>4.5289653013305511</v>
      </c>
      <c r="V11" s="26">
        <f t="shared" si="3"/>
        <v>0</v>
      </c>
    </row>
    <row r="13" spans="1:22" x14ac:dyDescent="0.2">
      <c r="A13" s="3" t="s">
        <v>220</v>
      </c>
      <c r="C13" s="24">
        <v>7169</v>
      </c>
      <c r="D13" s="25" t="s">
        <v>45</v>
      </c>
      <c r="E13" s="25" t="s">
        <v>49</v>
      </c>
      <c r="F13" s="25" t="s">
        <v>46</v>
      </c>
      <c r="G13" s="25" t="s">
        <v>47</v>
      </c>
      <c r="H13" s="26">
        <f>IFERROR(M13+N13,"")</f>
        <v>16573.754341648251</v>
      </c>
      <c r="I13" s="27">
        <v>0</v>
      </c>
      <c r="J13" s="26">
        <f>IFERROR(H13-I13,"")</f>
        <v>16573.754341648251</v>
      </c>
      <c r="K13" s="26">
        <f>IFERROR(($E$34/($H$35+$H$36)*$H$35)*R36,"")</f>
        <v>66.295017366592987</v>
      </c>
      <c r="L13" s="26">
        <f>IFERROR(($E$34/($H$35+$H$36)*$H$35)*S36,"")</f>
        <v>33.147508683296493</v>
      </c>
      <c r="M13" s="28">
        <f>IFERROR(K13+L13,"")</f>
        <v>99.44252604988948</v>
      </c>
      <c r="N13" s="29">
        <f>IFERROR(O13+P13+Q13+R13+S13+T13+U13+V13,"")</f>
        <v>16474.311815598361</v>
      </c>
      <c r="O13" s="26">
        <f t="shared" ref="O13:V13" si="4">IFERROR(($E$34/($H$35+$H$36)*$H$35)*J36,"")</f>
        <v>812.11396274076412</v>
      </c>
      <c r="P13" s="26">
        <f t="shared" si="4"/>
        <v>5452.7651784022737</v>
      </c>
      <c r="Q13" s="26">
        <f t="shared" si="4"/>
        <v>9248.1549226397237</v>
      </c>
      <c r="R13" s="26">
        <f t="shared" si="4"/>
        <v>911.55648879065359</v>
      </c>
      <c r="S13" s="26">
        <f t="shared" si="4"/>
        <v>16.573754341648247</v>
      </c>
      <c r="T13" s="26">
        <f t="shared" si="4"/>
        <v>0</v>
      </c>
      <c r="U13" s="26">
        <f t="shared" si="4"/>
        <v>33.147508683296493</v>
      </c>
      <c r="V13" s="26">
        <f t="shared" si="4"/>
        <v>0</v>
      </c>
    </row>
    <row r="14" spans="1:22" x14ac:dyDescent="0.2">
      <c r="A14" s="3" t="s">
        <v>220</v>
      </c>
      <c r="C14" s="24">
        <v>7169</v>
      </c>
      <c r="D14" s="25" t="s">
        <v>45</v>
      </c>
      <c r="E14" s="25" t="s">
        <v>49</v>
      </c>
      <c r="F14" s="25" t="s">
        <v>46</v>
      </c>
      <c r="G14" s="25" t="s">
        <v>48</v>
      </c>
      <c r="H14" s="26">
        <f>IFERROR(M14+N14,"")</f>
        <v>1111.2456583517526</v>
      </c>
      <c r="I14" s="27">
        <v>0</v>
      </c>
      <c r="J14" s="26">
        <f>IFERROR(H14-I14,"")</f>
        <v>1111.2456583517526</v>
      </c>
      <c r="K14" s="26">
        <f>IFERROR(($E$34/($H$35+$H$36)*$H$36)*R36,"")</f>
        <v>4.4449826334070108</v>
      </c>
      <c r="L14" s="26">
        <f>IFERROR(($E$34/($H$35+$H$36)*$H$36)*S36,"")</f>
        <v>2.2224913167035054</v>
      </c>
      <c r="M14" s="28">
        <f>IFERROR(K14+L14,"")</f>
        <v>6.6674739501105158</v>
      </c>
      <c r="N14" s="29">
        <f>IFERROR(O14+P14+Q14+R14+S14+T14+U14+V14,"")</f>
        <v>1104.5781844016421</v>
      </c>
      <c r="O14" s="26">
        <f t="shared" ref="O14:V14" si="5">IFERROR(($E$34/($H$35+$H$36)*$H$36)*J36,"")</f>
        <v>54.451037259235882</v>
      </c>
      <c r="P14" s="26">
        <f t="shared" si="5"/>
        <v>365.59982159772659</v>
      </c>
      <c r="Q14" s="26">
        <f t="shared" si="5"/>
        <v>620.07507736027799</v>
      </c>
      <c r="R14" s="26">
        <f t="shared" si="5"/>
        <v>61.118511209346394</v>
      </c>
      <c r="S14" s="26">
        <f t="shared" si="5"/>
        <v>1.1112456583517527</v>
      </c>
      <c r="T14" s="26">
        <f t="shared" si="5"/>
        <v>0</v>
      </c>
      <c r="U14" s="26">
        <f t="shared" si="5"/>
        <v>2.2224913167035054</v>
      </c>
      <c r="V14" s="26">
        <f t="shared" si="5"/>
        <v>0</v>
      </c>
    </row>
    <row r="15" spans="1:22" x14ac:dyDescent="0.2">
      <c r="H15" s="26"/>
      <c r="I15" s="27"/>
      <c r="J15" s="31"/>
      <c r="K15" s="26"/>
      <c r="L15" s="26"/>
      <c r="M15" s="32"/>
      <c r="N15" s="33"/>
      <c r="O15" s="26"/>
      <c r="P15" s="26"/>
      <c r="Q15" s="26"/>
      <c r="R15" s="26"/>
      <c r="S15" s="26"/>
      <c r="T15" s="26"/>
      <c r="U15" s="26"/>
      <c r="V15" s="26"/>
    </row>
    <row r="16" spans="1:22" x14ac:dyDescent="0.2">
      <c r="A16" s="3" t="s">
        <v>222</v>
      </c>
      <c r="C16" s="24">
        <v>7168</v>
      </c>
      <c r="D16" s="25" t="s">
        <v>45</v>
      </c>
      <c r="E16" s="25" t="s">
        <v>49</v>
      </c>
      <c r="F16" s="25" t="s">
        <v>46</v>
      </c>
      <c r="G16" s="25" t="s">
        <v>47</v>
      </c>
      <c r="H16" s="26">
        <f>IFERROR(M16+N16,"")</f>
        <v>0</v>
      </c>
      <c r="I16" s="27">
        <v>0</v>
      </c>
      <c r="J16" s="26">
        <f>IFERROR(H16-I16,"")</f>
        <v>0</v>
      </c>
      <c r="K16" s="26">
        <f>IFERROR(($E$38/($H$39)*$H$39)*R40,"")</f>
        <v>0</v>
      </c>
      <c r="L16" s="26">
        <f>IFERROR(($E$38/($H$39)*$H$39)*S40,"")</f>
        <v>0</v>
      </c>
      <c r="M16" s="28">
        <f>IFERROR(K16+L16,"")</f>
        <v>0</v>
      </c>
      <c r="N16" s="29">
        <f>IFERROR(O16+P16+Q16+R16+S16+T16+U16+V16,"")</f>
        <v>0</v>
      </c>
      <c r="O16" s="26">
        <f t="shared" ref="O16:V16" si="6">IFERROR(($E$38/($H$39)*$H$39)*J40,"")</f>
        <v>0</v>
      </c>
      <c r="P16" s="26">
        <f t="shared" si="6"/>
        <v>0</v>
      </c>
      <c r="Q16" s="26">
        <f t="shared" si="6"/>
        <v>0</v>
      </c>
      <c r="R16" s="26">
        <f t="shared" si="6"/>
        <v>0</v>
      </c>
      <c r="S16" s="26">
        <f t="shared" si="6"/>
        <v>0</v>
      </c>
      <c r="T16" s="26">
        <f t="shared" si="6"/>
        <v>0</v>
      </c>
      <c r="U16" s="26">
        <f t="shared" si="6"/>
        <v>0</v>
      </c>
      <c r="V16" s="26">
        <f t="shared" si="6"/>
        <v>0</v>
      </c>
    </row>
    <row r="18" spans="1:22" x14ac:dyDescent="0.2">
      <c r="H18" s="26"/>
      <c r="I18" s="27"/>
      <c r="J18" s="31"/>
      <c r="K18" s="26"/>
      <c r="L18" s="26"/>
      <c r="M18" s="32"/>
      <c r="N18" s="35"/>
      <c r="O18" s="26"/>
      <c r="P18" s="26"/>
      <c r="Q18" s="26"/>
      <c r="R18" s="26"/>
      <c r="S18" s="26"/>
      <c r="T18" s="26"/>
      <c r="U18" s="26"/>
      <c r="V18" s="26"/>
    </row>
    <row r="19" spans="1:22" ht="18" x14ac:dyDescent="0.25">
      <c r="A19" s="36" t="s">
        <v>50</v>
      </c>
      <c r="B19" s="36"/>
      <c r="C19" s="36"/>
      <c r="D19" s="36"/>
      <c r="E19" s="36"/>
      <c r="F19" s="36"/>
      <c r="G19" s="36"/>
      <c r="H19" s="37">
        <f t="shared" ref="H19:V19" si="7">SUM(H7:H18)</f>
        <v>68970</v>
      </c>
      <c r="I19" s="37">
        <f t="shared" si="7"/>
        <v>0</v>
      </c>
      <c r="J19" s="37">
        <f t="shared" si="7"/>
        <v>68970</v>
      </c>
      <c r="K19" s="37">
        <f t="shared" si="7"/>
        <v>429.73500000000001</v>
      </c>
      <c r="L19" s="37">
        <f t="shared" si="7"/>
        <v>86.655000000000001</v>
      </c>
      <c r="M19" s="37">
        <f t="shared" si="7"/>
        <v>516.39</v>
      </c>
      <c r="N19" s="37">
        <f t="shared" si="7"/>
        <v>68453.609999999986</v>
      </c>
      <c r="O19" s="37">
        <f t="shared" si="7"/>
        <v>1914.2249999999999</v>
      </c>
      <c r="P19" s="37">
        <f t="shared" si="7"/>
        <v>16986.63</v>
      </c>
      <c r="Q19" s="37">
        <f t="shared" si="7"/>
        <v>44137.725000000006</v>
      </c>
      <c r="R19" s="37">
        <f t="shared" si="7"/>
        <v>5179.5450000000001</v>
      </c>
      <c r="S19" s="37">
        <f t="shared" si="7"/>
        <v>68.97</v>
      </c>
      <c r="T19" s="37">
        <f t="shared" si="7"/>
        <v>0</v>
      </c>
      <c r="U19" s="37">
        <f t="shared" si="7"/>
        <v>166.51499999999999</v>
      </c>
      <c r="V19" s="37">
        <f t="shared" si="7"/>
        <v>0</v>
      </c>
    </row>
    <row r="20" spans="1:22" x14ac:dyDescent="0.2">
      <c r="A20" s="38"/>
      <c r="B20" s="39"/>
      <c r="C20" s="39"/>
      <c r="D20" s="39"/>
      <c r="E20" s="39"/>
      <c r="F20" s="39"/>
      <c r="G20" s="39"/>
      <c r="H20" s="39"/>
      <c r="I20" s="40"/>
      <c r="J20" s="40"/>
      <c r="N20" s="39"/>
      <c r="O20" s="39"/>
      <c r="P20" s="39"/>
      <c r="Q20" s="39"/>
      <c r="R20" s="39"/>
      <c r="S20" s="39"/>
      <c r="T20" s="39"/>
      <c r="U20" s="39"/>
      <c r="V20" s="39"/>
    </row>
    <row r="21" spans="1:22" ht="18" customHeight="1" x14ac:dyDescent="0.25">
      <c r="A21" s="38"/>
      <c r="B21" s="39"/>
      <c r="C21" s="39"/>
      <c r="D21" s="39"/>
      <c r="E21" s="39"/>
      <c r="F21" s="39"/>
      <c r="G21" s="39"/>
      <c r="H21" s="39"/>
      <c r="I21" s="40"/>
      <c r="J21" s="40"/>
      <c r="K21" s="39"/>
      <c r="L21" s="41"/>
      <c r="M21" s="41"/>
      <c r="N21" s="37">
        <f>M19+N19</f>
        <v>68969.999999999985</v>
      </c>
      <c r="O21" s="39"/>
      <c r="P21" s="39"/>
      <c r="Q21" s="39"/>
      <c r="R21" s="39"/>
      <c r="S21" s="39"/>
      <c r="T21" s="39"/>
      <c r="U21" s="39"/>
      <c r="V21" s="39"/>
    </row>
    <row r="22" spans="1:22" ht="18" x14ac:dyDescent="0.2">
      <c r="A22" s="42" t="s">
        <v>51</v>
      </c>
      <c r="B22" s="38"/>
      <c r="C22" s="38"/>
      <c r="D22" s="38"/>
      <c r="E22" s="38"/>
      <c r="F22" s="38"/>
      <c r="G22" s="38"/>
      <c r="H22" s="38"/>
      <c r="I22" s="43"/>
      <c r="J22" s="43"/>
      <c r="K22" s="38"/>
      <c r="L22" s="44"/>
      <c r="M22" s="44"/>
      <c r="N22" s="38"/>
      <c r="O22" s="38"/>
      <c r="P22" s="38"/>
      <c r="Q22" s="38"/>
      <c r="R22" s="38"/>
      <c r="S22" s="38"/>
      <c r="T22" s="38"/>
      <c r="U22" s="38"/>
      <c r="V22" s="38"/>
    </row>
    <row r="23" spans="1:22" x14ac:dyDescent="0.2">
      <c r="A23" s="45"/>
      <c r="B23" s="45"/>
      <c r="C23" s="45"/>
      <c r="D23" s="45"/>
      <c r="E23" s="45"/>
      <c r="F23" s="45"/>
      <c r="G23" s="45"/>
      <c r="H23" s="45"/>
      <c r="I23" s="46"/>
      <c r="J23" s="46"/>
      <c r="K23" s="45"/>
      <c r="L23" s="47"/>
      <c r="M23" s="47"/>
      <c r="N23" s="45"/>
      <c r="O23" s="45"/>
      <c r="P23" s="45"/>
      <c r="Q23" s="45"/>
      <c r="R23" s="45"/>
      <c r="S23" s="45"/>
      <c r="T23" s="45"/>
      <c r="U23" s="45"/>
      <c r="V23" s="45"/>
    </row>
    <row r="24" spans="1:22" ht="25.5" x14ac:dyDescent="0.2">
      <c r="A24" s="38"/>
      <c r="B24" s="38"/>
      <c r="C24" s="38"/>
      <c r="D24" s="38"/>
      <c r="E24" s="38"/>
      <c r="F24" s="38"/>
      <c r="G24" s="38"/>
      <c r="H24" s="48" t="s">
        <v>52</v>
      </c>
      <c r="I24" s="49"/>
      <c r="J24" s="18" t="s">
        <v>39</v>
      </c>
      <c r="K24" s="18" t="s">
        <v>40</v>
      </c>
      <c r="L24" s="18" t="s">
        <v>9</v>
      </c>
      <c r="M24" s="18" t="s">
        <v>41</v>
      </c>
      <c r="N24" s="18" t="s">
        <v>11</v>
      </c>
      <c r="O24" s="18" t="s">
        <v>42</v>
      </c>
      <c r="P24" s="18" t="s">
        <v>43</v>
      </c>
      <c r="Q24" s="18" t="s">
        <v>44</v>
      </c>
      <c r="R24" s="18" t="s">
        <v>35</v>
      </c>
      <c r="S24" s="18" t="s">
        <v>36</v>
      </c>
      <c r="T24" s="48" t="s">
        <v>53</v>
      </c>
    </row>
    <row r="25" spans="1:22" x14ac:dyDescent="0.2">
      <c r="A25" s="3"/>
      <c r="C25" s="24"/>
      <c r="D25" s="25"/>
      <c r="E25" s="25"/>
      <c r="F25" s="25"/>
      <c r="G25" s="25"/>
      <c r="H25" s="30"/>
      <c r="I25" s="30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56"/>
    </row>
    <row r="26" spans="1:22" ht="15.75" x14ac:dyDescent="0.25">
      <c r="A26" s="50" t="s">
        <v>55</v>
      </c>
      <c r="B26" s="51"/>
      <c r="C26" s="51"/>
      <c r="D26" s="51"/>
      <c r="E26" s="208">
        <f>Inputs!J29</f>
        <v>28575</v>
      </c>
      <c r="F26" s="57"/>
      <c r="G26" s="57"/>
      <c r="H26" s="58"/>
      <c r="I26" s="59"/>
      <c r="J26" s="59"/>
      <c r="K26" s="59"/>
      <c r="L26" s="59"/>
      <c r="M26" s="59"/>
      <c r="N26" s="59"/>
      <c r="O26" s="59"/>
      <c r="P26" s="59"/>
      <c r="Q26" s="59"/>
      <c r="R26" s="59"/>
      <c r="S26" s="59"/>
      <c r="T26" s="54"/>
    </row>
    <row r="27" spans="1:22" s="54" customFormat="1" ht="18" customHeight="1" x14ac:dyDescent="0.2">
      <c r="A27" s="3" t="s">
        <v>218</v>
      </c>
      <c r="B27" s="3"/>
      <c r="C27" s="34">
        <v>7169</v>
      </c>
      <c r="D27" s="25" t="s">
        <v>45</v>
      </c>
      <c r="E27" s="25" t="s">
        <v>49</v>
      </c>
      <c r="F27" s="25" t="s">
        <v>46</v>
      </c>
      <c r="G27" s="25" t="s">
        <v>47</v>
      </c>
      <c r="H27" s="55">
        <f>'Bird Inventory'!H3</f>
        <v>49042</v>
      </c>
      <c r="I27" s="26"/>
      <c r="J27" s="198">
        <f t="shared" ref="J27:S27" si="8">$E26*J28</f>
        <v>457.2</v>
      </c>
      <c r="K27" s="198">
        <f t="shared" si="8"/>
        <v>5286.375</v>
      </c>
      <c r="L27" s="198">
        <f t="shared" si="8"/>
        <v>19916.774999999998</v>
      </c>
      <c r="M27" s="198">
        <f t="shared" si="8"/>
        <v>2571.75</v>
      </c>
      <c r="N27" s="198">
        <f t="shared" si="8"/>
        <v>28.574999999999999</v>
      </c>
      <c r="O27" s="198">
        <f t="shared" si="8"/>
        <v>0</v>
      </c>
      <c r="P27" s="198">
        <f t="shared" si="8"/>
        <v>85.725000000000009</v>
      </c>
      <c r="Q27" s="198">
        <f t="shared" si="8"/>
        <v>0</v>
      </c>
      <c r="R27" s="198">
        <f t="shared" si="8"/>
        <v>200.02500000000001</v>
      </c>
      <c r="S27" s="198">
        <f t="shared" si="8"/>
        <v>28.574999999999999</v>
      </c>
      <c r="T27" s="199">
        <f>SUM(J27:S27)</f>
        <v>28575</v>
      </c>
    </row>
    <row r="28" spans="1:22" x14ac:dyDescent="0.2">
      <c r="A28" s="3"/>
      <c r="B28" s="3"/>
      <c r="C28" s="34"/>
      <c r="D28" s="25"/>
      <c r="E28" s="25"/>
      <c r="F28" s="25"/>
      <c r="G28" s="25"/>
      <c r="H28" s="30"/>
      <c r="I28" s="26"/>
      <c r="J28" s="197">
        <f>Inputs!B37</f>
        <v>1.6E-2</v>
      </c>
      <c r="K28" s="197">
        <f>Inputs!B38</f>
        <v>0.185</v>
      </c>
      <c r="L28" s="197">
        <f>Inputs!B39</f>
        <v>0.69699999999999995</v>
      </c>
      <c r="M28" s="197">
        <f>Inputs!B40</f>
        <v>0.09</v>
      </c>
      <c r="N28" s="197">
        <f>Inputs!B41</f>
        <v>1E-3</v>
      </c>
      <c r="O28" s="197">
        <v>0</v>
      </c>
      <c r="P28" s="197">
        <f>Inputs!B49</f>
        <v>3.0000000000000001E-3</v>
      </c>
      <c r="Q28" s="197">
        <f>Inputs!B42</f>
        <v>0</v>
      </c>
      <c r="R28" s="197">
        <f>Inputs!B48+Inputs!B50</f>
        <v>7.0000000000000001E-3</v>
      </c>
      <c r="S28" s="197">
        <f>Inputs!B47</f>
        <v>1E-3</v>
      </c>
      <c r="T28" s="200">
        <f>SUM(J28:S28)</f>
        <v>0.99999999999999989</v>
      </c>
    </row>
    <row r="30" spans="1:22" ht="15.75" x14ac:dyDescent="0.25">
      <c r="A30" s="50" t="s">
        <v>192</v>
      </c>
      <c r="B30" s="51"/>
      <c r="C30" s="51"/>
      <c r="D30" s="51"/>
      <c r="E30" s="208">
        <f>Inputs!J30+Inputs!K30</f>
        <v>22710</v>
      </c>
      <c r="F30" s="57"/>
      <c r="G30" s="57"/>
      <c r="H30" s="58"/>
      <c r="I30" s="30"/>
      <c r="J30" s="59"/>
      <c r="K30" s="59"/>
      <c r="L30" s="59"/>
      <c r="M30" s="59"/>
      <c r="N30" s="59"/>
      <c r="O30" s="59"/>
      <c r="P30" s="59"/>
      <c r="Q30" s="59"/>
      <c r="R30" s="59"/>
      <c r="S30" s="59"/>
      <c r="T30" s="56"/>
    </row>
    <row r="31" spans="1:22" s="54" customFormat="1" ht="18" customHeight="1" x14ac:dyDescent="0.2">
      <c r="A31" s="3" t="s">
        <v>219</v>
      </c>
      <c r="B31" s="5"/>
      <c r="C31" s="24">
        <v>7168</v>
      </c>
      <c r="D31" s="25" t="s">
        <v>45</v>
      </c>
      <c r="E31" s="25" t="s">
        <v>49</v>
      </c>
      <c r="F31" s="25" t="s">
        <v>46</v>
      </c>
      <c r="G31" s="25" t="s">
        <v>47</v>
      </c>
      <c r="H31" s="55">
        <f>'Bird Inventory'!H5</f>
        <v>34508</v>
      </c>
      <c r="I31" s="30"/>
      <c r="J31" s="198">
        <f t="shared" ref="J31:S31" si="9">$E30*J32</f>
        <v>590.45999999999992</v>
      </c>
      <c r="K31" s="198">
        <f t="shared" si="9"/>
        <v>5881.89</v>
      </c>
      <c r="L31" s="198">
        <f t="shared" si="9"/>
        <v>14352.72</v>
      </c>
      <c r="M31" s="198">
        <f t="shared" si="9"/>
        <v>1635.12</v>
      </c>
      <c r="N31" s="198">
        <f t="shared" si="9"/>
        <v>22.71</v>
      </c>
      <c r="O31" s="198">
        <f t="shared" si="9"/>
        <v>0</v>
      </c>
      <c r="P31" s="198">
        <f t="shared" si="9"/>
        <v>45.42</v>
      </c>
      <c r="Q31" s="198">
        <f t="shared" si="9"/>
        <v>0</v>
      </c>
      <c r="R31" s="198">
        <f t="shared" si="9"/>
        <v>158.97</v>
      </c>
      <c r="S31" s="198">
        <f t="shared" si="9"/>
        <v>22.71</v>
      </c>
      <c r="T31" s="199">
        <f>SUM(J31:S31)</f>
        <v>22709.999999999996</v>
      </c>
    </row>
    <row r="32" spans="1:22" x14ac:dyDescent="0.2">
      <c r="A32" s="3" t="s">
        <v>219</v>
      </c>
      <c r="C32" s="24">
        <v>7168</v>
      </c>
      <c r="D32" s="25" t="s">
        <v>45</v>
      </c>
      <c r="E32" s="25" t="s">
        <v>49</v>
      </c>
      <c r="F32" s="25" t="s">
        <v>46</v>
      </c>
      <c r="G32" s="25" t="s">
        <v>48</v>
      </c>
      <c r="H32" s="55">
        <f>'Bird Inventory'!H6</f>
        <v>3822</v>
      </c>
      <c r="I32" s="30"/>
      <c r="J32" s="197">
        <f>Inputs!C37</f>
        <v>2.5999999999999999E-2</v>
      </c>
      <c r="K32" s="197">
        <f>Inputs!C38</f>
        <v>0.25900000000000001</v>
      </c>
      <c r="L32" s="197">
        <f>Inputs!C39</f>
        <v>0.63200000000000001</v>
      </c>
      <c r="M32" s="197">
        <f>Inputs!C40</f>
        <v>7.1999999999999995E-2</v>
      </c>
      <c r="N32" s="197">
        <f>Inputs!C41</f>
        <v>1E-3</v>
      </c>
      <c r="O32" s="197">
        <v>0</v>
      </c>
      <c r="P32" s="197">
        <f>Inputs!C49</f>
        <v>2E-3</v>
      </c>
      <c r="Q32" s="197">
        <f>Inputs!C42</f>
        <v>0</v>
      </c>
      <c r="R32" s="197">
        <f>Inputs!C48+Inputs!C50</f>
        <v>7.0000000000000001E-3</v>
      </c>
      <c r="S32" s="197">
        <f>Inputs!C47</f>
        <v>1E-3</v>
      </c>
      <c r="T32" s="200">
        <f>SUM(J32:S32)</f>
        <v>1</v>
      </c>
    </row>
    <row r="33" spans="1:20" x14ac:dyDescent="0.2">
      <c r="A33" s="3"/>
      <c r="C33" s="24"/>
      <c r="D33" s="25"/>
      <c r="E33" s="25"/>
      <c r="F33" s="25"/>
      <c r="G33" s="25"/>
      <c r="H33" s="30"/>
      <c r="I33" s="30"/>
      <c r="J33" s="26"/>
      <c r="K33" s="26"/>
      <c r="L33" s="26"/>
      <c r="M33" s="26"/>
      <c r="N33" s="26"/>
      <c r="O33" s="26"/>
      <c r="P33" s="26"/>
      <c r="Q33" s="26"/>
      <c r="R33" s="26"/>
      <c r="S33" s="26"/>
    </row>
    <row r="34" spans="1:20" s="54" customFormat="1" ht="18" customHeight="1" x14ac:dyDescent="0.25">
      <c r="A34" s="50" t="s">
        <v>221</v>
      </c>
      <c r="B34" s="51"/>
      <c r="C34" s="51"/>
      <c r="D34" s="51"/>
      <c r="E34" s="208">
        <f>Inputs!J31+Inputs!K31</f>
        <v>17685</v>
      </c>
      <c r="F34" s="51"/>
      <c r="G34" s="51"/>
      <c r="H34" s="51"/>
      <c r="I34" s="52"/>
      <c r="J34" s="51"/>
      <c r="K34" s="51"/>
      <c r="L34" s="51"/>
      <c r="M34" s="51"/>
      <c r="N34" s="51"/>
      <c r="O34" s="51"/>
      <c r="P34" s="51"/>
      <c r="Q34" s="51"/>
      <c r="R34" s="51"/>
      <c r="S34" s="53"/>
    </row>
    <row r="35" spans="1:20" x14ac:dyDescent="0.2">
      <c r="A35" s="3" t="s">
        <v>220</v>
      </c>
      <c r="C35" s="24">
        <v>7169</v>
      </c>
      <c r="D35" s="25" t="s">
        <v>45</v>
      </c>
      <c r="E35" s="25" t="s">
        <v>49</v>
      </c>
      <c r="F35" s="25" t="s">
        <v>46</v>
      </c>
      <c r="G35" s="25" t="s">
        <v>47</v>
      </c>
      <c r="H35" s="55">
        <f>'Bird Inventory'!H8</f>
        <v>29680</v>
      </c>
      <c r="I35" s="30"/>
      <c r="J35" s="198">
        <f t="shared" ref="J35:S35" si="10">$E$34*J36</f>
        <v>866.56500000000005</v>
      </c>
      <c r="K35" s="198">
        <f t="shared" si="10"/>
        <v>5818.3650000000007</v>
      </c>
      <c r="L35" s="198">
        <f t="shared" si="10"/>
        <v>9868.2300000000014</v>
      </c>
      <c r="M35" s="198">
        <f t="shared" si="10"/>
        <v>972.67499999999995</v>
      </c>
      <c r="N35" s="198">
        <f t="shared" si="10"/>
        <v>17.684999999999999</v>
      </c>
      <c r="O35" s="198">
        <f t="shared" si="10"/>
        <v>0</v>
      </c>
      <c r="P35" s="198">
        <f t="shared" si="10"/>
        <v>35.369999999999997</v>
      </c>
      <c r="Q35" s="198">
        <f t="shared" si="10"/>
        <v>0</v>
      </c>
      <c r="R35" s="198">
        <f t="shared" si="10"/>
        <v>70.739999999999995</v>
      </c>
      <c r="S35" s="198">
        <f t="shared" si="10"/>
        <v>35.369999999999997</v>
      </c>
      <c r="T35" s="199">
        <f>SUM(J35:S35)</f>
        <v>17685.000000000004</v>
      </c>
    </row>
    <row r="36" spans="1:20" x14ac:dyDescent="0.2">
      <c r="A36" s="3" t="s">
        <v>220</v>
      </c>
      <c r="C36" s="24">
        <v>7169</v>
      </c>
      <c r="D36" s="25" t="s">
        <v>45</v>
      </c>
      <c r="E36" s="25" t="s">
        <v>49</v>
      </c>
      <c r="F36" s="25" t="s">
        <v>46</v>
      </c>
      <c r="G36" s="25" t="s">
        <v>48</v>
      </c>
      <c r="H36" s="55">
        <f>'Bird Inventory'!H9</f>
        <v>1990</v>
      </c>
      <c r="I36" s="30"/>
      <c r="J36" s="197">
        <f>Inputs!D37</f>
        <v>4.9000000000000002E-2</v>
      </c>
      <c r="K36" s="197">
        <f>Inputs!D38</f>
        <v>0.32900000000000001</v>
      </c>
      <c r="L36" s="197">
        <f>Inputs!D39</f>
        <v>0.55800000000000005</v>
      </c>
      <c r="M36" s="197">
        <f>Inputs!D40</f>
        <v>5.5E-2</v>
      </c>
      <c r="N36" s="197">
        <f>Inputs!D41</f>
        <v>1E-3</v>
      </c>
      <c r="O36" s="197">
        <v>0</v>
      </c>
      <c r="P36" s="197">
        <f>Inputs!D49</f>
        <v>2E-3</v>
      </c>
      <c r="Q36" s="197">
        <f>Inputs!D42</f>
        <v>0</v>
      </c>
      <c r="R36" s="197">
        <f>Inputs!D50+Inputs!D48</f>
        <v>4.0000000000000001E-3</v>
      </c>
      <c r="S36" s="197">
        <f>Inputs!D47</f>
        <v>2E-3</v>
      </c>
      <c r="T36" s="200">
        <f>SUM(J36:S36)</f>
        <v>1</v>
      </c>
    </row>
    <row r="38" spans="1:20" s="54" customFormat="1" ht="18" customHeight="1" x14ac:dyDescent="0.25">
      <c r="A38" s="50" t="s">
        <v>54</v>
      </c>
      <c r="B38" s="51"/>
      <c r="C38" s="51"/>
      <c r="D38" s="51"/>
      <c r="E38" s="196">
        <f>Inputs!J32</f>
        <v>5640</v>
      </c>
      <c r="H38" s="58"/>
      <c r="I38"/>
      <c r="J38" s="59"/>
      <c r="K38" s="59"/>
      <c r="L38" s="59"/>
      <c r="M38" s="59"/>
      <c r="N38" s="59"/>
      <c r="O38" s="59"/>
      <c r="P38" s="59"/>
      <c r="Q38" s="59"/>
      <c r="R38" s="59"/>
      <c r="S38" s="59"/>
    </row>
    <row r="39" spans="1:20" x14ac:dyDescent="0.2">
      <c r="A39" s="3" t="s">
        <v>222</v>
      </c>
      <c r="C39" s="24">
        <v>7168</v>
      </c>
      <c r="D39" s="25" t="s">
        <v>45</v>
      </c>
      <c r="E39" s="25" t="s">
        <v>49</v>
      </c>
      <c r="F39" s="25" t="s">
        <v>46</v>
      </c>
      <c r="G39" s="25" t="s">
        <v>47</v>
      </c>
      <c r="H39" s="55">
        <f>'Bird Inventory'!H11</f>
        <v>24802</v>
      </c>
      <c r="I39" s="30"/>
      <c r="J39" s="198">
        <f t="shared" ref="J39:S39" si="11">$E38*J40</f>
        <v>0</v>
      </c>
      <c r="K39" s="198">
        <f t="shared" si="11"/>
        <v>0</v>
      </c>
      <c r="L39" s="198">
        <f t="shared" si="11"/>
        <v>0</v>
      </c>
      <c r="M39" s="198">
        <f t="shared" si="11"/>
        <v>0</v>
      </c>
      <c r="N39" s="198">
        <f t="shared" si="11"/>
        <v>0</v>
      </c>
      <c r="O39" s="198">
        <f t="shared" si="11"/>
        <v>0</v>
      </c>
      <c r="P39" s="198">
        <f t="shared" si="11"/>
        <v>0</v>
      </c>
      <c r="Q39" s="198">
        <f t="shared" si="11"/>
        <v>0</v>
      </c>
      <c r="R39" s="198">
        <f t="shared" si="11"/>
        <v>0</v>
      </c>
      <c r="S39" s="198">
        <f t="shared" si="11"/>
        <v>0</v>
      </c>
      <c r="T39" s="199">
        <f>SUM(J39:S39)</f>
        <v>0</v>
      </c>
    </row>
    <row r="40" spans="1:20" x14ac:dyDescent="0.2">
      <c r="A40" s="3"/>
      <c r="C40" s="24"/>
      <c r="D40" s="25"/>
      <c r="E40" s="25"/>
      <c r="F40" s="25"/>
      <c r="G40" s="25"/>
      <c r="H40" s="30"/>
      <c r="I40" s="30"/>
      <c r="J40" s="197">
        <f>Inputs!E37</f>
        <v>0</v>
      </c>
      <c r="K40" s="197">
        <f>Inputs!E38</f>
        <v>0</v>
      </c>
      <c r="L40" s="197">
        <f>Inputs!E39</f>
        <v>0</v>
      </c>
      <c r="M40" s="197">
        <f>Inputs!E40</f>
        <v>0</v>
      </c>
      <c r="N40" s="197">
        <f>Inputs!E41</f>
        <v>0</v>
      </c>
      <c r="O40" s="197">
        <v>0</v>
      </c>
      <c r="P40" s="197">
        <f>Inputs!E49</f>
        <v>0</v>
      </c>
      <c r="Q40" s="197">
        <f>Inputs!E42</f>
        <v>0</v>
      </c>
      <c r="R40" s="197">
        <f>Inputs!E48+Inputs!E50</f>
        <v>0</v>
      </c>
      <c r="S40" s="197">
        <f>Inputs!E47</f>
        <v>0</v>
      </c>
      <c r="T40" s="200">
        <f>SUM(J40:S40)</f>
        <v>0</v>
      </c>
    </row>
    <row r="43" spans="1:20" s="54" customFormat="1" ht="18" customHeight="1" x14ac:dyDescent="0.2"/>
    <row r="49" spans="1:10" x14ac:dyDescent="0.2">
      <c r="A49" s="60"/>
      <c r="B49" s="3"/>
      <c r="C49" s="34"/>
      <c r="D49" s="25"/>
      <c r="E49" s="25"/>
      <c r="F49" s="25"/>
      <c r="G49" s="25"/>
      <c r="I49" s="25" t="s">
        <v>23</v>
      </c>
      <c r="J49" s="25"/>
    </row>
    <row r="50" spans="1:10" x14ac:dyDescent="0.2">
      <c r="I50" s="25"/>
      <c r="J50" s="25"/>
    </row>
  </sheetData>
  <mergeCells count="1">
    <mergeCell ref="G2:H2"/>
  </mergeCells>
  <pageMargins left="0" right="0" top="0.74791666666666701" bottom="0.74791666666666701" header="0.51180555555555496" footer="0.51180555555555496"/>
  <pageSetup scale="46" firstPageNumber="0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C000"/>
    <pageSetUpPr fitToPage="1"/>
  </sheetPr>
  <dimension ref="A1:AMJ53"/>
  <sheetViews>
    <sheetView zoomScaleNormal="100" workbookViewId="0">
      <selection activeCell="B4" sqref="B4"/>
    </sheetView>
  </sheetViews>
  <sheetFormatPr defaultColWidth="11" defaultRowHeight="15" x14ac:dyDescent="0.2"/>
  <cols>
    <col min="1" max="1" width="27.5703125" style="61" customWidth="1"/>
    <col min="2" max="2" width="14.28515625" style="61" customWidth="1"/>
    <col min="3" max="4" width="14.7109375" style="61" customWidth="1"/>
    <col min="5" max="5" width="12.5703125" style="61" customWidth="1"/>
    <col min="6" max="6" width="23.5703125" style="61" customWidth="1"/>
    <col min="7" max="7" width="15.28515625" style="61" customWidth="1"/>
    <col min="8" max="8" width="13" style="61" customWidth="1"/>
    <col min="9" max="9" width="11.5703125" style="61" customWidth="1"/>
    <col min="10" max="257" width="11" style="61"/>
    <col min="258" max="258" width="24.140625" style="61" customWidth="1"/>
    <col min="259" max="259" width="14.28515625" style="61" customWidth="1"/>
    <col min="260" max="260" width="14.7109375" style="61" customWidth="1"/>
    <col min="261" max="261" width="12.5703125" style="61" customWidth="1"/>
    <col min="262" max="262" width="20.140625" style="61" customWidth="1"/>
    <col min="263" max="263" width="15.28515625" style="61" customWidth="1"/>
    <col min="264" max="264" width="13" style="61" customWidth="1"/>
    <col min="265" max="265" width="11.5703125" style="61" customWidth="1"/>
    <col min="266" max="513" width="11" style="61"/>
    <col min="514" max="514" width="24.140625" style="61" customWidth="1"/>
    <col min="515" max="515" width="14.28515625" style="61" customWidth="1"/>
    <col min="516" max="516" width="14.7109375" style="61" customWidth="1"/>
    <col min="517" max="517" width="12.5703125" style="61" customWidth="1"/>
    <col min="518" max="518" width="20.140625" style="61" customWidth="1"/>
    <col min="519" max="519" width="15.28515625" style="61" customWidth="1"/>
    <col min="520" max="520" width="13" style="61" customWidth="1"/>
    <col min="521" max="521" width="11.5703125" style="61" customWidth="1"/>
    <col min="522" max="769" width="11" style="61"/>
    <col min="770" max="770" width="24.140625" style="61" customWidth="1"/>
    <col min="771" max="771" width="14.28515625" style="61" customWidth="1"/>
    <col min="772" max="772" width="14.7109375" style="61" customWidth="1"/>
    <col min="773" max="773" width="12.5703125" style="61" customWidth="1"/>
    <col min="774" max="774" width="20.140625" style="61" customWidth="1"/>
    <col min="775" max="775" width="15.28515625" style="61" customWidth="1"/>
    <col min="776" max="776" width="13" style="61" customWidth="1"/>
    <col min="777" max="777" width="11.5703125" style="61" customWidth="1"/>
    <col min="778" max="1024" width="11" style="61"/>
  </cols>
  <sheetData>
    <row r="1" spans="1:12" ht="21" customHeight="1" x14ac:dyDescent="0.3">
      <c r="A1" s="240" t="s">
        <v>57</v>
      </c>
      <c r="B1" s="240"/>
      <c r="C1" s="240"/>
      <c r="D1" s="240"/>
      <c r="E1" s="240"/>
      <c r="F1" s="240"/>
      <c r="G1" s="240"/>
      <c r="H1" s="62"/>
      <c r="I1" s="63"/>
    </row>
    <row r="2" spans="1:12" x14ac:dyDescent="0.2">
      <c r="A2" s="64"/>
      <c r="B2" s="64"/>
      <c r="C2" s="64"/>
      <c r="D2" s="64"/>
      <c r="E2" s="64"/>
      <c r="F2" s="64"/>
      <c r="G2" s="64"/>
    </row>
    <row r="3" spans="1:12" ht="15.6" customHeight="1" x14ac:dyDescent="0.25">
      <c r="A3" s="65" t="s">
        <v>58</v>
      </c>
      <c r="B3" s="207">
        <f>Inputs!C3</f>
        <v>45970.25</v>
      </c>
      <c r="C3" s="64"/>
      <c r="D3" s="64"/>
      <c r="E3" s="64"/>
      <c r="F3" s="64"/>
      <c r="G3" s="64"/>
      <c r="H3" s="66"/>
      <c r="I3" s="67"/>
    </row>
    <row r="4" spans="1:12" ht="15.6" customHeight="1" x14ac:dyDescent="0.25">
      <c r="A4" s="68"/>
      <c r="B4" s="64"/>
      <c r="C4" s="64"/>
      <c r="D4" s="64"/>
      <c r="E4" s="64"/>
      <c r="F4" s="64"/>
      <c r="G4" s="64"/>
    </row>
    <row r="5" spans="1:12" ht="15.6" customHeight="1" x14ac:dyDescent="0.25">
      <c r="A5" s="65" t="s">
        <v>59</v>
      </c>
      <c r="B5" s="69" t="s">
        <v>60</v>
      </c>
      <c r="C5" s="64"/>
      <c r="D5" s="64"/>
      <c r="E5" s="64"/>
      <c r="F5" s="64" t="s">
        <v>61</v>
      </c>
      <c r="G5" s="64"/>
    </row>
    <row r="6" spans="1:12" ht="15.6" customHeight="1" x14ac:dyDescent="0.25">
      <c r="A6" s="68"/>
      <c r="B6" s="70" t="s">
        <v>62</v>
      </c>
      <c r="C6" s="64"/>
      <c r="D6" s="64"/>
      <c r="E6" s="64"/>
      <c r="F6" s="223" t="str">
        <f>Inputs!B5</f>
        <v xml:space="preserve">Pamela Penney </v>
      </c>
      <c r="G6" s="64"/>
      <c r="L6" s="64"/>
    </row>
    <row r="7" spans="1:12" ht="15.6" customHeight="1" x14ac:dyDescent="0.25">
      <c r="A7" s="68" t="s">
        <v>63</v>
      </c>
      <c r="B7" s="69" t="s">
        <v>15</v>
      </c>
      <c r="C7" s="64"/>
      <c r="D7" s="64"/>
      <c r="E7" s="64"/>
      <c r="F7" s="64"/>
      <c r="G7" s="68"/>
      <c r="L7" s="64"/>
    </row>
    <row r="8" spans="1:12" x14ac:dyDescent="0.2">
      <c r="A8" s="64"/>
      <c r="B8" s="64"/>
      <c r="C8" s="64"/>
      <c r="D8" s="64"/>
      <c r="E8" s="64"/>
      <c r="F8" s="64"/>
      <c r="G8" s="64"/>
      <c r="L8" s="64"/>
    </row>
    <row r="9" spans="1:12" ht="15.6" customHeight="1" x14ac:dyDescent="0.25">
      <c r="A9" s="65" t="s">
        <v>64</v>
      </c>
      <c r="B9" s="71" t="s">
        <v>65</v>
      </c>
      <c r="C9" s="68"/>
      <c r="D9" s="68"/>
      <c r="E9" s="206">
        <f>Inputs!C2</f>
        <v>45</v>
      </c>
      <c r="F9" s="64"/>
      <c r="G9" s="64"/>
      <c r="L9" s="64"/>
    </row>
    <row r="10" spans="1:12" ht="16.149999999999999" customHeight="1" x14ac:dyDescent="0.25">
      <c r="A10" s="72"/>
      <c r="B10" s="73"/>
      <c r="C10" s="74"/>
      <c r="D10" s="74"/>
      <c r="E10" s="75"/>
      <c r="F10" s="75"/>
      <c r="G10" s="75"/>
      <c r="L10" s="64"/>
    </row>
    <row r="11" spans="1:12" x14ac:dyDescent="0.2">
      <c r="A11" s="64"/>
      <c r="B11" s="64"/>
      <c r="C11" s="64"/>
      <c r="D11" s="64"/>
      <c r="E11" s="64"/>
      <c r="F11" s="64"/>
      <c r="G11" s="64"/>
      <c r="L11" s="64"/>
    </row>
    <row r="12" spans="1:12" ht="17.45" customHeight="1" x14ac:dyDescent="0.2">
      <c r="A12" s="76"/>
      <c r="B12" s="77" t="s">
        <v>66</v>
      </c>
      <c r="C12" s="78" t="s">
        <v>67</v>
      </c>
      <c r="D12" s="79"/>
      <c r="E12" s="80"/>
      <c r="F12" s="80"/>
      <c r="G12" s="81"/>
      <c r="L12" s="64"/>
    </row>
    <row r="13" spans="1:12" x14ac:dyDescent="0.2">
      <c r="A13" s="82" t="s">
        <v>68</v>
      </c>
      <c r="B13" s="219">
        <f>C13/15</f>
        <v>1620</v>
      </c>
      <c r="C13" s="220">
        <f>'Grade out Information'!X26</f>
        <v>24300</v>
      </c>
      <c r="D13" s="81"/>
      <c r="E13" s="85"/>
      <c r="F13" s="85"/>
      <c r="G13" s="81"/>
      <c r="L13" s="64"/>
    </row>
    <row r="14" spans="1:12" x14ac:dyDescent="0.2">
      <c r="A14" s="82"/>
      <c r="B14" s="83"/>
      <c r="C14" s="84"/>
      <c r="D14" s="81"/>
      <c r="E14" s="85"/>
      <c r="F14" s="85"/>
      <c r="G14" s="81"/>
      <c r="L14" s="64"/>
    </row>
    <row r="15" spans="1:12" x14ac:dyDescent="0.2">
      <c r="A15" s="82" t="s">
        <v>69</v>
      </c>
      <c r="B15" s="219">
        <f>C15/15</f>
        <v>0</v>
      </c>
      <c r="C15" s="220">
        <f>'Grade out Information'!C11</f>
        <v>0</v>
      </c>
      <c r="D15" s="81"/>
      <c r="E15" s="86"/>
      <c r="F15" s="87"/>
      <c r="G15" s="81"/>
      <c r="L15" s="64"/>
    </row>
    <row r="16" spans="1:12" x14ac:dyDescent="0.2">
      <c r="A16" s="82" t="s">
        <v>70</v>
      </c>
      <c r="B16" s="219">
        <f>C16/15</f>
        <v>0</v>
      </c>
      <c r="C16" s="220">
        <f>'Grade out Information'!C12</f>
        <v>0</v>
      </c>
      <c r="D16" s="81"/>
      <c r="E16" s="86"/>
      <c r="F16" s="87"/>
      <c r="G16" s="81"/>
      <c r="L16" s="64"/>
    </row>
    <row r="17" spans="1:12" x14ac:dyDescent="0.2">
      <c r="A17" s="82"/>
      <c r="B17" s="83"/>
      <c r="C17" s="84"/>
      <c r="D17" s="81"/>
      <c r="E17" s="86"/>
      <c r="F17" s="87"/>
      <c r="G17" s="81"/>
      <c r="L17" s="64"/>
    </row>
    <row r="18" spans="1:12" x14ac:dyDescent="0.2">
      <c r="A18" s="82" t="s">
        <v>71</v>
      </c>
      <c r="B18" s="219">
        <f>C18/15</f>
        <v>0</v>
      </c>
      <c r="C18" s="220">
        <f>'Grade out Information'!D11</f>
        <v>0</v>
      </c>
      <c r="D18" s="81"/>
      <c r="E18" s="86"/>
      <c r="F18" s="87"/>
      <c r="G18" s="81"/>
      <c r="L18" s="64"/>
    </row>
    <row r="19" spans="1:12" x14ac:dyDescent="0.2">
      <c r="A19" s="82" t="s">
        <v>72</v>
      </c>
      <c r="B19" s="219">
        <f>C19/15</f>
        <v>0</v>
      </c>
      <c r="C19" s="220">
        <f>'Grade out Information'!D12</f>
        <v>0</v>
      </c>
      <c r="D19" s="81"/>
      <c r="E19" s="86"/>
      <c r="F19" s="87"/>
      <c r="G19" s="81"/>
      <c r="L19" s="64"/>
    </row>
    <row r="20" spans="1:12" x14ac:dyDescent="0.2">
      <c r="A20" s="82"/>
      <c r="B20" s="83"/>
      <c r="C20" s="84"/>
      <c r="D20" s="81"/>
      <c r="E20" s="86"/>
      <c r="F20" s="87"/>
      <c r="G20" s="81"/>
      <c r="L20" s="64"/>
    </row>
    <row r="21" spans="1:12" x14ac:dyDescent="0.2">
      <c r="A21" s="82" t="s">
        <v>73</v>
      </c>
      <c r="B21" s="219">
        <f>C21/15</f>
        <v>300</v>
      </c>
      <c r="C21" s="220">
        <f>'Grade out Information'!E11</f>
        <v>4500</v>
      </c>
      <c r="D21" s="81"/>
      <c r="E21" s="86"/>
      <c r="F21" s="87"/>
      <c r="G21" s="81"/>
      <c r="L21" s="64"/>
    </row>
    <row r="22" spans="1:12" x14ac:dyDescent="0.2">
      <c r="A22" s="82" t="s">
        <v>74</v>
      </c>
      <c r="B22" s="219">
        <f>C22/15</f>
        <v>0</v>
      </c>
      <c r="C22" s="220">
        <f>'Grade out Information'!E12</f>
        <v>0</v>
      </c>
      <c r="D22" s="81"/>
      <c r="E22" s="86"/>
      <c r="F22" s="87"/>
      <c r="G22" s="81"/>
      <c r="L22" s="64"/>
    </row>
    <row r="23" spans="1:12" x14ac:dyDescent="0.2">
      <c r="A23" s="82"/>
      <c r="B23" s="83"/>
      <c r="C23" s="84"/>
      <c r="D23" s="81"/>
      <c r="E23" s="86"/>
      <c r="F23" s="87"/>
      <c r="G23" s="81"/>
      <c r="L23" s="64"/>
    </row>
    <row r="24" spans="1:12" x14ac:dyDescent="0.2">
      <c r="A24" s="82" t="s">
        <v>75</v>
      </c>
      <c r="B24" s="219">
        <f>C24/15</f>
        <v>0</v>
      </c>
      <c r="C24" s="220">
        <f>'Grade out Information'!F11</f>
        <v>0</v>
      </c>
      <c r="D24" s="81"/>
      <c r="E24" s="86"/>
      <c r="F24" s="87"/>
      <c r="G24" s="81"/>
      <c r="L24" s="64"/>
    </row>
    <row r="25" spans="1:12" x14ac:dyDescent="0.2">
      <c r="A25" s="82" t="s">
        <v>76</v>
      </c>
      <c r="B25" s="219">
        <f>C25/15</f>
        <v>0</v>
      </c>
      <c r="C25" s="220">
        <f>'Grade out Information'!F12</f>
        <v>0</v>
      </c>
      <c r="D25" s="81"/>
      <c r="E25" s="86"/>
      <c r="F25" s="87"/>
      <c r="G25" s="81"/>
      <c r="L25" s="64"/>
    </row>
    <row r="26" spans="1:12" x14ac:dyDescent="0.2">
      <c r="A26" s="82"/>
      <c r="B26" s="88"/>
      <c r="C26" s="84"/>
      <c r="D26" s="81"/>
      <c r="E26" s="86"/>
      <c r="F26" s="87"/>
      <c r="G26" s="81"/>
      <c r="L26" s="64"/>
    </row>
    <row r="27" spans="1:12" ht="16.149999999999999" customHeight="1" x14ac:dyDescent="0.2">
      <c r="A27" s="89" t="s">
        <v>77</v>
      </c>
      <c r="B27" s="221">
        <f>SUM(B13:B26)</f>
        <v>1920</v>
      </c>
      <c r="C27" s="222">
        <f>SUM(C13:C26)</f>
        <v>28800</v>
      </c>
      <c r="D27" s="91"/>
      <c r="E27" s="92"/>
      <c r="F27" s="93"/>
      <c r="G27" s="81"/>
      <c r="L27" s="64"/>
    </row>
    <row r="28" spans="1:12" ht="15.6" customHeight="1" x14ac:dyDescent="0.2">
      <c r="A28" s="81"/>
      <c r="B28" s="81"/>
      <c r="C28" s="94"/>
      <c r="D28" s="94"/>
      <c r="E28" s="95"/>
      <c r="F28" s="94"/>
      <c r="G28" s="96"/>
      <c r="L28" s="64"/>
    </row>
    <row r="29" spans="1:12" ht="15.6" customHeight="1" x14ac:dyDescent="0.2">
      <c r="A29" s="97"/>
      <c r="B29" s="98" t="s">
        <v>78</v>
      </c>
      <c r="C29" s="98" t="s">
        <v>78</v>
      </c>
      <c r="D29" s="98" t="s">
        <v>78</v>
      </c>
      <c r="E29" s="99" t="s">
        <v>79</v>
      </c>
      <c r="F29" s="100" t="s">
        <v>80</v>
      </c>
      <c r="G29" s="98" t="s">
        <v>81</v>
      </c>
      <c r="J29" s="92"/>
      <c r="K29" s="101"/>
    </row>
    <row r="30" spans="1:12" ht="15.6" customHeight="1" x14ac:dyDescent="0.2">
      <c r="A30" s="102" t="s">
        <v>82</v>
      </c>
      <c r="B30" s="103" t="s">
        <v>165</v>
      </c>
      <c r="C30" s="103" t="s">
        <v>165</v>
      </c>
      <c r="D30" s="103" t="s">
        <v>165</v>
      </c>
      <c r="E30" s="104" t="s">
        <v>166</v>
      </c>
      <c r="F30" s="105" t="s">
        <v>167</v>
      </c>
      <c r="G30" s="103" t="s">
        <v>83</v>
      </c>
    </row>
    <row r="31" spans="1:12" x14ac:dyDescent="0.2">
      <c r="A31" s="106"/>
      <c r="B31" s="107"/>
      <c r="C31" s="107"/>
      <c r="D31" s="107"/>
      <c r="E31" s="108"/>
      <c r="F31" s="109"/>
      <c r="G31" s="110" t="s">
        <v>84</v>
      </c>
    </row>
    <row r="32" spans="1:12" x14ac:dyDescent="0.2">
      <c r="A32" s="82" t="s">
        <v>68</v>
      </c>
      <c r="B32" s="111"/>
      <c r="C32" s="111"/>
      <c r="D32" s="111"/>
      <c r="E32" s="84">
        <v>0</v>
      </c>
      <c r="F32" s="112"/>
      <c r="G32" s="84">
        <f>SUM(B32:E32)-F32</f>
        <v>0</v>
      </c>
    </row>
    <row r="33" spans="1:7" x14ac:dyDescent="0.2">
      <c r="A33" s="82"/>
      <c r="B33" s="111"/>
      <c r="C33" s="111"/>
      <c r="D33" s="111"/>
      <c r="E33" s="84"/>
      <c r="F33" s="112"/>
      <c r="G33" s="84"/>
    </row>
    <row r="34" spans="1:7" x14ac:dyDescent="0.2">
      <c r="A34" s="82" t="s">
        <v>85</v>
      </c>
      <c r="B34" s="111"/>
      <c r="C34" s="111"/>
      <c r="D34" s="111"/>
      <c r="E34" s="84">
        <f>('Grade out Information'!C11)/15</f>
        <v>0</v>
      </c>
      <c r="F34" s="113"/>
      <c r="G34" s="84">
        <f t="shared" ref="G34:G41" si="0">SUM(B34:E34)-F34</f>
        <v>0</v>
      </c>
    </row>
    <row r="35" spans="1:7" x14ac:dyDescent="0.2">
      <c r="A35" s="82" t="s">
        <v>86</v>
      </c>
      <c r="B35" s="111"/>
      <c r="C35" s="111"/>
      <c r="D35" s="111"/>
      <c r="E35" s="84">
        <f>('Grade out Information'!C12)/15</f>
        <v>0</v>
      </c>
      <c r="F35" s="114"/>
      <c r="G35" s="84">
        <f t="shared" si="0"/>
        <v>0</v>
      </c>
    </row>
    <row r="36" spans="1:7" x14ac:dyDescent="0.2">
      <c r="A36" s="82" t="s">
        <v>87</v>
      </c>
      <c r="B36" s="111"/>
      <c r="C36" s="111"/>
      <c r="D36" s="111"/>
      <c r="E36" s="84">
        <f>('Grade out Information'!D11)/15</f>
        <v>0</v>
      </c>
      <c r="F36" s="114"/>
      <c r="G36" s="84">
        <f t="shared" si="0"/>
        <v>0</v>
      </c>
    </row>
    <row r="37" spans="1:7" x14ac:dyDescent="0.2">
      <c r="A37" s="82" t="s">
        <v>88</v>
      </c>
      <c r="B37" s="111"/>
      <c r="C37" s="111"/>
      <c r="D37" s="111"/>
      <c r="E37" s="84">
        <f>('Grade out Information'!D12)/15</f>
        <v>0</v>
      </c>
      <c r="F37" s="114"/>
      <c r="G37" s="84">
        <f t="shared" si="0"/>
        <v>0</v>
      </c>
    </row>
    <row r="38" spans="1:7" x14ac:dyDescent="0.2">
      <c r="A38" s="82" t="s">
        <v>89</v>
      </c>
      <c r="B38" s="111"/>
      <c r="C38" s="111"/>
      <c r="D38" s="111"/>
      <c r="E38" s="84">
        <v>0</v>
      </c>
      <c r="F38" s="112"/>
      <c r="G38" s="84">
        <f t="shared" si="0"/>
        <v>0</v>
      </c>
    </row>
    <row r="39" spans="1:7" x14ac:dyDescent="0.2">
      <c r="A39" s="82" t="s">
        <v>90</v>
      </c>
      <c r="B39" s="111"/>
      <c r="C39" s="111"/>
      <c r="D39" s="111"/>
      <c r="E39" s="84">
        <f>('Grade out Information'!E12)/15</f>
        <v>0</v>
      </c>
      <c r="F39" s="114"/>
      <c r="G39" s="84">
        <f t="shared" si="0"/>
        <v>0</v>
      </c>
    </row>
    <row r="40" spans="1:7" x14ac:dyDescent="0.2">
      <c r="A40" s="82" t="s">
        <v>91</v>
      </c>
      <c r="B40" s="111"/>
      <c r="C40" s="111"/>
      <c r="D40" s="111"/>
      <c r="E40" s="84">
        <f>('Grade out Information'!F11)/15</f>
        <v>0</v>
      </c>
      <c r="F40" s="112"/>
      <c r="G40" s="84">
        <f t="shared" si="0"/>
        <v>0</v>
      </c>
    </row>
    <row r="41" spans="1:7" x14ac:dyDescent="0.2">
      <c r="A41" s="82" t="s">
        <v>92</v>
      </c>
      <c r="B41" s="111"/>
      <c r="C41" s="111"/>
      <c r="D41" s="111"/>
      <c r="E41" s="84">
        <f>('Grade out Information'!F12)/15</f>
        <v>0</v>
      </c>
      <c r="F41" s="114"/>
      <c r="G41" s="84">
        <f t="shared" si="0"/>
        <v>0</v>
      </c>
    </row>
    <row r="42" spans="1:7" ht="16.149999999999999" customHeight="1" x14ac:dyDescent="0.2">
      <c r="A42" s="89" t="s">
        <v>77</v>
      </c>
      <c r="B42" s="90">
        <f t="shared" ref="B42:G42" si="1">SUM(B32:B41)</f>
        <v>0</v>
      </c>
      <c r="C42" s="90">
        <f t="shared" si="1"/>
        <v>0</v>
      </c>
      <c r="D42" s="90">
        <f t="shared" si="1"/>
        <v>0</v>
      </c>
      <c r="E42" s="90">
        <f t="shared" si="1"/>
        <v>0</v>
      </c>
      <c r="F42" s="90">
        <f t="shared" si="1"/>
        <v>0</v>
      </c>
      <c r="G42" s="90">
        <f t="shared" si="1"/>
        <v>0</v>
      </c>
    </row>
    <row r="43" spans="1:7" ht="15.6" customHeight="1" x14ac:dyDescent="0.2">
      <c r="A43" s="64"/>
      <c r="B43" s="64"/>
      <c r="C43" s="64"/>
      <c r="D43" s="64"/>
      <c r="E43" s="64"/>
      <c r="F43" s="64"/>
      <c r="G43" s="64"/>
    </row>
    <row r="44" spans="1:7" ht="17.45" customHeight="1" x14ac:dyDescent="0.25">
      <c r="A44" s="115"/>
      <c r="B44" s="116"/>
      <c r="C44" s="64"/>
      <c r="D44" s="64"/>
      <c r="E44" s="64"/>
      <c r="F44" s="64"/>
      <c r="G44" s="64"/>
    </row>
    <row r="45" spans="1:7" x14ac:dyDescent="0.2">
      <c r="A45" s="117"/>
      <c r="B45" s="118"/>
      <c r="C45" s="64"/>
      <c r="D45" s="64"/>
      <c r="E45" s="64"/>
      <c r="F45" s="64"/>
      <c r="G45" s="64"/>
    </row>
    <row r="46" spans="1:7" ht="17.45" customHeight="1" x14ac:dyDescent="0.25">
      <c r="A46" s="117"/>
      <c r="B46" s="118"/>
      <c r="C46" s="119"/>
      <c r="D46" s="119"/>
      <c r="E46" s="119"/>
      <c r="G46" s="64"/>
    </row>
    <row r="47" spans="1:7" x14ac:dyDescent="0.2">
      <c r="A47" s="117"/>
      <c r="B47" s="118"/>
      <c r="C47" s="64"/>
      <c r="D47" s="64"/>
      <c r="E47" s="64"/>
      <c r="F47" s="64"/>
      <c r="G47" s="64"/>
    </row>
    <row r="48" spans="1:7" x14ac:dyDescent="0.2">
      <c r="A48" s="117"/>
      <c r="B48" s="118"/>
      <c r="C48" s="64"/>
      <c r="D48" s="64"/>
      <c r="E48" s="64"/>
      <c r="F48" s="64"/>
      <c r="G48" s="64"/>
    </row>
    <row r="49" spans="1:7" x14ac:dyDescent="0.2">
      <c r="A49" s="117"/>
      <c r="B49" s="118"/>
      <c r="C49" s="64"/>
      <c r="D49" s="64"/>
      <c r="E49" s="64"/>
      <c r="F49" s="64"/>
      <c r="G49" s="64"/>
    </row>
    <row r="50" spans="1:7" x14ac:dyDescent="0.2">
      <c r="A50" s="117"/>
      <c r="B50" s="118"/>
    </row>
    <row r="51" spans="1:7" x14ac:dyDescent="0.2">
      <c r="A51" s="117"/>
      <c r="B51" s="118"/>
    </row>
    <row r="52" spans="1:7" x14ac:dyDescent="0.2">
      <c r="A52" s="117"/>
      <c r="B52" s="118"/>
    </row>
    <row r="53" spans="1:7" ht="15.75" x14ac:dyDescent="0.25">
      <c r="A53" s="66"/>
      <c r="B53" s="120"/>
    </row>
  </sheetData>
  <mergeCells count="1">
    <mergeCell ref="A1:G1"/>
  </mergeCells>
  <phoneticPr fontId="35" type="noConversion"/>
  <pageMargins left="0.118055555555556" right="0.118055555555556" top="0.15763888888888899" bottom="0.15763888888888899" header="0.51180555555555496" footer="0.51180555555555496"/>
  <pageSetup firstPageNumber="0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C000"/>
    <pageSetUpPr fitToPage="1"/>
  </sheetPr>
  <dimension ref="A1:AD38"/>
  <sheetViews>
    <sheetView zoomScale="70" zoomScaleNormal="70" workbookViewId="0">
      <selection activeCell="G36" sqref="G36"/>
    </sheetView>
  </sheetViews>
  <sheetFormatPr defaultColWidth="8.7109375" defaultRowHeight="12.75" x14ac:dyDescent="0.2"/>
  <cols>
    <col min="1" max="1" width="8" customWidth="1"/>
    <col min="2" max="2" width="43.5703125" customWidth="1"/>
    <col min="4" max="13" width="12.7109375" bestFit="1" customWidth="1"/>
    <col min="14" max="15" width="9" bestFit="1" customWidth="1"/>
    <col min="16" max="16" width="8.85546875" bestFit="1" customWidth="1"/>
  </cols>
  <sheetData>
    <row r="1" spans="1:30" x14ac:dyDescent="0.2">
      <c r="A1" t="s">
        <v>93</v>
      </c>
    </row>
    <row r="3" spans="1:30" x14ac:dyDescent="0.2">
      <c r="A3" t="s">
        <v>60</v>
      </c>
      <c r="N3" s="121"/>
      <c r="O3" s="121"/>
    </row>
    <row r="4" spans="1:30" x14ac:dyDescent="0.2">
      <c r="A4" s="3" t="s">
        <v>15</v>
      </c>
      <c r="N4" s="121"/>
      <c r="O4" s="121"/>
    </row>
    <row r="5" spans="1:30" x14ac:dyDescent="0.2">
      <c r="N5" s="122"/>
      <c r="O5" s="122"/>
    </row>
    <row r="7" spans="1:30" x14ac:dyDescent="0.2">
      <c r="A7" s="123" t="s">
        <v>94</v>
      </c>
      <c r="B7" s="124" t="s">
        <v>95</v>
      </c>
      <c r="C7" s="241" t="s">
        <v>96</v>
      </c>
      <c r="D7" s="241"/>
      <c r="E7" s="241"/>
      <c r="F7" s="241"/>
      <c r="G7" s="124" t="s">
        <v>97</v>
      </c>
      <c r="H7" s="124" t="s">
        <v>98</v>
      </c>
      <c r="I7" s="124" t="s">
        <v>99</v>
      </c>
      <c r="J7" s="124" t="s">
        <v>68</v>
      </c>
      <c r="K7" s="124" t="s">
        <v>100</v>
      </c>
      <c r="L7" s="124"/>
      <c r="M7" s="124" t="s">
        <v>101</v>
      </c>
      <c r="N7" s="124"/>
      <c r="O7" s="124" t="s">
        <v>102</v>
      </c>
      <c r="P7" s="124"/>
      <c r="Q7" s="124" t="s">
        <v>103</v>
      </c>
      <c r="R7" s="124"/>
      <c r="S7" s="125" t="s">
        <v>104</v>
      </c>
      <c r="T7" s="125"/>
      <c r="U7" s="125" t="s">
        <v>105</v>
      </c>
      <c r="V7" s="124"/>
      <c r="W7" s="126" t="s">
        <v>106</v>
      </c>
      <c r="X7" s="125" t="s">
        <v>107</v>
      </c>
      <c r="Y7" s="124" t="s">
        <v>81</v>
      </c>
      <c r="Z7" s="124" t="s">
        <v>107</v>
      </c>
      <c r="AA7" s="125" t="s">
        <v>108</v>
      </c>
      <c r="AB7" s="124" t="s">
        <v>109</v>
      </c>
      <c r="AC7" s="125" t="s">
        <v>109</v>
      </c>
      <c r="AD7" s="124" t="s">
        <v>108</v>
      </c>
    </row>
    <row r="8" spans="1:30" x14ac:dyDescent="0.2">
      <c r="A8" s="183">
        <f>Inputs!C2</f>
        <v>45</v>
      </c>
      <c r="B8" s="127" t="s">
        <v>23</v>
      </c>
      <c r="C8" s="127" t="s">
        <v>110</v>
      </c>
      <c r="D8" s="127" t="s">
        <v>101</v>
      </c>
      <c r="E8" s="127" t="s">
        <v>102</v>
      </c>
      <c r="F8" s="127" t="s">
        <v>103</v>
      </c>
      <c r="G8" s="127" t="s">
        <v>67</v>
      </c>
      <c r="H8" s="127" t="s">
        <v>66</v>
      </c>
      <c r="I8" s="127" t="s">
        <v>111</v>
      </c>
      <c r="J8" s="127" t="s">
        <v>100</v>
      </c>
      <c r="K8" s="127" t="s">
        <v>112</v>
      </c>
      <c r="L8" s="127" t="s">
        <v>101</v>
      </c>
      <c r="M8" s="127" t="s">
        <v>112</v>
      </c>
      <c r="N8" s="127" t="s">
        <v>102</v>
      </c>
      <c r="O8" s="127" t="s">
        <v>112</v>
      </c>
      <c r="P8" s="127" t="s">
        <v>103</v>
      </c>
      <c r="Q8" s="127" t="s">
        <v>112</v>
      </c>
      <c r="R8" s="127" t="s">
        <v>104</v>
      </c>
      <c r="S8" s="128" t="s">
        <v>112</v>
      </c>
      <c r="T8" s="128" t="s">
        <v>105</v>
      </c>
      <c r="U8" s="128" t="s">
        <v>112</v>
      </c>
      <c r="V8" s="127" t="s">
        <v>106</v>
      </c>
      <c r="W8" s="129" t="s">
        <v>112</v>
      </c>
      <c r="X8" s="128" t="s">
        <v>67</v>
      </c>
      <c r="Y8" s="127" t="s">
        <v>112</v>
      </c>
      <c r="Z8" s="127" t="s">
        <v>66</v>
      </c>
      <c r="AA8" s="128" t="s">
        <v>113</v>
      </c>
      <c r="AB8" s="127" t="s">
        <v>67</v>
      </c>
      <c r="AC8" s="128" t="s">
        <v>66</v>
      </c>
      <c r="AD8" s="127" t="s">
        <v>114</v>
      </c>
    </row>
    <row r="9" spans="1:30" x14ac:dyDescent="0.2">
      <c r="A9" s="124"/>
      <c r="B9" s="182" t="s">
        <v>115</v>
      </c>
      <c r="C9" s="124"/>
      <c r="D9" s="124"/>
      <c r="E9" s="124"/>
      <c r="F9" s="124"/>
      <c r="G9" s="124"/>
      <c r="H9" s="124"/>
      <c r="I9" s="124"/>
      <c r="J9" s="124"/>
      <c r="K9" s="124"/>
      <c r="L9" s="124"/>
      <c r="M9" s="124"/>
      <c r="N9" s="124"/>
      <c r="O9" s="124"/>
      <c r="P9" s="124"/>
      <c r="Q9" s="124"/>
      <c r="R9" s="124"/>
      <c r="S9" s="125"/>
      <c r="T9" s="125"/>
      <c r="U9" s="125"/>
      <c r="V9" s="124"/>
      <c r="W9" s="126"/>
      <c r="X9" s="125"/>
      <c r="Y9" s="124"/>
      <c r="Z9" s="124"/>
      <c r="AA9" s="125"/>
      <c r="AB9" s="124"/>
      <c r="AC9" s="125"/>
      <c r="AD9" s="124"/>
    </row>
    <row r="10" spans="1:30" x14ac:dyDescent="0.2">
      <c r="A10" s="130"/>
      <c r="B10" s="130"/>
      <c r="C10" s="130"/>
      <c r="D10" s="130"/>
      <c r="E10" s="130"/>
      <c r="F10" s="130"/>
      <c r="G10" s="130"/>
      <c r="H10" s="130"/>
      <c r="I10" s="130"/>
      <c r="J10" s="130"/>
      <c r="K10" s="130"/>
      <c r="L10" s="130"/>
      <c r="M10" s="130"/>
      <c r="N10" s="130"/>
      <c r="O10" s="130"/>
      <c r="P10" s="130"/>
      <c r="Q10" s="130"/>
      <c r="R10" s="130"/>
      <c r="V10" s="130"/>
      <c r="W10" s="131"/>
      <c r="Y10" s="130"/>
      <c r="Z10" s="130"/>
      <c r="AB10" s="130"/>
      <c r="AD10" s="130"/>
    </row>
    <row r="11" spans="1:30" ht="15" x14ac:dyDescent="0.25">
      <c r="A11" s="132" t="s">
        <v>23</v>
      </c>
      <c r="B11" s="133" t="s">
        <v>116</v>
      </c>
      <c r="C11" s="217"/>
      <c r="D11" s="217"/>
      <c r="E11" s="227">
        <f>Inputs!I41*15</f>
        <v>4500</v>
      </c>
      <c r="F11" s="217"/>
      <c r="G11" s="228">
        <f>SUM(C11:F11)</f>
        <v>4500</v>
      </c>
      <c r="H11" s="229">
        <f>G11/15</f>
        <v>300</v>
      </c>
      <c r="I11" s="133"/>
      <c r="J11" s="133"/>
      <c r="K11" s="134"/>
      <c r="L11" s="133"/>
      <c r="M11" s="134"/>
      <c r="N11" s="133"/>
      <c r="O11" s="134"/>
      <c r="P11" s="133"/>
      <c r="Q11" s="134"/>
      <c r="R11" s="133"/>
      <c r="S11" s="135"/>
      <c r="T11" s="136"/>
      <c r="U11" s="135"/>
      <c r="V11" s="133"/>
      <c r="W11" s="137"/>
      <c r="X11" s="3"/>
      <c r="Y11" s="138"/>
      <c r="Z11" s="133"/>
      <c r="AA11" s="3"/>
      <c r="AB11" s="133"/>
      <c r="AC11" s="3"/>
      <c r="AD11" s="133"/>
    </row>
    <row r="12" spans="1:30" ht="15" x14ac:dyDescent="0.25">
      <c r="A12" s="133"/>
      <c r="B12" s="133" t="s">
        <v>117</v>
      </c>
      <c r="C12" s="217"/>
      <c r="D12" s="217"/>
      <c r="E12" s="217"/>
      <c r="F12" s="217"/>
      <c r="G12" s="228">
        <f>SUM(C12:F12)</f>
        <v>0</v>
      </c>
      <c r="H12" s="228">
        <f>G12/15</f>
        <v>0</v>
      </c>
      <c r="I12" s="133"/>
      <c r="J12" s="133"/>
      <c r="K12" s="134"/>
      <c r="L12" s="133"/>
      <c r="M12" s="134"/>
      <c r="N12" s="133"/>
      <c r="O12" s="134"/>
      <c r="P12" s="133"/>
      <c r="Q12" s="134"/>
      <c r="R12" s="133"/>
      <c r="S12" s="135"/>
      <c r="T12" s="136"/>
      <c r="U12" s="135"/>
      <c r="V12" s="133"/>
      <c r="W12" s="137"/>
      <c r="X12" s="3"/>
      <c r="Y12" s="138"/>
      <c r="Z12" s="133"/>
      <c r="AA12" s="3"/>
      <c r="AB12" s="133"/>
      <c r="AC12" s="3"/>
      <c r="AD12" s="133"/>
    </row>
    <row r="13" spans="1:30" ht="15" x14ac:dyDescent="0.25">
      <c r="A13" s="133"/>
      <c r="C13" s="133"/>
      <c r="D13" s="133"/>
      <c r="E13" s="133"/>
      <c r="F13" s="133"/>
      <c r="G13" s="133"/>
      <c r="H13" s="133"/>
      <c r="I13" s="133"/>
      <c r="J13" s="133"/>
      <c r="K13" s="134"/>
      <c r="L13" s="133"/>
      <c r="M13" s="134"/>
      <c r="N13" s="133"/>
      <c r="O13" s="134"/>
      <c r="P13" s="133"/>
      <c r="Q13" s="134"/>
      <c r="R13" s="133"/>
      <c r="S13" s="135"/>
      <c r="T13" s="136"/>
      <c r="U13" s="135"/>
      <c r="V13" s="133"/>
      <c r="W13" s="137"/>
      <c r="X13" s="3"/>
      <c r="Y13" s="138"/>
      <c r="Z13" s="133"/>
      <c r="AA13" s="3"/>
      <c r="AB13" s="133"/>
      <c r="AC13" s="3"/>
      <c r="AD13" s="133"/>
    </row>
    <row r="14" spans="1:30" ht="15.75" x14ac:dyDescent="0.25">
      <c r="A14" s="133"/>
      <c r="B14" s="174" t="s">
        <v>118</v>
      </c>
      <c r="C14" s="175"/>
      <c r="D14" s="175"/>
      <c r="E14" s="175"/>
      <c r="F14" s="175"/>
      <c r="G14" s="175"/>
      <c r="H14" s="175"/>
      <c r="I14" s="175"/>
      <c r="J14" s="175"/>
      <c r="K14" s="176"/>
      <c r="L14" s="175"/>
      <c r="M14" s="176"/>
      <c r="N14" s="175"/>
      <c r="O14" s="176"/>
      <c r="P14" s="175"/>
      <c r="Q14" s="176"/>
      <c r="R14" s="175"/>
      <c r="S14" s="177"/>
      <c r="T14" s="178"/>
      <c r="U14" s="177"/>
      <c r="V14" s="175"/>
      <c r="W14" s="179"/>
      <c r="X14" s="180"/>
      <c r="Y14" s="181"/>
      <c r="Z14" s="175"/>
      <c r="AA14" s="180"/>
      <c r="AB14" s="175"/>
      <c r="AC14" s="180"/>
      <c r="AD14" s="175"/>
    </row>
    <row r="15" spans="1:30" ht="15" x14ac:dyDescent="0.25">
      <c r="A15" s="133"/>
      <c r="B15" s="133" t="s">
        <v>225</v>
      </c>
      <c r="C15" s="133"/>
      <c r="D15" s="133"/>
      <c r="E15" s="133"/>
      <c r="F15" s="133"/>
      <c r="G15" s="133"/>
      <c r="H15" s="133"/>
      <c r="I15" s="133">
        <f>J15+L15+N15+P15+R15+T15+V15</f>
        <v>7199.9999999999991</v>
      </c>
      <c r="J15" s="133">
        <f>X15*K15</f>
        <v>1447.2</v>
      </c>
      <c r="K15" s="184">
        <f>Inputs!B36</f>
        <v>0.20100000000000001</v>
      </c>
      <c r="L15" s="133">
        <f>X15*M15</f>
        <v>5018.3999999999996</v>
      </c>
      <c r="M15" s="184">
        <f>Inputs!B39</f>
        <v>0.69699999999999995</v>
      </c>
      <c r="N15" s="133">
        <f>X15*O15</f>
        <v>648</v>
      </c>
      <c r="O15" s="184">
        <f>Inputs!B40</f>
        <v>0.09</v>
      </c>
      <c r="P15" s="133">
        <f>X15*Q15</f>
        <v>7.2</v>
      </c>
      <c r="Q15" s="184">
        <f>Inputs!B41</f>
        <v>1E-3</v>
      </c>
      <c r="R15" s="133">
        <f>X15*S15</f>
        <v>0</v>
      </c>
      <c r="S15" s="184">
        <f>Inputs!B42</f>
        <v>0</v>
      </c>
      <c r="T15" s="212">
        <f>X15*U15</f>
        <v>0</v>
      </c>
      <c r="U15" s="134">
        <v>0</v>
      </c>
      <c r="V15" s="133">
        <f>X15*W15</f>
        <v>79.199999999999989</v>
      </c>
      <c r="W15" s="185">
        <f>Inputs!B43</f>
        <v>1.0999999999999999E-2</v>
      </c>
      <c r="X15" s="213">
        <f>Z15*15</f>
        <v>7200</v>
      </c>
      <c r="Y15" s="209">
        <f>K15+M15+O15+Q15+S15+U15+W15</f>
        <v>0.99999999999999989</v>
      </c>
      <c r="Z15" s="226">
        <f>Inputs!I35</f>
        <v>480</v>
      </c>
      <c r="AA15" s="3"/>
      <c r="AB15" s="133"/>
      <c r="AC15" s="3"/>
      <c r="AD15" s="133"/>
    </row>
    <row r="16" spans="1:30" ht="15" x14ac:dyDescent="0.25">
      <c r="A16" s="133"/>
      <c r="B16" s="130"/>
      <c r="C16" s="130"/>
      <c r="D16" s="130"/>
      <c r="E16" s="130"/>
      <c r="F16" s="130"/>
      <c r="G16" s="130"/>
      <c r="H16" s="130"/>
      <c r="I16" s="133"/>
      <c r="J16" s="133"/>
      <c r="K16" s="130"/>
      <c r="L16" s="133"/>
      <c r="M16" s="130"/>
      <c r="N16" s="133"/>
      <c r="O16" s="130"/>
      <c r="P16" s="133"/>
      <c r="Q16" s="130"/>
      <c r="R16" s="133"/>
      <c r="S16" s="130"/>
      <c r="T16" s="212"/>
      <c r="U16" s="130"/>
      <c r="V16" s="133"/>
      <c r="W16" s="130"/>
      <c r="X16" s="133"/>
      <c r="Y16" s="130"/>
      <c r="Z16" s="133"/>
      <c r="AA16" s="3"/>
      <c r="AB16" s="133"/>
      <c r="AC16" s="3"/>
      <c r="AD16" s="133"/>
    </row>
    <row r="17" spans="1:30" ht="15" x14ac:dyDescent="0.25">
      <c r="A17" s="133"/>
      <c r="B17" s="133" t="s">
        <v>226</v>
      </c>
      <c r="C17" s="133"/>
      <c r="D17" s="133"/>
      <c r="E17" s="133"/>
      <c r="F17" s="133"/>
      <c r="G17" s="133"/>
      <c r="H17" s="133"/>
      <c r="I17" s="133">
        <f>J17+L17+N17+P17+R17+T17+V17</f>
        <v>3719.9999999999995</v>
      </c>
      <c r="J17" s="133">
        <f>X17*K17</f>
        <v>1060.2</v>
      </c>
      <c r="K17" s="184">
        <f>Inputs!C36</f>
        <v>0.28500000000000003</v>
      </c>
      <c r="L17" s="133">
        <f>X17*M17</f>
        <v>2351.04</v>
      </c>
      <c r="M17" s="184">
        <f>Inputs!C39</f>
        <v>0.63200000000000001</v>
      </c>
      <c r="N17" s="133">
        <f>X17*O17</f>
        <v>267.83999999999997</v>
      </c>
      <c r="O17" s="184">
        <f>Inputs!C40</f>
        <v>7.1999999999999995E-2</v>
      </c>
      <c r="P17" s="133">
        <f>X17*Q17</f>
        <v>3.72</v>
      </c>
      <c r="Q17" s="184">
        <f>Inputs!C41</f>
        <v>1E-3</v>
      </c>
      <c r="R17" s="133">
        <f>X17*S17</f>
        <v>0</v>
      </c>
      <c r="S17" s="184">
        <f>Inputs!C42</f>
        <v>0</v>
      </c>
      <c r="T17" s="212">
        <f>X17*U17</f>
        <v>0</v>
      </c>
      <c r="U17" s="134">
        <v>0</v>
      </c>
      <c r="V17" s="133">
        <f>X17*W17</f>
        <v>37.200000000000003</v>
      </c>
      <c r="W17" s="185">
        <f>Inputs!C43</f>
        <v>0.01</v>
      </c>
      <c r="X17" s="213">
        <f>Z17*15</f>
        <v>3720</v>
      </c>
      <c r="Y17" s="209">
        <f>K17+M17+O17+Q17+S17+U17+W17</f>
        <v>1</v>
      </c>
      <c r="Z17" s="226">
        <f>Inputs!I36</f>
        <v>248</v>
      </c>
      <c r="AA17" s="3"/>
      <c r="AB17" s="133"/>
      <c r="AC17" s="3"/>
      <c r="AD17" s="133"/>
    </row>
    <row r="18" spans="1:30" ht="15" x14ac:dyDescent="0.25">
      <c r="A18" s="133"/>
      <c r="B18" s="133" t="s">
        <v>227</v>
      </c>
      <c r="C18" s="133"/>
      <c r="D18" s="133"/>
      <c r="E18" s="133"/>
      <c r="F18" s="133"/>
      <c r="G18" s="133"/>
      <c r="H18" s="133"/>
      <c r="I18" s="133">
        <f>J18+L18+N18+P18+R18+T18+V18</f>
        <v>2580</v>
      </c>
      <c r="J18" s="133">
        <f>X18*K18</f>
        <v>735.30000000000007</v>
      </c>
      <c r="K18" s="184">
        <f>K17</f>
        <v>0.28500000000000003</v>
      </c>
      <c r="L18" s="133">
        <f>X18*M18</f>
        <v>1630.56</v>
      </c>
      <c r="M18" s="184">
        <f>M17</f>
        <v>0.63200000000000001</v>
      </c>
      <c r="N18" s="133">
        <f>X18*O18</f>
        <v>185.76</v>
      </c>
      <c r="O18" s="184">
        <f>O17</f>
        <v>7.1999999999999995E-2</v>
      </c>
      <c r="P18" s="133">
        <f>X18*Q18</f>
        <v>2.58</v>
      </c>
      <c r="Q18" s="184">
        <f>Q17</f>
        <v>1E-3</v>
      </c>
      <c r="R18" s="133">
        <f>X18*S18</f>
        <v>0</v>
      </c>
      <c r="S18" s="184">
        <f>S17</f>
        <v>0</v>
      </c>
      <c r="T18" s="212">
        <f>X18*U18</f>
        <v>0</v>
      </c>
      <c r="U18" s="134">
        <v>0</v>
      </c>
      <c r="V18" s="133">
        <f>X18*W18</f>
        <v>25.8</v>
      </c>
      <c r="W18" s="185">
        <f>W17</f>
        <v>0.01</v>
      </c>
      <c r="X18" s="213">
        <f>Z18*15</f>
        <v>2580</v>
      </c>
      <c r="Y18" s="209">
        <f>K18+M18+O18+Q18+S18+U18+W18</f>
        <v>1</v>
      </c>
      <c r="Z18" s="226">
        <f>Inputs!I37</f>
        <v>172</v>
      </c>
      <c r="AA18" s="3"/>
      <c r="AB18" s="133"/>
      <c r="AC18" s="3"/>
      <c r="AD18" s="133"/>
    </row>
    <row r="19" spans="1:30" ht="15" x14ac:dyDescent="0.25">
      <c r="A19" s="133"/>
      <c r="B19" s="130"/>
      <c r="C19" s="130"/>
      <c r="D19" s="130"/>
      <c r="E19" s="130"/>
      <c r="F19" s="130"/>
      <c r="G19" s="130"/>
      <c r="H19" s="130"/>
      <c r="I19" s="133"/>
      <c r="J19" s="133"/>
      <c r="K19" s="130"/>
      <c r="L19" s="133"/>
      <c r="M19" s="130"/>
      <c r="N19" s="133"/>
      <c r="O19" s="130"/>
      <c r="P19" s="133"/>
      <c r="Q19" s="130"/>
      <c r="R19" s="133"/>
      <c r="S19" s="130"/>
      <c r="T19" s="212"/>
      <c r="U19" s="130"/>
      <c r="V19" s="133"/>
      <c r="W19" s="130"/>
      <c r="X19" s="133"/>
      <c r="Y19" s="138"/>
      <c r="Z19" s="133"/>
      <c r="AA19" s="3"/>
      <c r="AB19" s="133"/>
      <c r="AC19" s="3"/>
      <c r="AD19" s="133"/>
    </row>
    <row r="20" spans="1:30" ht="15" x14ac:dyDescent="0.25">
      <c r="A20" s="133"/>
      <c r="B20" s="133" t="s">
        <v>223</v>
      </c>
      <c r="C20" s="133"/>
      <c r="D20" s="133"/>
      <c r="E20" s="133"/>
      <c r="F20" s="133"/>
      <c r="G20" s="133"/>
      <c r="H20" s="133"/>
      <c r="I20" s="133">
        <f>J20+L20+N20+P20+R20+T20+V20</f>
        <v>4050.0000000000005</v>
      </c>
      <c r="J20" s="133">
        <f>X20*K20</f>
        <v>1530.9</v>
      </c>
      <c r="K20" s="184">
        <f>Inputs!D36</f>
        <v>0.378</v>
      </c>
      <c r="L20" s="133">
        <f>X20*M20</f>
        <v>2259.9</v>
      </c>
      <c r="M20" s="184">
        <f>Inputs!D39</f>
        <v>0.55800000000000005</v>
      </c>
      <c r="N20" s="133">
        <f>X20*O20</f>
        <v>222.75</v>
      </c>
      <c r="O20" s="184">
        <f>Inputs!D40</f>
        <v>5.5E-2</v>
      </c>
      <c r="P20" s="133">
        <f>X20*Q20</f>
        <v>4.05</v>
      </c>
      <c r="Q20" s="184">
        <f>Inputs!D41</f>
        <v>1E-3</v>
      </c>
      <c r="R20" s="133">
        <f>X20*S20</f>
        <v>0</v>
      </c>
      <c r="S20" s="184">
        <f>Inputs!D42</f>
        <v>0</v>
      </c>
      <c r="T20" s="212">
        <f>X20*U20</f>
        <v>0</v>
      </c>
      <c r="U20" s="134">
        <v>0</v>
      </c>
      <c r="V20" s="133">
        <f>X20*W20</f>
        <v>32.4</v>
      </c>
      <c r="W20" s="185">
        <f>Inputs!D43</f>
        <v>8.0000000000000002E-3</v>
      </c>
      <c r="X20" s="213">
        <f>Z20*15</f>
        <v>4050</v>
      </c>
      <c r="Y20" s="209">
        <f>K20+M20+O20+Q20+S20+U20+W20</f>
        <v>1</v>
      </c>
      <c r="Z20" s="226">
        <f>Inputs!I38</f>
        <v>270</v>
      </c>
      <c r="AA20" s="3"/>
      <c r="AB20" s="133"/>
      <c r="AC20" s="3"/>
      <c r="AD20" s="133"/>
    </row>
    <row r="21" spans="1:30" ht="15" x14ac:dyDescent="0.25">
      <c r="A21" s="133"/>
      <c r="B21" s="133" t="s">
        <v>224</v>
      </c>
      <c r="C21" s="133"/>
      <c r="D21" s="133"/>
      <c r="E21" s="133"/>
      <c r="F21" s="133"/>
      <c r="G21" s="133"/>
      <c r="H21" s="133"/>
      <c r="I21" s="133">
        <f>J21+L21+N21+P21+R21+T21+V21</f>
        <v>450.00000000000006</v>
      </c>
      <c r="J21" s="133">
        <f>X21*K21</f>
        <v>170.1</v>
      </c>
      <c r="K21" s="184">
        <f>K20</f>
        <v>0.378</v>
      </c>
      <c r="L21" s="133">
        <f>X21*M21</f>
        <v>251.10000000000002</v>
      </c>
      <c r="M21" s="184">
        <f>M20</f>
        <v>0.55800000000000005</v>
      </c>
      <c r="N21" s="133">
        <f>X21*O21</f>
        <v>24.75</v>
      </c>
      <c r="O21" s="184">
        <f>O20</f>
        <v>5.5E-2</v>
      </c>
      <c r="P21" s="133">
        <f>X21*Q21</f>
        <v>0.45</v>
      </c>
      <c r="Q21" s="184">
        <f>Q20</f>
        <v>1E-3</v>
      </c>
      <c r="R21" s="133">
        <f>X21*S21</f>
        <v>0</v>
      </c>
      <c r="S21" s="184">
        <f>S20</f>
        <v>0</v>
      </c>
      <c r="T21" s="212">
        <f>X21*U21</f>
        <v>0</v>
      </c>
      <c r="U21" s="134">
        <v>0</v>
      </c>
      <c r="V21" s="133">
        <f>X21*W21</f>
        <v>3.6</v>
      </c>
      <c r="W21" s="185">
        <f>W20</f>
        <v>8.0000000000000002E-3</v>
      </c>
      <c r="X21" s="213">
        <f>Z21*15</f>
        <v>450</v>
      </c>
      <c r="Y21" s="209">
        <f>K21+M21+O21+Q21+S21+U21+W21</f>
        <v>1</v>
      </c>
      <c r="Z21" s="226">
        <f>Inputs!I39</f>
        <v>30</v>
      </c>
      <c r="AA21" s="3"/>
      <c r="AB21" s="133"/>
      <c r="AC21" s="3"/>
      <c r="AD21" s="133"/>
    </row>
    <row r="22" spans="1:30" ht="15" x14ac:dyDescent="0.25">
      <c r="A22" s="133"/>
      <c r="B22" s="214"/>
      <c r="C22" s="133"/>
      <c r="D22" s="133"/>
      <c r="E22" s="133"/>
      <c r="F22" s="133"/>
      <c r="G22" s="133"/>
      <c r="H22" s="133"/>
      <c r="I22" s="133"/>
      <c r="J22" s="133"/>
      <c r="K22" s="134"/>
      <c r="L22" s="133"/>
      <c r="M22" s="134"/>
      <c r="N22" s="133"/>
      <c r="O22" s="134"/>
      <c r="P22" s="133"/>
      <c r="Q22" s="134"/>
      <c r="R22" s="133"/>
      <c r="S22" s="134"/>
      <c r="T22" s="212"/>
      <c r="U22" s="134"/>
      <c r="V22" s="133"/>
      <c r="W22" s="137"/>
      <c r="X22" s="133"/>
      <c r="Y22" s="138"/>
      <c r="Z22" s="133"/>
      <c r="AA22" s="3"/>
      <c r="AB22" s="133"/>
      <c r="AC22" s="3"/>
      <c r="AD22" s="133"/>
    </row>
    <row r="23" spans="1:30" ht="15" x14ac:dyDescent="0.25">
      <c r="A23" s="133"/>
      <c r="B23" s="133" t="s">
        <v>228</v>
      </c>
      <c r="C23" s="133"/>
      <c r="D23" s="133"/>
      <c r="E23" s="133"/>
      <c r="F23" s="133"/>
      <c r="G23" s="133"/>
      <c r="H23" s="133"/>
      <c r="I23" s="133">
        <f>J23+L23+N23+P23+R23+T23+V23</f>
        <v>0</v>
      </c>
      <c r="J23" s="133">
        <f>X23*K23</f>
        <v>0</v>
      </c>
      <c r="K23" s="184">
        <f>Inputs!E36</f>
        <v>0</v>
      </c>
      <c r="L23" s="133">
        <f>X23*M23</f>
        <v>0</v>
      </c>
      <c r="M23" s="184">
        <f>Inputs!E39</f>
        <v>0</v>
      </c>
      <c r="N23" s="133">
        <f>X23*O23</f>
        <v>0</v>
      </c>
      <c r="O23" s="184">
        <f>Inputs!E40</f>
        <v>0</v>
      </c>
      <c r="P23" s="133">
        <f>X23*Q23</f>
        <v>0</v>
      </c>
      <c r="Q23" s="184">
        <f>Inputs!E41</f>
        <v>0</v>
      </c>
      <c r="R23" s="133">
        <f>X23*S23</f>
        <v>0</v>
      </c>
      <c r="S23" s="184">
        <f>Inputs!E42</f>
        <v>0</v>
      </c>
      <c r="T23" s="212">
        <f>X23*U23</f>
        <v>0</v>
      </c>
      <c r="U23" s="134">
        <v>0</v>
      </c>
      <c r="V23" s="133">
        <f>X23*W23</f>
        <v>0</v>
      </c>
      <c r="W23" s="218">
        <f>Inputs!E43</f>
        <v>0</v>
      </c>
      <c r="X23" s="213">
        <f>Z23*15</f>
        <v>6300</v>
      </c>
      <c r="Y23" s="209">
        <f>K23+M23+O23+Q23+S23+U23+W23</f>
        <v>0</v>
      </c>
      <c r="Z23" s="226">
        <f>Inputs!I40</f>
        <v>420</v>
      </c>
      <c r="AA23" s="3"/>
      <c r="AB23" s="133"/>
      <c r="AC23" s="3"/>
      <c r="AD23" s="133"/>
    </row>
    <row r="24" spans="1:30" ht="15" x14ac:dyDescent="0.25">
      <c r="A24" s="133"/>
      <c r="B24" s="133"/>
      <c r="C24" s="133"/>
      <c r="D24" s="133"/>
      <c r="E24" s="133"/>
      <c r="F24" s="133"/>
      <c r="G24" s="133"/>
      <c r="H24" s="133"/>
      <c r="I24" s="133"/>
      <c r="J24" s="133"/>
      <c r="K24" s="134"/>
      <c r="L24" s="133"/>
      <c r="M24" s="134"/>
      <c r="N24" s="133"/>
      <c r="O24" s="134"/>
      <c r="P24" s="133"/>
      <c r="Q24" s="134"/>
      <c r="R24" s="133"/>
      <c r="S24" s="134"/>
      <c r="T24" s="130"/>
      <c r="U24" s="130"/>
      <c r="V24" s="130"/>
      <c r="W24" s="130"/>
      <c r="X24" s="130"/>
      <c r="Y24" s="130"/>
      <c r="Z24" s="215"/>
      <c r="AA24" s="3"/>
      <c r="AB24" s="133"/>
      <c r="AC24" s="3"/>
      <c r="AD24" s="133"/>
    </row>
    <row r="25" spans="1:30" x14ac:dyDescent="0.2">
      <c r="A25" s="133"/>
      <c r="B25" s="127"/>
      <c r="C25" s="127"/>
      <c r="D25" s="127"/>
      <c r="E25" s="127"/>
      <c r="F25" s="127"/>
      <c r="G25" s="127"/>
      <c r="H25" s="127"/>
      <c r="I25" s="127"/>
      <c r="J25" s="127"/>
      <c r="K25" s="127"/>
      <c r="L25" s="127"/>
      <c r="M25" s="127"/>
      <c r="N25" s="127"/>
      <c r="O25" s="127"/>
      <c r="P25" s="127"/>
      <c r="Q25" s="127"/>
      <c r="R25" s="127"/>
      <c r="S25" s="127"/>
      <c r="T25" s="127"/>
      <c r="U25" s="127"/>
      <c r="V25" s="127"/>
      <c r="W25" s="127"/>
      <c r="X25" s="127"/>
      <c r="Y25" s="127"/>
      <c r="Z25" s="216"/>
      <c r="AA25" s="3"/>
      <c r="AB25" s="133"/>
      <c r="AC25" s="3"/>
      <c r="AD25" s="133"/>
    </row>
    <row r="26" spans="1:30" x14ac:dyDescent="0.2">
      <c r="A26" s="139"/>
      <c r="B26" s="140" t="s">
        <v>50</v>
      </c>
      <c r="C26" s="139">
        <f>SUM(C11:C25)</f>
        <v>0</v>
      </c>
      <c r="D26" s="139">
        <f>SUM(D11:D25)</f>
        <v>0</v>
      </c>
      <c r="E26" s="139">
        <f>SUM(E11:E25)</f>
        <v>4500</v>
      </c>
      <c r="F26" s="139">
        <f>SUM(F11:F25)</f>
        <v>0</v>
      </c>
      <c r="G26" s="139">
        <f>G11+G12</f>
        <v>4500</v>
      </c>
      <c r="H26" s="139">
        <f>SUM(H11+H12)</f>
        <v>300</v>
      </c>
      <c r="I26" s="141"/>
      <c r="J26" s="139">
        <f>SUM(J15:J25)</f>
        <v>4943.7000000000007</v>
      </c>
      <c r="K26" s="139"/>
      <c r="L26" s="139">
        <f>SUM(L15:L25)</f>
        <v>11511</v>
      </c>
      <c r="M26" s="139"/>
      <c r="N26" s="139">
        <f>SUM(N15:N25)</f>
        <v>1349.1</v>
      </c>
      <c r="O26" s="139"/>
      <c r="P26" s="139">
        <f>SUM(P15:P25)</f>
        <v>18</v>
      </c>
      <c r="Q26" s="139"/>
      <c r="R26" s="139">
        <f>SUM(R15:R25)</f>
        <v>0</v>
      </c>
      <c r="S26" s="139"/>
      <c r="T26" s="139">
        <f>SUM(T15:T25)</f>
        <v>0</v>
      </c>
      <c r="U26" s="139"/>
      <c r="V26" s="139">
        <f>SUM(V15:V25)</f>
        <v>178.2</v>
      </c>
      <c r="W26" s="139"/>
      <c r="X26" s="139">
        <f>SUM(X15:X25)</f>
        <v>24300</v>
      </c>
      <c r="Y26" s="139"/>
      <c r="Z26" s="139">
        <f>SUM(Z15:Z25)</f>
        <v>1620</v>
      </c>
      <c r="AA26" s="141">
        <f>IF(Z33=0,0,Z33/(H33+Z33))</f>
        <v>0</v>
      </c>
      <c r="AB26" s="139">
        <f>G26+X26</f>
        <v>28800</v>
      </c>
      <c r="AC26" s="139">
        <f>H26+Z26</f>
        <v>1920</v>
      </c>
      <c r="AD26" s="141">
        <f>I26+AA26</f>
        <v>0</v>
      </c>
    </row>
    <row r="30" spans="1:30" x14ac:dyDescent="0.2">
      <c r="A30" s="3" t="s">
        <v>100</v>
      </c>
      <c r="B30">
        <f>J26</f>
        <v>4943.7000000000007</v>
      </c>
    </row>
    <row r="31" spans="1:30" x14ac:dyDescent="0.2">
      <c r="A31" s="3" t="s">
        <v>101</v>
      </c>
      <c r="B31">
        <f>L26</f>
        <v>11511</v>
      </c>
      <c r="D31" s="162"/>
      <c r="E31" s="162"/>
      <c r="F31" s="163"/>
      <c r="G31" s="163"/>
      <c r="H31" s="163"/>
      <c r="I31" s="163"/>
      <c r="J31" s="163"/>
      <c r="K31" s="163"/>
      <c r="L31" s="163"/>
      <c r="M31" s="163"/>
      <c r="N31" s="160"/>
      <c r="O31" s="160"/>
      <c r="P31" s="158"/>
      <c r="Q31" s="158"/>
      <c r="R31" s="158"/>
    </row>
    <row r="32" spans="1:30" x14ac:dyDescent="0.2">
      <c r="A32" s="3" t="s">
        <v>102</v>
      </c>
      <c r="B32">
        <f>N26</f>
        <v>1349.1</v>
      </c>
      <c r="F32" s="159"/>
      <c r="G32" s="160"/>
      <c r="H32" s="160"/>
      <c r="I32" s="160"/>
      <c r="J32" s="160"/>
      <c r="K32" s="160"/>
      <c r="L32" s="160"/>
      <c r="M32" s="160"/>
      <c r="N32" s="160"/>
      <c r="O32" s="160"/>
      <c r="P32" s="160"/>
    </row>
    <row r="33" spans="1:13" x14ac:dyDescent="0.2">
      <c r="A33" s="3" t="s">
        <v>103</v>
      </c>
      <c r="B33">
        <f>P26</f>
        <v>18</v>
      </c>
      <c r="D33" s="161"/>
      <c r="E33" s="161"/>
      <c r="F33" s="161"/>
      <c r="G33" s="161"/>
      <c r="H33" s="161"/>
      <c r="I33" s="161"/>
      <c r="J33" s="161"/>
      <c r="K33" s="161"/>
      <c r="L33" s="161"/>
      <c r="M33" s="161"/>
    </row>
    <row r="34" spans="1:13" x14ac:dyDescent="0.2">
      <c r="A34" s="3" t="s">
        <v>104</v>
      </c>
      <c r="B34">
        <f>R26</f>
        <v>0</v>
      </c>
    </row>
    <row r="35" spans="1:13" x14ac:dyDescent="0.2">
      <c r="A35" s="3" t="s">
        <v>105</v>
      </c>
      <c r="B35">
        <f>T26</f>
        <v>0</v>
      </c>
    </row>
    <row r="36" spans="1:13" x14ac:dyDescent="0.2">
      <c r="A36" s="3" t="s">
        <v>106</v>
      </c>
      <c r="B36">
        <f>V26</f>
        <v>178.2</v>
      </c>
    </row>
    <row r="38" spans="1:13" x14ac:dyDescent="0.2">
      <c r="A38" s="3" t="s">
        <v>119</v>
      </c>
      <c r="B38">
        <f>SUM(B30:B36)</f>
        <v>18000</v>
      </c>
    </row>
  </sheetData>
  <mergeCells count="1">
    <mergeCell ref="C7:F7"/>
  </mergeCells>
  <pageMargins left="0" right="0" top="0" bottom="0" header="0.51180555555555496" footer="0.51180555555555496"/>
  <pageSetup firstPageNumber="0" orientation="landscape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</sheetPr>
  <dimension ref="A1:I30"/>
  <sheetViews>
    <sheetView zoomScaleNormal="100" workbookViewId="0">
      <selection activeCell="B14" sqref="B14"/>
    </sheetView>
  </sheetViews>
  <sheetFormatPr defaultColWidth="8.7109375" defaultRowHeight="12.75" x14ac:dyDescent="0.2"/>
  <cols>
    <col min="2" max="2" width="29.28515625" customWidth="1"/>
    <col min="5" max="5" width="19.5703125" customWidth="1"/>
    <col min="9" max="9" width="29.42578125" customWidth="1"/>
  </cols>
  <sheetData>
    <row r="1" spans="1:9" ht="18" x14ac:dyDescent="0.25">
      <c r="A1" s="242" t="s">
        <v>56</v>
      </c>
      <c r="B1" s="242"/>
      <c r="C1" s="242"/>
      <c r="D1" s="242"/>
      <c r="E1" s="242"/>
      <c r="F1" s="242"/>
      <c r="G1" s="242"/>
      <c r="H1" s="242"/>
    </row>
    <row r="2" spans="1:9" x14ac:dyDescent="0.2">
      <c r="A2" s="3"/>
      <c r="C2" s="24"/>
      <c r="D2" s="25"/>
      <c r="E2" s="25"/>
      <c r="F2" s="25"/>
      <c r="G2" s="25"/>
      <c r="H2" s="30"/>
      <c r="I2" s="30"/>
    </row>
    <row r="3" spans="1:9" x14ac:dyDescent="0.2">
      <c r="A3" s="3" t="s">
        <v>218</v>
      </c>
      <c r="B3" s="3"/>
      <c r="C3" s="34">
        <v>7169</v>
      </c>
      <c r="D3" s="25" t="s">
        <v>45</v>
      </c>
      <c r="E3" s="25" t="s">
        <v>49</v>
      </c>
      <c r="F3" s="25" t="s">
        <v>46</v>
      </c>
      <c r="G3" s="25" t="s">
        <v>47</v>
      </c>
      <c r="H3" s="194">
        <v>49042</v>
      </c>
      <c r="I3" s="25"/>
    </row>
    <row r="4" spans="1:9" x14ac:dyDescent="0.2">
      <c r="A4" s="3"/>
      <c r="B4" s="3"/>
      <c r="C4" s="34"/>
      <c r="D4" s="25"/>
      <c r="E4" s="25"/>
      <c r="F4" s="25"/>
      <c r="G4" s="25"/>
      <c r="H4" s="193"/>
    </row>
    <row r="5" spans="1:9" x14ac:dyDescent="0.2">
      <c r="A5" s="3" t="s">
        <v>219</v>
      </c>
      <c r="C5" s="24">
        <v>7168</v>
      </c>
      <c r="D5" s="25" t="s">
        <v>45</v>
      </c>
      <c r="E5" s="25" t="s">
        <v>49</v>
      </c>
      <c r="F5" s="25" t="s">
        <v>46</v>
      </c>
      <c r="G5" s="25" t="s">
        <v>47</v>
      </c>
      <c r="H5" s="194">
        <v>34508</v>
      </c>
    </row>
    <row r="6" spans="1:9" x14ac:dyDescent="0.2">
      <c r="A6" s="3" t="s">
        <v>219</v>
      </c>
      <c r="C6" s="24">
        <v>7168</v>
      </c>
      <c r="D6" s="25" t="s">
        <v>45</v>
      </c>
      <c r="E6" s="25" t="s">
        <v>49</v>
      </c>
      <c r="F6" s="25" t="s">
        <v>46</v>
      </c>
      <c r="G6" s="25" t="s">
        <v>48</v>
      </c>
      <c r="H6" s="194">
        <v>3822</v>
      </c>
      <c r="I6" s="30"/>
    </row>
    <row r="7" spans="1:9" ht="15" x14ac:dyDescent="0.2">
      <c r="I7" s="58"/>
    </row>
    <row r="8" spans="1:9" x14ac:dyDescent="0.2">
      <c r="A8" s="3" t="s">
        <v>220</v>
      </c>
      <c r="C8" s="24">
        <v>7168</v>
      </c>
      <c r="D8" s="25" t="s">
        <v>45</v>
      </c>
      <c r="E8" s="25" t="s">
        <v>49</v>
      </c>
      <c r="F8" s="25" t="s">
        <v>46</v>
      </c>
      <c r="G8" s="25" t="s">
        <v>47</v>
      </c>
      <c r="H8" s="194">
        <v>29680</v>
      </c>
      <c r="I8" s="25"/>
    </row>
    <row r="9" spans="1:9" x14ac:dyDescent="0.2">
      <c r="A9" s="3" t="s">
        <v>220</v>
      </c>
      <c r="C9" s="24">
        <v>7168</v>
      </c>
      <c r="D9" s="25" t="s">
        <v>45</v>
      </c>
      <c r="E9" s="25" t="s">
        <v>49</v>
      </c>
      <c r="F9" s="25" t="s">
        <v>46</v>
      </c>
      <c r="G9" s="25" t="s">
        <v>48</v>
      </c>
      <c r="H9" s="194">
        <v>1990</v>
      </c>
    </row>
    <row r="10" spans="1:9" x14ac:dyDescent="0.2">
      <c r="H10" s="195"/>
      <c r="I10" s="30"/>
    </row>
    <row r="11" spans="1:9" ht="15" x14ac:dyDescent="0.2">
      <c r="A11" s="3" t="s">
        <v>222</v>
      </c>
      <c r="C11" s="24">
        <v>7168</v>
      </c>
      <c r="D11" s="25" t="s">
        <v>45</v>
      </c>
      <c r="E11" s="25" t="s">
        <v>49</v>
      </c>
      <c r="F11" s="25" t="s">
        <v>46</v>
      </c>
      <c r="G11" s="25" t="s">
        <v>47</v>
      </c>
      <c r="H11" s="194">
        <v>24802</v>
      </c>
      <c r="I11" s="58"/>
    </row>
    <row r="13" spans="1:9" x14ac:dyDescent="0.2">
      <c r="I13" s="25"/>
    </row>
    <row r="14" spans="1:9" x14ac:dyDescent="0.2">
      <c r="I14" s="25"/>
    </row>
    <row r="15" spans="1:9" x14ac:dyDescent="0.2">
      <c r="H15" s="195"/>
    </row>
    <row r="17" spans="1:9" x14ac:dyDescent="0.2">
      <c r="A17" s="3"/>
      <c r="C17" s="24"/>
      <c r="D17" s="25"/>
      <c r="E17" s="25"/>
      <c r="F17" s="25"/>
      <c r="G17" s="25"/>
      <c r="I17" s="30"/>
    </row>
    <row r="20" spans="1:9" x14ac:dyDescent="0.2">
      <c r="H20" s="30"/>
      <c r="I20" s="30"/>
    </row>
    <row r="21" spans="1:9" ht="15" x14ac:dyDescent="0.2">
      <c r="H21" s="58"/>
      <c r="I21" s="58"/>
    </row>
    <row r="28" spans="1:9" x14ac:dyDescent="0.2">
      <c r="F28" s="5"/>
      <c r="G28" s="5"/>
    </row>
    <row r="29" spans="1:9" x14ac:dyDescent="0.2">
      <c r="F29" s="5"/>
      <c r="G29" s="5"/>
    </row>
    <row r="30" spans="1:9" x14ac:dyDescent="0.2">
      <c r="A30" s="5"/>
      <c r="B30" s="5"/>
      <c r="C30" s="5"/>
      <c r="D30" s="5"/>
      <c r="E30" s="5"/>
      <c r="F30" s="5"/>
      <c r="G30" s="5"/>
    </row>
  </sheetData>
  <mergeCells count="1">
    <mergeCell ref="A1:H1"/>
  </mergeCells>
  <pageMargins left="0.7" right="0.7" top="0.75" bottom="0.75" header="0.51180555555555496" footer="0.51180555555555496"/>
  <pageSetup firstPageNumber="0" orientation="landscape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00"/>
    <pageSetUpPr fitToPage="1"/>
  </sheetPr>
  <dimension ref="A1:AMJ82"/>
  <sheetViews>
    <sheetView topLeftCell="A7" zoomScaleNormal="100" workbookViewId="0">
      <selection activeCell="C40" sqref="C40"/>
    </sheetView>
  </sheetViews>
  <sheetFormatPr defaultColWidth="9.140625" defaultRowHeight="15" x14ac:dyDescent="0.25"/>
  <cols>
    <col min="1" max="1" width="9.140625" style="142"/>
    <col min="2" max="2" width="7.42578125" style="142" customWidth="1"/>
    <col min="3" max="3" width="14.140625" style="142" customWidth="1"/>
    <col min="4" max="4" width="12.5703125" style="143" customWidth="1"/>
    <col min="5" max="5" width="11.5703125" style="142" customWidth="1"/>
    <col min="6" max="6" width="13.42578125" style="143" customWidth="1"/>
    <col min="7" max="7" width="10.140625" style="143" customWidth="1"/>
    <col min="8" max="8" width="12.28515625" style="142" customWidth="1"/>
    <col min="9" max="9" width="10.7109375" style="142" customWidth="1"/>
    <col min="10" max="10" width="12.85546875" style="142" customWidth="1"/>
    <col min="11" max="11" width="11.7109375" style="143" customWidth="1"/>
    <col min="12" max="12" width="11.5703125" style="144" customWidth="1"/>
    <col min="13" max="13" width="12" style="143" customWidth="1"/>
    <col min="14" max="14" width="17.140625" style="143" customWidth="1"/>
    <col min="15" max="15" width="11.42578125" style="143" customWidth="1"/>
    <col min="16" max="16" width="12.140625" style="143" customWidth="1"/>
    <col min="17" max="256" width="9.140625" style="142"/>
    <col min="257" max="257" width="4.28515625" style="142" customWidth="1"/>
    <col min="258" max="258" width="3.5703125" style="142" customWidth="1"/>
    <col min="259" max="259" width="8.7109375" style="142" customWidth="1"/>
    <col min="260" max="260" width="7.28515625" style="142" customWidth="1"/>
    <col min="261" max="261" width="4.7109375" style="142" customWidth="1"/>
    <col min="262" max="262" width="4.5703125" style="142" customWidth="1"/>
    <col min="263" max="264" width="4.7109375" style="142" customWidth="1"/>
    <col min="265" max="265" width="6.7109375" style="142" customWidth="1"/>
    <col min="266" max="266" width="6.42578125" style="142" customWidth="1"/>
    <col min="267" max="267" width="7.28515625" style="142" customWidth="1"/>
    <col min="268" max="268" width="8.42578125" style="142" customWidth="1"/>
    <col min="269" max="269" width="14" style="142" customWidth="1"/>
    <col min="270" max="270" width="3" style="142" customWidth="1"/>
    <col min="271" max="271" width="7.42578125" style="142" customWidth="1"/>
    <col min="272" max="272" width="7.7109375" style="142" customWidth="1"/>
    <col min="273" max="512" width="9.140625" style="142"/>
    <col min="513" max="513" width="4.28515625" style="142" customWidth="1"/>
    <col min="514" max="514" width="3.5703125" style="142" customWidth="1"/>
    <col min="515" max="515" width="8.7109375" style="142" customWidth="1"/>
    <col min="516" max="516" width="7.28515625" style="142" customWidth="1"/>
    <col min="517" max="517" width="4.7109375" style="142" customWidth="1"/>
    <col min="518" max="518" width="4.5703125" style="142" customWidth="1"/>
    <col min="519" max="520" width="4.7109375" style="142" customWidth="1"/>
    <col min="521" max="521" width="6.7109375" style="142" customWidth="1"/>
    <col min="522" max="522" width="6.42578125" style="142" customWidth="1"/>
    <col min="523" max="523" width="7.28515625" style="142" customWidth="1"/>
    <col min="524" max="524" width="8.42578125" style="142" customWidth="1"/>
    <col min="525" max="525" width="14" style="142" customWidth="1"/>
    <col min="526" max="526" width="3" style="142" customWidth="1"/>
    <col min="527" max="527" width="7.42578125" style="142" customWidth="1"/>
    <col min="528" max="528" width="7.7109375" style="142" customWidth="1"/>
    <col min="529" max="768" width="9.140625" style="142"/>
    <col min="769" max="769" width="4.28515625" style="142" customWidth="1"/>
    <col min="770" max="770" width="3.5703125" style="142" customWidth="1"/>
    <col min="771" max="771" width="8.7109375" style="142" customWidth="1"/>
    <col min="772" max="772" width="7.28515625" style="142" customWidth="1"/>
    <col min="773" max="773" width="4.7109375" style="142" customWidth="1"/>
    <col min="774" max="774" width="4.5703125" style="142" customWidth="1"/>
    <col min="775" max="776" width="4.7109375" style="142" customWidth="1"/>
    <col min="777" max="777" width="6.7109375" style="142" customWidth="1"/>
    <col min="778" max="778" width="6.42578125" style="142" customWidth="1"/>
    <col min="779" max="779" width="7.28515625" style="142" customWidth="1"/>
    <col min="780" max="780" width="8.42578125" style="142" customWidth="1"/>
    <col min="781" max="781" width="14" style="142" customWidth="1"/>
    <col min="782" max="782" width="3" style="142" customWidth="1"/>
    <col min="783" max="783" width="7.42578125" style="142" customWidth="1"/>
    <col min="784" max="784" width="7.7109375" style="142" customWidth="1"/>
    <col min="785" max="1024" width="9.140625" style="142"/>
  </cols>
  <sheetData>
    <row r="1" spans="1:16" x14ac:dyDescent="0.25">
      <c r="A1" s="145" t="s">
        <v>120</v>
      </c>
      <c r="B1" s="146" t="s">
        <v>121</v>
      </c>
      <c r="C1" s="146" t="s">
        <v>122</v>
      </c>
      <c r="D1" s="146" t="s">
        <v>27</v>
      </c>
      <c r="E1" s="146" t="s">
        <v>123</v>
      </c>
      <c r="F1" s="146" t="s">
        <v>113</v>
      </c>
      <c r="G1" s="146" t="s">
        <v>124</v>
      </c>
      <c r="H1" s="146" t="s">
        <v>125</v>
      </c>
      <c r="I1" s="146" t="s">
        <v>126</v>
      </c>
      <c r="J1" s="146" t="s">
        <v>12</v>
      </c>
      <c r="K1" s="146" t="s">
        <v>127</v>
      </c>
      <c r="L1" s="147" t="s">
        <v>128</v>
      </c>
      <c r="M1" s="146" t="s">
        <v>129</v>
      </c>
      <c r="N1" s="146" t="s">
        <v>130</v>
      </c>
      <c r="O1" s="146" t="s">
        <v>131</v>
      </c>
      <c r="P1" s="146" t="s">
        <v>132</v>
      </c>
    </row>
    <row r="2" spans="1:16" x14ac:dyDescent="0.25">
      <c r="A2" s="243" t="s">
        <v>133</v>
      </c>
      <c r="B2" s="243"/>
      <c r="C2" s="243"/>
      <c r="D2" s="243"/>
      <c r="E2" s="243"/>
      <c r="F2" s="243"/>
      <c r="G2" s="243"/>
      <c r="H2" s="243"/>
      <c r="I2" s="243"/>
      <c r="J2" s="243"/>
      <c r="K2" s="243"/>
      <c r="L2" s="243"/>
      <c r="M2" s="243"/>
      <c r="N2" s="243"/>
      <c r="O2" s="243"/>
      <c r="P2" s="243"/>
    </row>
    <row r="3" spans="1:16" x14ac:dyDescent="0.25">
      <c r="B3" s="148">
        <v>5</v>
      </c>
      <c r="C3" s="148">
        <v>123456</v>
      </c>
      <c r="D3" s="192" t="s">
        <v>2</v>
      </c>
      <c r="E3" s="148">
        <v>60</v>
      </c>
      <c r="F3" s="192" t="s">
        <v>113</v>
      </c>
      <c r="G3" s="148"/>
      <c r="H3" s="148" t="s">
        <v>202</v>
      </c>
      <c r="I3" s="148">
        <f>K3-192</f>
        <v>1408</v>
      </c>
      <c r="J3" s="148">
        <f>IF(H3="NEW",203, IF(H3="OLD",192,0))</f>
        <v>192</v>
      </c>
      <c r="K3" s="148">
        <v>1600</v>
      </c>
      <c r="L3" s="149">
        <f>I3/E3</f>
        <v>23.466666666666665</v>
      </c>
      <c r="M3" s="148">
        <v>789456</v>
      </c>
      <c r="N3" s="150">
        <v>43663</v>
      </c>
      <c r="O3" s="148" t="s">
        <v>47</v>
      </c>
      <c r="P3" s="148">
        <v>50</v>
      </c>
    </row>
    <row r="4" spans="1:16" x14ac:dyDescent="0.25">
      <c r="B4" s="148">
        <v>5</v>
      </c>
      <c r="C4" s="148">
        <v>123457</v>
      </c>
      <c r="D4" s="192" t="s">
        <v>5</v>
      </c>
      <c r="E4" s="148">
        <v>60</v>
      </c>
      <c r="F4" s="192"/>
      <c r="G4" s="148" t="s">
        <v>8</v>
      </c>
      <c r="H4" s="148" t="s">
        <v>202</v>
      </c>
      <c r="I4" s="148">
        <f>K4-J4</f>
        <v>1458</v>
      </c>
      <c r="J4" s="148">
        <f>IF(H4="NEW",203, IF(H4="OLD",192,0))</f>
        <v>192</v>
      </c>
      <c r="K4" s="148">
        <v>1650</v>
      </c>
      <c r="L4" s="149"/>
      <c r="M4" s="148">
        <v>789456</v>
      </c>
      <c r="N4" s="150">
        <v>43663</v>
      </c>
      <c r="O4" s="148" t="s">
        <v>47</v>
      </c>
      <c r="P4" s="148">
        <v>30</v>
      </c>
    </row>
    <row r="5" spans="1:16" x14ac:dyDescent="0.25">
      <c r="B5" s="148">
        <v>5</v>
      </c>
      <c r="C5" s="148">
        <v>123458</v>
      </c>
      <c r="D5" s="192" t="s">
        <v>3</v>
      </c>
      <c r="E5" s="148">
        <v>60</v>
      </c>
      <c r="F5" s="192"/>
      <c r="G5" s="148" t="s">
        <v>9</v>
      </c>
      <c r="H5" s="148" t="s">
        <v>201</v>
      </c>
      <c r="I5" s="148">
        <f>K5-J5</f>
        <v>1497</v>
      </c>
      <c r="J5" s="148">
        <f>IF(H5="NEW",203, IF(H5="OLD",192,0))</f>
        <v>203</v>
      </c>
      <c r="K5" s="148">
        <v>1700</v>
      </c>
      <c r="L5" s="149"/>
      <c r="M5" s="148">
        <v>789456</v>
      </c>
      <c r="N5" s="150">
        <v>43663</v>
      </c>
      <c r="O5" s="148" t="s">
        <v>48</v>
      </c>
      <c r="P5" s="148"/>
    </row>
    <row r="6" spans="1:16" x14ac:dyDescent="0.25">
      <c r="A6" s="244"/>
      <c r="B6" s="244"/>
      <c r="C6" s="244"/>
      <c r="D6" s="244"/>
      <c r="E6" s="244"/>
      <c r="F6" s="244"/>
      <c r="G6" s="244"/>
      <c r="H6" s="244"/>
      <c r="I6" s="244"/>
      <c r="J6" s="244"/>
      <c r="K6" s="244"/>
      <c r="L6" s="244"/>
      <c r="M6" s="244"/>
      <c r="N6" s="244"/>
      <c r="O6" s="244"/>
      <c r="P6" s="244"/>
    </row>
    <row r="7" spans="1:16" x14ac:dyDescent="0.25">
      <c r="A7" s="148">
        <v>1</v>
      </c>
      <c r="B7" s="189">
        <f>Inputs!C$2</f>
        <v>45</v>
      </c>
      <c r="C7" s="151">
        <v>941168</v>
      </c>
      <c r="D7" s="188" t="s">
        <v>6</v>
      </c>
      <c r="E7" s="148">
        <v>60</v>
      </c>
      <c r="F7" s="188"/>
      <c r="G7" s="188" t="s">
        <v>10</v>
      </c>
      <c r="H7" s="191" t="s">
        <v>201</v>
      </c>
      <c r="I7" s="210" t="str">
        <f>IF(K7&gt;0,K7-J7,"NA")</f>
        <v>NA</v>
      </c>
      <c r="J7" s="189">
        <f>IF(H7="NEW",203, IF(H7="OLD",192,0))</f>
        <v>203</v>
      </c>
      <c r="K7" s="151"/>
      <c r="L7" s="211" t="str">
        <f>IF(K7&gt;0,I7/E7,"NA")</f>
        <v>NA</v>
      </c>
      <c r="M7" s="151">
        <v>135234</v>
      </c>
      <c r="N7" s="152" t="s">
        <v>235</v>
      </c>
      <c r="O7" s="157" t="s">
        <v>10</v>
      </c>
      <c r="P7" s="187" t="str">
        <f>IF(D7=Inputs!F$4,Inputs!I$4,IF(D7=Inputs!F$2,Inputs!I$2,IF(D7=Inputs!F$3,Inputs!I$3,IF(D7=Inputs!F$5,Inputs!I$5,"NA"))))</f>
        <v>NA</v>
      </c>
    </row>
    <row r="8" spans="1:16" x14ac:dyDescent="0.25">
      <c r="A8" s="148">
        <v>2</v>
      </c>
      <c r="B8" s="189">
        <f>Inputs!C$2</f>
        <v>45</v>
      </c>
      <c r="C8" s="151">
        <v>941169</v>
      </c>
      <c r="D8" s="188" t="s">
        <v>168</v>
      </c>
      <c r="E8" s="148">
        <v>60</v>
      </c>
      <c r="F8" s="188" t="s">
        <v>113</v>
      </c>
      <c r="G8" s="188"/>
      <c r="H8" s="191" t="s">
        <v>201</v>
      </c>
      <c r="I8" s="210">
        <f t="shared" ref="I8:I70" si="0">IF(K8&gt;0,K8-J8,"NA")</f>
        <v>1499</v>
      </c>
      <c r="J8" s="189">
        <f>IF(H8="NEW",203, IF(H8="OLD",192,0))</f>
        <v>203</v>
      </c>
      <c r="K8" s="151">
        <v>1702</v>
      </c>
      <c r="L8" s="211">
        <f>IF(K8&gt;0,I8/E8,"NA")</f>
        <v>24.983333333333334</v>
      </c>
      <c r="M8" s="151">
        <v>135234</v>
      </c>
      <c r="N8" s="152" t="s">
        <v>235</v>
      </c>
      <c r="O8" s="157" t="s">
        <v>47</v>
      </c>
      <c r="P8" s="187">
        <f>IF(D8=Inputs!F$4,Inputs!I$4,IF(D8=Inputs!F$2,Inputs!I$2,IF(D8=Inputs!F$3,Inputs!I$3,IF(D8=Inputs!F$5,Inputs!I$5,"NA"))))</f>
        <v>56.892857142857146</v>
      </c>
    </row>
    <row r="9" spans="1:16" x14ac:dyDescent="0.25">
      <c r="A9" s="148">
        <v>3</v>
      </c>
      <c r="B9" s="189">
        <f>Inputs!C$2</f>
        <v>45</v>
      </c>
      <c r="C9" s="151">
        <v>941170</v>
      </c>
      <c r="D9" s="188" t="s">
        <v>168</v>
      </c>
      <c r="E9" s="148">
        <v>60</v>
      </c>
      <c r="F9" s="188" t="s">
        <v>113</v>
      </c>
      <c r="G9" s="188"/>
      <c r="H9" s="191" t="s">
        <v>201</v>
      </c>
      <c r="I9" s="210">
        <f t="shared" si="0"/>
        <v>1507</v>
      </c>
      <c r="J9" s="189">
        <f>IF(H9="NEW",203, IF(H9="OLD",192,0))</f>
        <v>203</v>
      </c>
      <c r="K9" s="151">
        <v>1710</v>
      </c>
      <c r="L9" s="211">
        <f t="shared" ref="L9:L72" si="1">IF(K9&gt;0,I9/E9,"NA")</f>
        <v>25.116666666666667</v>
      </c>
      <c r="M9" s="151">
        <v>135234</v>
      </c>
      <c r="N9" s="152" t="s">
        <v>235</v>
      </c>
      <c r="O9" s="157" t="s">
        <v>48</v>
      </c>
      <c r="P9" s="187">
        <f>IF(D9=Inputs!F$4,Inputs!I$4,IF(D9=Inputs!F$2,Inputs!I$2,IF(D9=Inputs!F$3,Inputs!I$3,IF(D9=Inputs!F$5,Inputs!I$5,"NA"))))</f>
        <v>56.892857142857146</v>
      </c>
    </row>
    <row r="10" spans="1:16" x14ac:dyDescent="0.25">
      <c r="A10" s="148">
        <v>4</v>
      </c>
      <c r="B10" s="189">
        <f>Inputs!C$2</f>
        <v>45</v>
      </c>
      <c r="C10" s="151">
        <v>941171</v>
      </c>
      <c r="D10" s="188" t="s">
        <v>4</v>
      </c>
      <c r="E10" s="148">
        <v>60</v>
      </c>
      <c r="F10" s="188" t="s">
        <v>113</v>
      </c>
      <c r="G10" s="188"/>
      <c r="H10" s="191" t="s">
        <v>201</v>
      </c>
      <c r="I10" s="210">
        <f t="shared" si="0"/>
        <v>1107</v>
      </c>
      <c r="J10" s="189">
        <f>IF(H10="NEW",203, IF(H10="OLD",192,0))</f>
        <v>203</v>
      </c>
      <c r="K10" s="151">
        <v>1310</v>
      </c>
      <c r="L10" s="211">
        <f t="shared" si="1"/>
        <v>18.45</v>
      </c>
      <c r="M10" s="151">
        <v>135234</v>
      </c>
      <c r="N10" s="152" t="s">
        <v>235</v>
      </c>
      <c r="O10" s="157" t="s">
        <v>47</v>
      </c>
      <c r="P10" s="187">
        <f>IF(D10=Inputs!F$4,Inputs!I$4,IF(D10=Inputs!F$2,Inputs!I$2,IF(D10=Inputs!F$3,Inputs!I$3,IF(D10=Inputs!F$5,Inputs!I$5,"NA"))))</f>
        <v>22.607142857142858</v>
      </c>
    </row>
    <row r="11" spans="1:16" x14ac:dyDescent="0.25">
      <c r="A11" s="148">
        <v>5</v>
      </c>
      <c r="B11" s="189">
        <f>Inputs!C$2</f>
        <v>45</v>
      </c>
      <c r="C11" s="151">
        <v>941172</v>
      </c>
      <c r="D11" s="188" t="s">
        <v>6</v>
      </c>
      <c r="E11" s="148">
        <v>60</v>
      </c>
      <c r="F11" s="188"/>
      <c r="G11" s="188" t="s">
        <v>10</v>
      </c>
      <c r="H11" s="191" t="s">
        <v>201</v>
      </c>
      <c r="I11" s="210" t="str">
        <f>IF(K11&gt;0,K11-J11,"NA")</f>
        <v>NA</v>
      </c>
      <c r="J11" s="189">
        <f t="shared" ref="J11:J72" si="2">IF(H11="NEW",203, IF(H11="OLD",192,0))</f>
        <v>203</v>
      </c>
      <c r="K11" s="151"/>
      <c r="L11" s="211" t="str">
        <f>IF(K11&gt;0,I11/E11,"NA")</f>
        <v>NA</v>
      </c>
      <c r="M11" s="151">
        <v>135234</v>
      </c>
      <c r="N11" s="152" t="s">
        <v>235</v>
      </c>
      <c r="O11" s="157" t="s">
        <v>10</v>
      </c>
      <c r="P11" s="187" t="str">
        <f>IF(D11=Inputs!F$4,Inputs!I$4,IF(D11=Inputs!F$2,Inputs!I$2,IF(D11=Inputs!F$3,Inputs!I$3,IF(D11=Inputs!F$5,Inputs!I$5,"NA"))))</f>
        <v>NA</v>
      </c>
    </row>
    <row r="12" spans="1:16" x14ac:dyDescent="0.25">
      <c r="A12" s="148">
        <v>6</v>
      </c>
      <c r="B12" s="189">
        <f>Inputs!C$2</f>
        <v>45</v>
      </c>
      <c r="C12" s="151">
        <v>941173</v>
      </c>
      <c r="D12" s="188" t="s">
        <v>4</v>
      </c>
      <c r="E12" s="148">
        <v>60</v>
      </c>
      <c r="F12" s="188" t="s">
        <v>113</v>
      </c>
      <c r="G12" s="188"/>
      <c r="H12" s="191" t="s">
        <v>201</v>
      </c>
      <c r="I12" s="210">
        <f t="shared" si="0"/>
        <v>1141</v>
      </c>
      <c r="J12" s="189">
        <f t="shared" si="2"/>
        <v>203</v>
      </c>
      <c r="K12" s="151">
        <v>1344</v>
      </c>
      <c r="L12" s="211">
        <f t="shared" si="1"/>
        <v>19.016666666666666</v>
      </c>
      <c r="M12" s="151">
        <v>135234</v>
      </c>
      <c r="N12" s="152" t="s">
        <v>235</v>
      </c>
      <c r="O12" s="157" t="s">
        <v>47</v>
      </c>
      <c r="P12" s="187">
        <f>IF(D12=Inputs!F$4,Inputs!I$4,IF(D12=Inputs!F$2,Inputs!I$2,IF(D12=Inputs!F$3,Inputs!I$3,IF(D12=Inputs!F$5,Inputs!I$5,"NA"))))</f>
        <v>22.607142857142858</v>
      </c>
    </row>
    <row r="13" spans="1:16" x14ac:dyDescent="0.25">
      <c r="A13" s="148">
        <v>7</v>
      </c>
      <c r="B13" s="189">
        <f>Inputs!C$2</f>
        <v>45</v>
      </c>
      <c r="C13" s="151">
        <v>941174</v>
      </c>
      <c r="D13" s="188" t="s">
        <v>6</v>
      </c>
      <c r="E13" s="148">
        <v>60</v>
      </c>
      <c r="F13" s="188"/>
      <c r="G13" s="188" t="s">
        <v>10</v>
      </c>
      <c r="H13" s="191" t="s">
        <v>201</v>
      </c>
      <c r="I13" s="210" t="str">
        <f t="shared" si="0"/>
        <v>NA</v>
      </c>
      <c r="J13" s="189">
        <f t="shared" si="2"/>
        <v>203</v>
      </c>
      <c r="K13" s="151"/>
      <c r="L13" s="211" t="str">
        <f t="shared" si="1"/>
        <v>NA</v>
      </c>
      <c r="M13" s="151">
        <v>135234</v>
      </c>
      <c r="N13" s="152" t="s">
        <v>235</v>
      </c>
      <c r="O13" s="157" t="s">
        <v>10</v>
      </c>
      <c r="P13" s="187" t="str">
        <f>IF(D13=Inputs!F$4,Inputs!I$4,IF(D13=Inputs!F$2,Inputs!I$2,IF(D13=Inputs!F$3,Inputs!I$3,IF(D13=Inputs!F$5,Inputs!I$5,"NA"))))</f>
        <v>NA</v>
      </c>
    </row>
    <row r="14" spans="1:16" x14ac:dyDescent="0.25">
      <c r="A14" s="148">
        <v>8</v>
      </c>
      <c r="B14" s="189">
        <f>Inputs!C$2</f>
        <v>45</v>
      </c>
      <c r="C14" s="151">
        <v>941175</v>
      </c>
      <c r="D14" s="188" t="s">
        <v>229</v>
      </c>
      <c r="E14" s="148">
        <v>60</v>
      </c>
      <c r="F14" s="188" t="s">
        <v>113</v>
      </c>
      <c r="G14" s="188"/>
      <c r="H14" s="191" t="s">
        <v>201</v>
      </c>
      <c r="I14" s="210">
        <f t="shared" si="0"/>
        <v>1425</v>
      </c>
      <c r="J14" s="189">
        <f t="shared" si="2"/>
        <v>203</v>
      </c>
      <c r="K14" s="151">
        <v>1628</v>
      </c>
      <c r="L14" s="211">
        <f t="shared" si="1"/>
        <v>23.75</v>
      </c>
      <c r="M14" s="151">
        <v>135234</v>
      </c>
      <c r="N14" s="152" t="s">
        <v>235</v>
      </c>
      <c r="O14" s="157" t="s">
        <v>236</v>
      </c>
      <c r="P14" s="187">
        <f>IF(D14=Inputs!F$4,Inputs!I$4,IF(D14=Inputs!F$2,Inputs!I$2,IF(D14=Inputs!F$3,Inputs!I$3,IF(D14=Inputs!F$5,Inputs!I$5,"NA"))))</f>
        <v>43.892857142857146</v>
      </c>
    </row>
    <row r="15" spans="1:16" x14ac:dyDescent="0.25">
      <c r="A15" s="148">
        <v>9</v>
      </c>
      <c r="B15" s="189">
        <f>Inputs!C$2</f>
        <v>45</v>
      </c>
      <c r="C15" s="151">
        <v>941176</v>
      </c>
      <c r="D15" s="188" t="s">
        <v>168</v>
      </c>
      <c r="E15" s="148">
        <v>60</v>
      </c>
      <c r="F15" s="188" t="s">
        <v>113</v>
      </c>
      <c r="G15" s="188"/>
      <c r="H15" s="191" t="s">
        <v>201</v>
      </c>
      <c r="I15" s="210">
        <f t="shared" si="0"/>
        <v>1489</v>
      </c>
      <c r="J15" s="189">
        <f t="shared" si="2"/>
        <v>203</v>
      </c>
      <c r="K15" s="151">
        <v>1692</v>
      </c>
      <c r="L15" s="211">
        <f t="shared" si="1"/>
        <v>24.816666666666666</v>
      </c>
      <c r="M15" s="151">
        <v>135234</v>
      </c>
      <c r="N15" s="152" t="s">
        <v>235</v>
      </c>
      <c r="O15" s="157" t="s">
        <v>236</v>
      </c>
      <c r="P15" s="187">
        <f>IF(D15=Inputs!F$4,Inputs!I$4,IF(D15=Inputs!F$2,Inputs!I$2,IF(D15=Inputs!F$3,Inputs!I$3,IF(D15=Inputs!F$5,Inputs!I$5,"NA"))))</f>
        <v>56.892857142857146</v>
      </c>
    </row>
    <row r="16" spans="1:16" x14ac:dyDescent="0.25">
      <c r="A16" s="148">
        <v>10</v>
      </c>
      <c r="B16" s="189">
        <f>Inputs!C$2</f>
        <v>45</v>
      </c>
      <c r="C16" s="151">
        <v>941177</v>
      </c>
      <c r="D16" s="188" t="s">
        <v>4</v>
      </c>
      <c r="E16" s="148">
        <v>60</v>
      </c>
      <c r="F16" s="188" t="s">
        <v>113</v>
      </c>
      <c r="G16" s="188"/>
      <c r="H16" s="191" t="s">
        <v>201</v>
      </c>
      <c r="I16" s="210">
        <f t="shared" si="0"/>
        <v>1165</v>
      </c>
      <c r="J16" s="189">
        <f t="shared" si="2"/>
        <v>203</v>
      </c>
      <c r="K16" s="151">
        <v>1368</v>
      </c>
      <c r="L16" s="211">
        <f t="shared" si="1"/>
        <v>19.416666666666668</v>
      </c>
      <c r="M16" s="151">
        <v>135234</v>
      </c>
      <c r="N16" s="152" t="s">
        <v>235</v>
      </c>
      <c r="O16" s="157" t="s">
        <v>47</v>
      </c>
      <c r="P16" s="187">
        <f>IF(D16=Inputs!F$4,Inputs!I$4,IF(D16=Inputs!F$2,Inputs!I$2,IF(D16=Inputs!F$3,Inputs!I$3,IF(D16=Inputs!F$5,Inputs!I$5,"NA"))))</f>
        <v>22.607142857142858</v>
      </c>
    </row>
    <row r="17" spans="1:16" x14ac:dyDescent="0.25">
      <c r="A17" s="148">
        <v>11</v>
      </c>
      <c r="B17" s="189">
        <f>Inputs!C$2</f>
        <v>45</v>
      </c>
      <c r="C17" s="151">
        <v>941178</v>
      </c>
      <c r="D17" s="188" t="s">
        <v>4</v>
      </c>
      <c r="E17" s="148">
        <v>60</v>
      </c>
      <c r="F17" s="188" t="s">
        <v>113</v>
      </c>
      <c r="G17" s="188"/>
      <c r="H17" s="191" t="s">
        <v>201</v>
      </c>
      <c r="I17" s="210">
        <f t="shared" si="0"/>
        <v>1165</v>
      </c>
      <c r="J17" s="189">
        <f t="shared" si="2"/>
        <v>203</v>
      </c>
      <c r="K17" s="151">
        <v>1368</v>
      </c>
      <c r="L17" s="211">
        <f t="shared" si="1"/>
        <v>19.416666666666668</v>
      </c>
      <c r="M17" s="151">
        <v>135234</v>
      </c>
      <c r="N17" s="152" t="s">
        <v>235</v>
      </c>
      <c r="O17" s="157" t="s">
        <v>47</v>
      </c>
      <c r="P17" s="187">
        <f>IF(D17=Inputs!F$4,Inputs!I$4,IF(D17=Inputs!F$2,Inputs!I$2,IF(D17=Inputs!F$3,Inputs!I$3,IF(D17=Inputs!F$5,Inputs!I$5,"NA"))))</f>
        <v>22.607142857142858</v>
      </c>
    </row>
    <row r="18" spans="1:16" x14ac:dyDescent="0.25">
      <c r="A18" s="148">
        <v>12</v>
      </c>
      <c r="B18" s="189">
        <f>Inputs!C$2</f>
        <v>45</v>
      </c>
      <c r="C18" s="151">
        <v>941179</v>
      </c>
      <c r="D18" s="188" t="s">
        <v>168</v>
      </c>
      <c r="E18" s="148">
        <v>60</v>
      </c>
      <c r="F18" s="188" t="s">
        <v>113</v>
      </c>
      <c r="G18" s="188"/>
      <c r="H18" s="191" t="s">
        <v>201</v>
      </c>
      <c r="I18" s="210">
        <f t="shared" si="0"/>
        <v>1503</v>
      </c>
      <c r="J18" s="189">
        <f t="shared" si="2"/>
        <v>203</v>
      </c>
      <c r="K18" s="151">
        <v>1706</v>
      </c>
      <c r="L18" s="211">
        <f t="shared" si="1"/>
        <v>25.05</v>
      </c>
      <c r="M18" s="151">
        <v>135234</v>
      </c>
      <c r="N18" s="152" t="s">
        <v>235</v>
      </c>
      <c r="O18" s="157" t="s">
        <v>48</v>
      </c>
      <c r="P18" s="187">
        <f>IF(D18=Inputs!F$4,Inputs!I$4,IF(D18=Inputs!F$2,Inputs!I$2,IF(D18=Inputs!F$3,Inputs!I$3,IF(D18=Inputs!F$5,Inputs!I$5,"NA"))))</f>
        <v>56.892857142857146</v>
      </c>
    </row>
    <row r="19" spans="1:16" x14ac:dyDescent="0.25">
      <c r="A19" s="148">
        <v>13</v>
      </c>
      <c r="B19" s="189">
        <f>Inputs!C$2</f>
        <v>45</v>
      </c>
      <c r="C19" s="151">
        <v>941180</v>
      </c>
      <c r="D19" s="188" t="s">
        <v>4</v>
      </c>
      <c r="E19" s="148">
        <v>60</v>
      </c>
      <c r="F19" s="188" t="s">
        <v>113</v>
      </c>
      <c r="G19" s="188"/>
      <c r="H19" s="191" t="s">
        <v>201</v>
      </c>
      <c r="I19" s="210">
        <f t="shared" si="0"/>
        <v>1171</v>
      </c>
      <c r="J19" s="189">
        <f t="shared" si="2"/>
        <v>203</v>
      </c>
      <c r="K19" s="151">
        <v>1374</v>
      </c>
      <c r="L19" s="211">
        <f t="shared" si="1"/>
        <v>19.516666666666666</v>
      </c>
      <c r="M19" s="151">
        <v>135234</v>
      </c>
      <c r="N19" s="152" t="s">
        <v>235</v>
      </c>
      <c r="O19" s="157" t="s">
        <v>47</v>
      </c>
      <c r="P19" s="187">
        <f>IF(D19=Inputs!F$4,Inputs!I$4,IF(D19=Inputs!F$2,Inputs!I$2,IF(D19=Inputs!F$3,Inputs!I$3,IF(D19=Inputs!F$5,Inputs!I$5,"NA"))))</f>
        <v>22.607142857142858</v>
      </c>
    </row>
    <row r="20" spans="1:16" x14ac:dyDescent="0.25">
      <c r="A20" s="148">
        <v>14</v>
      </c>
      <c r="B20" s="189">
        <f>Inputs!C$2</f>
        <v>45</v>
      </c>
      <c r="C20" s="151">
        <v>941181</v>
      </c>
      <c r="D20" s="188" t="s">
        <v>6</v>
      </c>
      <c r="E20" s="148">
        <v>60</v>
      </c>
      <c r="F20" s="188"/>
      <c r="G20" s="188" t="s">
        <v>10</v>
      </c>
      <c r="H20" s="191" t="s">
        <v>201</v>
      </c>
      <c r="I20" s="210" t="str">
        <f t="shared" si="0"/>
        <v>NA</v>
      </c>
      <c r="J20" s="189">
        <f t="shared" si="2"/>
        <v>203</v>
      </c>
      <c r="K20" s="151"/>
      <c r="L20" s="211" t="str">
        <f t="shared" si="1"/>
        <v>NA</v>
      </c>
      <c r="M20" s="151">
        <v>135234</v>
      </c>
      <c r="N20" s="152" t="s">
        <v>235</v>
      </c>
      <c r="O20" s="157" t="s">
        <v>10</v>
      </c>
      <c r="P20" s="187" t="str">
        <f>IF(D20=Inputs!F$4,Inputs!I$4,IF(D20=Inputs!F$2,Inputs!I$2,IF(D20=Inputs!F$3,Inputs!I$3,IF(D20=Inputs!F$5,Inputs!I$5,"NA"))))</f>
        <v>NA</v>
      </c>
    </row>
    <row r="21" spans="1:16" x14ac:dyDescent="0.25">
      <c r="A21" s="148">
        <v>15</v>
      </c>
      <c r="B21" s="189">
        <f>Inputs!C$2</f>
        <v>45</v>
      </c>
      <c r="C21" s="151">
        <v>941182</v>
      </c>
      <c r="D21" s="188" t="s">
        <v>5</v>
      </c>
      <c r="E21" s="148">
        <v>60</v>
      </c>
      <c r="F21" s="188" t="s">
        <v>113</v>
      </c>
      <c r="G21" s="188"/>
      <c r="H21" s="191" t="s">
        <v>201</v>
      </c>
      <c r="I21" s="210">
        <f t="shared" si="0"/>
        <v>1471</v>
      </c>
      <c r="J21" s="189">
        <f t="shared" si="2"/>
        <v>203</v>
      </c>
      <c r="K21" s="151">
        <v>1674</v>
      </c>
      <c r="L21" s="211">
        <f t="shared" si="1"/>
        <v>24.516666666666666</v>
      </c>
      <c r="M21" s="151">
        <v>135234</v>
      </c>
      <c r="N21" s="152" t="s">
        <v>235</v>
      </c>
      <c r="O21" s="157" t="s">
        <v>47</v>
      </c>
      <c r="P21" s="187">
        <f>IF(D21=Inputs!F$4,Inputs!I$4,IF(D21=Inputs!F$2,Inputs!I$2,IF(D21=Inputs!F$3,Inputs!I$3,IF(D21=Inputs!F$5,Inputs!I$5,"NA"))))</f>
        <v>31.464285714285715</v>
      </c>
    </row>
    <row r="22" spans="1:16" x14ac:dyDescent="0.25">
      <c r="A22" s="148">
        <v>16</v>
      </c>
      <c r="B22" s="189">
        <f>Inputs!C$2</f>
        <v>45</v>
      </c>
      <c r="C22" s="151">
        <v>941183</v>
      </c>
      <c r="D22" s="188" t="s">
        <v>5</v>
      </c>
      <c r="E22" s="148">
        <v>60</v>
      </c>
      <c r="F22" s="188" t="s">
        <v>113</v>
      </c>
      <c r="G22" s="188"/>
      <c r="H22" s="191" t="s">
        <v>201</v>
      </c>
      <c r="I22" s="210">
        <f t="shared" si="0"/>
        <v>1451</v>
      </c>
      <c r="J22" s="189">
        <f t="shared" si="2"/>
        <v>203</v>
      </c>
      <c r="K22" s="235">
        <v>1654</v>
      </c>
      <c r="L22" s="211">
        <f t="shared" si="1"/>
        <v>24.183333333333334</v>
      </c>
      <c r="M22" s="151">
        <v>135234</v>
      </c>
      <c r="N22" s="152" t="s">
        <v>235</v>
      </c>
      <c r="O22" s="157" t="s">
        <v>47</v>
      </c>
      <c r="P22" s="187">
        <f>IF(D22=Inputs!F$4,Inputs!I$4,IF(D22=Inputs!F$2,Inputs!I$2,IF(D22=Inputs!F$3,Inputs!I$3,IF(D22=Inputs!F$5,Inputs!I$5,"NA"))))</f>
        <v>31.464285714285715</v>
      </c>
    </row>
    <row r="23" spans="1:16" x14ac:dyDescent="0.25">
      <c r="A23" s="148">
        <v>17</v>
      </c>
      <c r="B23" s="189">
        <f>Inputs!C$2</f>
        <v>45</v>
      </c>
      <c r="C23" s="151">
        <v>941184</v>
      </c>
      <c r="D23" s="188" t="s">
        <v>5</v>
      </c>
      <c r="E23" s="148">
        <v>60</v>
      </c>
      <c r="F23" s="188" t="s">
        <v>113</v>
      </c>
      <c r="G23" s="188"/>
      <c r="H23" s="191" t="s">
        <v>201</v>
      </c>
      <c r="I23" s="210">
        <f t="shared" si="0"/>
        <v>1461</v>
      </c>
      <c r="J23" s="189">
        <f t="shared" si="2"/>
        <v>203</v>
      </c>
      <c r="K23" s="151">
        <v>1664</v>
      </c>
      <c r="L23" s="211">
        <f t="shared" si="1"/>
        <v>24.35</v>
      </c>
      <c r="M23" s="151">
        <v>135234</v>
      </c>
      <c r="N23" s="152" t="s">
        <v>235</v>
      </c>
      <c r="O23" s="157" t="s">
        <v>47</v>
      </c>
      <c r="P23" s="187">
        <f>IF(D23=Inputs!F$4,Inputs!I$4,IF(D23=Inputs!F$2,Inputs!I$2,IF(D23=Inputs!F$3,Inputs!I$3,IF(D23=Inputs!F$5,Inputs!I$5,"NA"))))</f>
        <v>31.464285714285715</v>
      </c>
    </row>
    <row r="24" spans="1:16" x14ac:dyDescent="0.25">
      <c r="A24" s="148">
        <v>18</v>
      </c>
      <c r="B24" s="189">
        <f>Inputs!C$2</f>
        <v>45</v>
      </c>
      <c r="C24" s="151">
        <v>941185</v>
      </c>
      <c r="D24" s="188" t="s">
        <v>5</v>
      </c>
      <c r="E24" s="148">
        <v>60</v>
      </c>
      <c r="F24" s="188" t="s">
        <v>113</v>
      </c>
      <c r="G24" s="188"/>
      <c r="H24" s="191" t="s">
        <v>201</v>
      </c>
      <c r="I24" s="210">
        <f t="shared" si="0"/>
        <v>1447</v>
      </c>
      <c r="J24" s="189">
        <f t="shared" si="2"/>
        <v>203</v>
      </c>
      <c r="K24" s="151">
        <v>1650</v>
      </c>
      <c r="L24" s="211">
        <f t="shared" si="1"/>
        <v>24.116666666666667</v>
      </c>
      <c r="M24" s="151">
        <v>135234</v>
      </c>
      <c r="N24" s="152" t="s">
        <v>235</v>
      </c>
      <c r="O24" s="157" t="s">
        <v>47</v>
      </c>
      <c r="P24" s="187">
        <f>IF(D24=Inputs!F$4,Inputs!I$4,IF(D24=Inputs!F$2,Inputs!I$2,IF(D24=Inputs!F$3,Inputs!I$3,IF(D24=Inputs!F$5,Inputs!I$5,"NA"))))</f>
        <v>31.464285714285715</v>
      </c>
    </row>
    <row r="25" spans="1:16" x14ac:dyDescent="0.25">
      <c r="A25" s="148">
        <v>19</v>
      </c>
      <c r="B25" s="189">
        <f>Inputs!C$2</f>
        <v>45</v>
      </c>
      <c r="C25" s="151">
        <v>941186</v>
      </c>
      <c r="D25" s="188" t="s">
        <v>168</v>
      </c>
      <c r="E25" s="148">
        <v>60</v>
      </c>
      <c r="F25" s="188" t="s">
        <v>113</v>
      </c>
      <c r="G25" s="188"/>
      <c r="H25" s="191" t="s">
        <v>201</v>
      </c>
      <c r="I25" s="210">
        <f t="shared" si="0"/>
        <v>1473</v>
      </c>
      <c r="J25" s="189">
        <f t="shared" si="2"/>
        <v>203</v>
      </c>
      <c r="K25" s="151">
        <v>1676</v>
      </c>
      <c r="L25" s="211">
        <f t="shared" si="1"/>
        <v>24.55</v>
      </c>
      <c r="M25" s="151">
        <v>135234</v>
      </c>
      <c r="N25" s="152" t="s">
        <v>235</v>
      </c>
      <c r="O25" s="157" t="s">
        <v>47</v>
      </c>
      <c r="P25" s="187">
        <f>IF(D25=Inputs!F$4,Inputs!I$4,IF(D25=Inputs!F$2,Inputs!I$2,IF(D25=Inputs!F$3,Inputs!I$3,IF(D25=Inputs!F$5,Inputs!I$5,"NA"))))</f>
        <v>56.892857142857146</v>
      </c>
    </row>
    <row r="26" spans="1:16" x14ac:dyDescent="0.25">
      <c r="A26" s="148">
        <v>20</v>
      </c>
      <c r="B26" s="189">
        <f>Inputs!C$2</f>
        <v>45</v>
      </c>
      <c r="C26" s="151">
        <v>941187</v>
      </c>
      <c r="D26" s="188" t="s">
        <v>168</v>
      </c>
      <c r="E26" s="148">
        <v>60</v>
      </c>
      <c r="F26" s="188" t="s">
        <v>113</v>
      </c>
      <c r="G26" s="188"/>
      <c r="H26" s="191" t="s">
        <v>201</v>
      </c>
      <c r="I26" s="210">
        <f t="shared" si="0"/>
        <v>1477</v>
      </c>
      <c r="J26" s="189">
        <f t="shared" si="2"/>
        <v>203</v>
      </c>
      <c r="K26" s="151">
        <v>1680</v>
      </c>
      <c r="L26" s="211">
        <f t="shared" si="1"/>
        <v>24.616666666666667</v>
      </c>
      <c r="M26" s="151">
        <v>135234</v>
      </c>
      <c r="N26" s="152" t="s">
        <v>235</v>
      </c>
      <c r="O26" s="157" t="s">
        <v>47</v>
      </c>
      <c r="P26" s="187">
        <f>IF(D26=Inputs!F$4,Inputs!I$4,IF(D26=Inputs!F$2,Inputs!I$2,IF(D26=Inputs!F$3,Inputs!I$3,IF(D26=Inputs!F$5,Inputs!I$5,"NA"))))</f>
        <v>56.892857142857146</v>
      </c>
    </row>
    <row r="27" spans="1:16" x14ac:dyDescent="0.25">
      <c r="A27" s="148">
        <v>21</v>
      </c>
      <c r="B27" s="189">
        <f>Inputs!C$2</f>
        <v>45</v>
      </c>
      <c r="C27" s="151">
        <v>941188</v>
      </c>
      <c r="D27" s="188" t="s">
        <v>168</v>
      </c>
      <c r="E27" s="148">
        <v>60</v>
      </c>
      <c r="F27" s="188" t="s">
        <v>113</v>
      </c>
      <c r="G27" s="188"/>
      <c r="H27" s="191" t="s">
        <v>201</v>
      </c>
      <c r="I27" s="210">
        <f t="shared" si="0"/>
        <v>1487</v>
      </c>
      <c r="J27" s="189">
        <f t="shared" si="2"/>
        <v>203</v>
      </c>
      <c r="K27" s="151">
        <v>1690</v>
      </c>
      <c r="L27" s="211">
        <f t="shared" si="1"/>
        <v>24.783333333333335</v>
      </c>
      <c r="M27" s="151">
        <v>135234</v>
      </c>
      <c r="N27" s="152" t="s">
        <v>235</v>
      </c>
      <c r="O27" s="157" t="s">
        <v>47</v>
      </c>
      <c r="P27" s="187">
        <f>IF(D27=Inputs!F$4,Inputs!I$4,IF(D27=Inputs!F$2,Inputs!I$2,IF(D27=Inputs!F$3,Inputs!I$3,IF(D27=Inputs!F$5,Inputs!I$5,"NA"))))</f>
        <v>56.892857142857146</v>
      </c>
    </row>
    <row r="28" spans="1:16" x14ac:dyDescent="0.25">
      <c r="A28" s="148">
        <v>22</v>
      </c>
      <c r="B28" s="189">
        <f>Inputs!C$2</f>
        <v>45</v>
      </c>
      <c r="C28" s="151">
        <v>941189</v>
      </c>
      <c r="D28" s="188" t="s">
        <v>229</v>
      </c>
      <c r="E28" s="148">
        <v>60</v>
      </c>
      <c r="F28" s="188" t="s">
        <v>113</v>
      </c>
      <c r="G28" s="188"/>
      <c r="H28" s="191" t="s">
        <v>201</v>
      </c>
      <c r="I28" s="210">
        <f t="shared" si="0"/>
        <v>1481</v>
      </c>
      <c r="J28" s="189">
        <f t="shared" si="2"/>
        <v>203</v>
      </c>
      <c r="K28" s="151">
        <v>1684</v>
      </c>
      <c r="L28" s="211">
        <f t="shared" si="1"/>
        <v>24.683333333333334</v>
      </c>
      <c r="M28" s="151">
        <v>135234</v>
      </c>
      <c r="N28" s="152" t="s">
        <v>235</v>
      </c>
      <c r="O28" s="157" t="s">
        <v>47</v>
      </c>
      <c r="P28" s="187">
        <f>IF(D28=Inputs!F$4,Inputs!I$4,IF(D28=Inputs!F$2,Inputs!I$2,IF(D28=Inputs!F$3,Inputs!I$3,IF(D28=Inputs!F$5,Inputs!I$5,"NA"))))</f>
        <v>43.892857142857146</v>
      </c>
    </row>
    <row r="29" spans="1:16" x14ac:dyDescent="0.25">
      <c r="A29" s="148">
        <v>23</v>
      </c>
      <c r="B29" s="189">
        <f>Inputs!C$2</f>
        <v>45</v>
      </c>
      <c r="C29" s="151">
        <v>941190</v>
      </c>
      <c r="D29" s="188" t="s">
        <v>229</v>
      </c>
      <c r="E29" s="148">
        <v>60</v>
      </c>
      <c r="F29" s="188" t="s">
        <v>113</v>
      </c>
      <c r="G29" s="188"/>
      <c r="H29" s="191" t="s">
        <v>201</v>
      </c>
      <c r="I29" s="210">
        <f t="shared" si="0"/>
        <v>1483</v>
      </c>
      <c r="J29" s="189">
        <f t="shared" si="2"/>
        <v>203</v>
      </c>
      <c r="K29" s="151">
        <v>1686</v>
      </c>
      <c r="L29" s="211">
        <f t="shared" si="1"/>
        <v>24.716666666666665</v>
      </c>
      <c r="M29" s="151">
        <v>135234</v>
      </c>
      <c r="N29" s="152" t="s">
        <v>235</v>
      </c>
      <c r="O29" s="157" t="s">
        <v>47</v>
      </c>
      <c r="P29" s="187">
        <f>IF(D29=Inputs!F$4,Inputs!I$4,IF(D29=Inputs!F$2,Inputs!I$2,IF(D29=Inputs!F$3,Inputs!I$3,IF(D29=Inputs!F$5,Inputs!I$5,"NA"))))</f>
        <v>43.892857142857146</v>
      </c>
    </row>
    <row r="30" spans="1:16" x14ac:dyDescent="0.25">
      <c r="A30" s="148">
        <v>24</v>
      </c>
      <c r="B30" s="189">
        <f>Inputs!C$2</f>
        <v>45</v>
      </c>
      <c r="C30" s="151">
        <v>941191</v>
      </c>
      <c r="D30" s="188" t="s">
        <v>229</v>
      </c>
      <c r="E30" s="148">
        <v>60</v>
      </c>
      <c r="F30" s="188" t="s">
        <v>113</v>
      </c>
      <c r="G30" s="188"/>
      <c r="H30" s="191" t="s">
        <v>201</v>
      </c>
      <c r="I30" s="210">
        <f t="shared" si="0"/>
        <v>1509</v>
      </c>
      <c r="J30" s="189">
        <f t="shared" si="2"/>
        <v>203</v>
      </c>
      <c r="K30" s="151">
        <v>1712</v>
      </c>
      <c r="L30" s="211">
        <f t="shared" si="1"/>
        <v>25.15</v>
      </c>
      <c r="M30" s="151">
        <v>135234</v>
      </c>
      <c r="N30" s="152" t="s">
        <v>235</v>
      </c>
      <c r="O30" s="157" t="s">
        <v>47</v>
      </c>
      <c r="P30" s="187">
        <f>IF(D30=Inputs!F$4,Inputs!I$4,IF(D30=Inputs!F$2,Inputs!I$2,IF(D30=Inputs!F$3,Inputs!I$3,IF(D30=Inputs!F$5,Inputs!I$5,"NA"))))</f>
        <v>43.892857142857146</v>
      </c>
    </row>
    <row r="31" spans="1:16" x14ac:dyDescent="0.25">
      <c r="A31" s="148">
        <v>25</v>
      </c>
      <c r="B31" s="189">
        <f>Inputs!C$2</f>
        <v>45</v>
      </c>
      <c r="C31" s="151">
        <v>941192</v>
      </c>
      <c r="D31" s="188" t="s">
        <v>5</v>
      </c>
      <c r="E31" s="148">
        <v>60</v>
      </c>
      <c r="F31" s="188" t="s">
        <v>113</v>
      </c>
      <c r="G31" s="188"/>
      <c r="H31" s="191" t="s">
        <v>201</v>
      </c>
      <c r="I31" s="210">
        <f t="shared" si="0"/>
        <v>1453</v>
      </c>
      <c r="J31" s="189">
        <f t="shared" si="2"/>
        <v>203</v>
      </c>
      <c r="K31" s="151">
        <v>1656</v>
      </c>
      <c r="L31" s="211">
        <f t="shared" si="1"/>
        <v>24.216666666666665</v>
      </c>
      <c r="M31" s="151">
        <v>135234</v>
      </c>
      <c r="N31" s="152" t="s">
        <v>235</v>
      </c>
      <c r="O31" s="157" t="s">
        <v>47</v>
      </c>
      <c r="P31" s="187">
        <f>IF(D31=Inputs!F$4,Inputs!I$4,IF(D31=Inputs!F$2,Inputs!I$2,IF(D31=Inputs!F$3,Inputs!I$3,IF(D31=Inputs!F$5,Inputs!I$5,"NA"))))</f>
        <v>31.464285714285715</v>
      </c>
    </row>
    <row r="32" spans="1:16" x14ac:dyDescent="0.25">
      <c r="A32" s="148">
        <v>26</v>
      </c>
      <c r="B32" s="189">
        <f>Inputs!C$2</f>
        <v>45</v>
      </c>
      <c r="C32" s="151">
        <v>941193</v>
      </c>
      <c r="D32" s="188" t="s">
        <v>5</v>
      </c>
      <c r="E32" s="148">
        <v>60</v>
      </c>
      <c r="F32" s="188" t="s">
        <v>113</v>
      </c>
      <c r="G32" s="188"/>
      <c r="H32" s="191" t="s">
        <v>201</v>
      </c>
      <c r="I32" s="210">
        <f t="shared" si="0"/>
        <v>1451</v>
      </c>
      <c r="J32" s="189">
        <f t="shared" si="2"/>
        <v>203</v>
      </c>
      <c r="K32" s="151">
        <v>1654</v>
      </c>
      <c r="L32" s="211">
        <f t="shared" si="1"/>
        <v>24.183333333333334</v>
      </c>
      <c r="M32" s="151">
        <v>135234</v>
      </c>
      <c r="N32" s="152" t="s">
        <v>235</v>
      </c>
      <c r="O32" s="157" t="s">
        <v>47</v>
      </c>
      <c r="P32" s="187">
        <f>IF(D32=Inputs!F$4,Inputs!I$4,IF(D32=Inputs!F$2,Inputs!I$2,IF(D32=Inputs!F$3,Inputs!I$3,IF(D32=Inputs!F$5,Inputs!I$5,"NA"))))</f>
        <v>31.464285714285715</v>
      </c>
    </row>
    <row r="33" spans="1:16" x14ac:dyDescent="0.25">
      <c r="A33" s="148">
        <v>27</v>
      </c>
      <c r="B33" s="189">
        <f>Inputs!C$2</f>
        <v>45</v>
      </c>
      <c r="C33" s="151">
        <v>941194</v>
      </c>
      <c r="D33" s="188" t="s">
        <v>5</v>
      </c>
      <c r="E33" s="148">
        <v>60</v>
      </c>
      <c r="F33" s="188" t="s">
        <v>113</v>
      </c>
      <c r="G33" s="188"/>
      <c r="H33" s="191" t="s">
        <v>201</v>
      </c>
      <c r="I33" s="210">
        <f t="shared" si="0"/>
        <v>1457</v>
      </c>
      <c r="J33" s="189">
        <f t="shared" si="2"/>
        <v>203</v>
      </c>
      <c r="K33" s="151">
        <v>1660</v>
      </c>
      <c r="L33" s="211">
        <f t="shared" si="1"/>
        <v>24.283333333333335</v>
      </c>
      <c r="M33" s="151">
        <v>135234</v>
      </c>
      <c r="N33" s="152" t="s">
        <v>235</v>
      </c>
      <c r="O33" s="157" t="s">
        <v>47</v>
      </c>
      <c r="P33" s="187">
        <f>IF(D33=Inputs!F$4,Inputs!I$4,IF(D33=Inputs!F$2,Inputs!I$2,IF(D33=Inputs!F$3,Inputs!I$3,IF(D33=Inputs!F$5,Inputs!I$5,"NA"))))</f>
        <v>31.464285714285715</v>
      </c>
    </row>
    <row r="34" spans="1:16" x14ac:dyDescent="0.25">
      <c r="A34" s="148">
        <v>28</v>
      </c>
      <c r="B34" s="189">
        <f>Inputs!C$2</f>
        <v>45</v>
      </c>
      <c r="C34" s="151">
        <v>941195</v>
      </c>
      <c r="D34" s="188" t="s">
        <v>5</v>
      </c>
      <c r="E34" s="148">
        <v>60</v>
      </c>
      <c r="F34" s="188" t="s">
        <v>113</v>
      </c>
      <c r="G34" s="188"/>
      <c r="H34" s="191" t="s">
        <v>201</v>
      </c>
      <c r="I34" s="210">
        <f t="shared" si="0"/>
        <v>1467</v>
      </c>
      <c r="J34" s="189">
        <f t="shared" si="2"/>
        <v>203</v>
      </c>
      <c r="K34" s="151">
        <v>1670</v>
      </c>
      <c r="L34" s="211">
        <f t="shared" si="1"/>
        <v>24.45</v>
      </c>
      <c r="M34" s="151">
        <v>135234</v>
      </c>
      <c r="N34" s="152" t="s">
        <v>235</v>
      </c>
      <c r="O34" s="157" t="s">
        <v>47</v>
      </c>
      <c r="P34" s="187">
        <f>IF(D34=Inputs!F$4,Inputs!I$4,IF(D34=Inputs!F$2,Inputs!I$2,IF(D34=Inputs!F$3,Inputs!I$3,IF(D34=Inputs!F$5,Inputs!I$5,"NA"))))</f>
        <v>31.464285714285715</v>
      </c>
    </row>
    <row r="35" spans="1:16" x14ac:dyDescent="0.25">
      <c r="A35" s="148">
        <v>29</v>
      </c>
      <c r="B35" s="189">
        <f>Inputs!C$2</f>
        <v>45</v>
      </c>
      <c r="C35" s="151">
        <v>941196</v>
      </c>
      <c r="D35" s="188" t="s">
        <v>4</v>
      </c>
      <c r="E35" s="148">
        <v>60</v>
      </c>
      <c r="F35" s="188" t="s">
        <v>113</v>
      </c>
      <c r="G35" s="188"/>
      <c r="H35" s="191" t="s">
        <v>201</v>
      </c>
      <c r="I35" s="210">
        <f t="shared" si="0"/>
        <v>1181</v>
      </c>
      <c r="J35" s="189">
        <f t="shared" si="2"/>
        <v>203</v>
      </c>
      <c r="K35" s="151">
        <v>1384</v>
      </c>
      <c r="L35" s="211">
        <f t="shared" si="1"/>
        <v>19.683333333333334</v>
      </c>
      <c r="M35" s="151">
        <v>135234</v>
      </c>
      <c r="N35" s="152" t="s">
        <v>235</v>
      </c>
      <c r="O35" s="157" t="s">
        <v>47</v>
      </c>
      <c r="P35" s="187">
        <f>IF(D35=Inputs!F$4,Inputs!I$4,IF(D35=Inputs!F$2,Inputs!I$2,IF(D35=Inputs!F$3,Inputs!I$3,IF(D35=Inputs!F$5,Inputs!I$5,"NA"))))</f>
        <v>22.607142857142858</v>
      </c>
    </row>
    <row r="36" spans="1:16" x14ac:dyDescent="0.25">
      <c r="A36" s="148">
        <v>30</v>
      </c>
      <c r="B36" s="189">
        <f>Inputs!C$2</f>
        <v>45</v>
      </c>
      <c r="C36" s="151">
        <v>941197</v>
      </c>
      <c r="D36" s="188" t="s">
        <v>6</v>
      </c>
      <c r="E36" s="148">
        <v>60</v>
      </c>
      <c r="F36" s="188"/>
      <c r="G36" s="188" t="s">
        <v>10</v>
      </c>
      <c r="H36" s="191" t="s">
        <v>201</v>
      </c>
      <c r="I36" s="210" t="str">
        <f t="shared" si="0"/>
        <v>NA</v>
      </c>
      <c r="J36" s="189">
        <f t="shared" si="2"/>
        <v>203</v>
      </c>
      <c r="K36" s="151"/>
      <c r="L36" s="211" t="str">
        <f t="shared" si="1"/>
        <v>NA</v>
      </c>
      <c r="M36" s="151">
        <v>135234</v>
      </c>
      <c r="N36" s="152" t="s">
        <v>235</v>
      </c>
      <c r="O36" s="157" t="s">
        <v>10</v>
      </c>
      <c r="P36" s="187" t="str">
        <f>IF(D36=Inputs!F$4,Inputs!I$4,IF(D36=Inputs!F$2,Inputs!I$2,IF(D36=Inputs!F$3,Inputs!I$3,IF(D36=Inputs!F$5,Inputs!I$5,"NA"))))</f>
        <v>NA</v>
      </c>
    </row>
    <row r="37" spans="1:16" x14ac:dyDescent="0.25">
      <c r="A37" s="148">
        <v>31</v>
      </c>
      <c r="B37" s="189">
        <f>Inputs!C$2</f>
        <v>45</v>
      </c>
      <c r="C37" s="151">
        <v>941198</v>
      </c>
      <c r="D37" s="188" t="s">
        <v>229</v>
      </c>
      <c r="E37" s="148">
        <v>60</v>
      </c>
      <c r="F37" s="188" t="s">
        <v>113</v>
      </c>
      <c r="G37" s="188"/>
      <c r="H37" s="191" t="s">
        <v>201</v>
      </c>
      <c r="I37" s="210">
        <f t="shared" si="0"/>
        <v>1415</v>
      </c>
      <c r="J37" s="189">
        <f t="shared" si="2"/>
        <v>203</v>
      </c>
      <c r="K37" s="151">
        <v>1618</v>
      </c>
      <c r="L37" s="211">
        <f t="shared" si="1"/>
        <v>23.583333333333332</v>
      </c>
      <c r="M37" s="151">
        <v>135234</v>
      </c>
      <c r="N37" s="152" t="s">
        <v>235</v>
      </c>
      <c r="O37" s="157" t="s">
        <v>236</v>
      </c>
      <c r="P37" s="187">
        <f>IF(D37=Inputs!F$4,Inputs!I$4,IF(D37=Inputs!F$2,Inputs!I$2,IF(D37=Inputs!F$3,Inputs!I$3,IF(D37=Inputs!F$5,Inputs!I$5,"NA"))))</f>
        <v>43.892857142857146</v>
      </c>
    </row>
    <row r="38" spans="1:16" x14ac:dyDescent="0.25">
      <c r="A38" s="148">
        <v>32</v>
      </c>
      <c r="B38" s="189">
        <f>Inputs!C$2</f>
        <v>45</v>
      </c>
      <c r="C38" s="151">
        <v>941199</v>
      </c>
      <c r="D38" s="188" t="s">
        <v>4</v>
      </c>
      <c r="E38" s="148">
        <v>60</v>
      </c>
      <c r="F38" s="188" t="s">
        <v>113</v>
      </c>
      <c r="G38" s="188"/>
      <c r="H38" s="191" t="s">
        <v>201</v>
      </c>
      <c r="I38" s="210">
        <f t="shared" si="0"/>
        <v>1173</v>
      </c>
      <c r="J38" s="189">
        <f t="shared" si="2"/>
        <v>203</v>
      </c>
      <c r="K38" s="151">
        <v>1376</v>
      </c>
      <c r="L38" s="211">
        <f t="shared" si="1"/>
        <v>19.55</v>
      </c>
      <c r="M38" s="151">
        <v>135234</v>
      </c>
      <c r="N38" s="152" t="s">
        <v>235</v>
      </c>
      <c r="O38" s="157" t="s">
        <v>47</v>
      </c>
      <c r="P38" s="187">
        <f>IF(D38=Inputs!F$4,Inputs!I$4,IF(D38=Inputs!F$2,Inputs!I$2,IF(D38=Inputs!F$3,Inputs!I$3,IF(D38=Inputs!F$5,Inputs!I$5,"NA"))))</f>
        <v>22.607142857142858</v>
      </c>
    </row>
    <row r="39" spans="1:16" x14ac:dyDescent="0.25">
      <c r="A39" s="148">
        <v>33</v>
      </c>
      <c r="B39" s="189">
        <f>Inputs!C$2</f>
        <v>45</v>
      </c>
      <c r="C39" s="151"/>
      <c r="D39" s="188"/>
      <c r="E39" s="148"/>
      <c r="F39" s="188"/>
      <c r="G39" s="188"/>
      <c r="H39" s="191"/>
      <c r="I39" s="210" t="str">
        <f t="shared" si="0"/>
        <v>NA</v>
      </c>
      <c r="J39" s="189">
        <f t="shared" si="2"/>
        <v>0</v>
      </c>
      <c r="K39" s="151"/>
      <c r="L39" s="211" t="str">
        <f t="shared" si="1"/>
        <v>NA</v>
      </c>
      <c r="M39" s="151"/>
      <c r="N39" s="152"/>
      <c r="O39" s="157"/>
      <c r="P39" s="187" t="str">
        <f>IF(D39=Inputs!F$4,Inputs!I$4,IF(D39=Inputs!F$2,Inputs!I$2,IF(D39=Inputs!F$3,Inputs!I$3,IF(D39=Inputs!F$5,Inputs!I$5,"NA"))))</f>
        <v>NA</v>
      </c>
    </row>
    <row r="40" spans="1:16" x14ac:dyDescent="0.25">
      <c r="A40" s="148">
        <v>34</v>
      </c>
      <c r="B40" s="189">
        <f>Inputs!C$2</f>
        <v>45</v>
      </c>
      <c r="C40" s="151"/>
      <c r="D40" s="188"/>
      <c r="E40" s="148"/>
      <c r="F40" s="188"/>
      <c r="G40" s="188"/>
      <c r="H40" s="191"/>
      <c r="I40" s="210" t="str">
        <f t="shared" si="0"/>
        <v>NA</v>
      </c>
      <c r="J40" s="189">
        <f t="shared" si="2"/>
        <v>0</v>
      </c>
      <c r="K40" s="151"/>
      <c r="L40" s="211" t="str">
        <f t="shared" si="1"/>
        <v>NA</v>
      </c>
      <c r="M40" s="151"/>
      <c r="N40" s="152"/>
      <c r="O40" s="157"/>
      <c r="P40" s="187" t="str">
        <f>IF(D40=Inputs!F$4,Inputs!I$4,IF(D40=Inputs!F$2,Inputs!I$2,IF(D40=Inputs!F$3,Inputs!I$3,IF(D40=Inputs!F$5,Inputs!I$5,"NA"))))</f>
        <v>NA</v>
      </c>
    </row>
    <row r="41" spans="1:16" x14ac:dyDescent="0.25">
      <c r="A41" s="148">
        <v>35</v>
      </c>
      <c r="B41" s="189">
        <f>Inputs!C$2</f>
        <v>45</v>
      </c>
      <c r="C41" s="151"/>
      <c r="D41" s="188"/>
      <c r="E41" s="148"/>
      <c r="F41" s="188"/>
      <c r="G41" s="188"/>
      <c r="H41" s="191"/>
      <c r="I41" s="210" t="str">
        <f t="shared" si="0"/>
        <v>NA</v>
      </c>
      <c r="J41" s="189">
        <f t="shared" si="2"/>
        <v>0</v>
      </c>
      <c r="K41" s="151"/>
      <c r="L41" s="211" t="str">
        <f t="shared" si="1"/>
        <v>NA</v>
      </c>
      <c r="M41" s="151"/>
      <c r="N41" s="152"/>
      <c r="O41" s="157"/>
      <c r="P41" s="187" t="str">
        <f>IF(D41=Inputs!F$4,Inputs!I$4,IF(D41=Inputs!F$2,Inputs!I$2,IF(D41=Inputs!F$3,Inputs!I$3,IF(D41=Inputs!F$5,Inputs!I$5,"NA"))))</f>
        <v>NA</v>
      </c>
    </row>
    <row r="42" spans="1:16" x14ac:dyDescent="0.25">
      <c r="A42" s="148">
        <v>36</v>
      </c>
      <c r="B42" s="189">
        <f>Inputs!C$2</f>
        <v>45</v>
      </c>
      <c r="C42" s="151"/>
      <c r="D42" s="188"/>
      <c r="E42" s="148"/>
      <c r="F42" s="188"/>
      <c r="G42" s="188"/>
      <c r="H42" s="191"/>
      <c r="I42" s="210" t="str">
        <f t="shared" si="0"/>
        <v>NA</v>
      </c>
      <c r="J42" s="189">
        <f t="shared" si="2"/>
        <v>0</v>
      </c>
      <c r="K42" s="151"/>
      <c r="L42" s="211" t="str">
        <f t="shared" si="1"/>
        <v>NA</v>
      </c>
      <c r="M42" s="151"/>
      <c r="N42" s="152"/>
      <c r="O42" s="157"/>
      <c r="P42" s="187" t="str">
        <f>IF(D42=Inputs!F$4,Inputs!I$4,IF(D42=Inputs!F$2,Inputs!I$2,IF(D42=Inputs!F$3,Inputs!I$3,IF(D42=Inputs!F$5,Inputs!I$5,"NA"))))</f>
        <v>NA</v>
      </c>
    </row>
    <row r="43" spans="1:16" x14ac:dyDescent="0.25">
      <c r="A43" s="148">
        <v>37</v>
      </c>
      <c r="B43" s="189">
        <f>Inputs!C$2</f>
        <v>45</v>
      </c>
      <c r="C43" s="151"/>
      <c r="D43" s="188"/>
      <c r="E43" s="148"/>
      <c r="F43" s="188"/>
      <c r="G43" s="188"/>
      <c r="H43" s="191"/>
      <c r="I43" s="210" t="str">
        <f t="shared" si="0"/>
        <v>NA</v>
      </c>
      <c r="J43" s="189">
        <f t="shared" si="2"/>
        <v>0</v>
      </c>
      <c r="K43" s="151"/>
      <c r="L43" s="211" t="str">
        <f t="shared" si="1"/>
        <v>NA</v>
      </c>
      <c r="M43" s="151"/>
      <c r="N43" s="152"/>
      <c r="O43" s="157"/>
      <c r="P43" s="187" t="str">
        <f>IF(D43=Inputs!F$4,Inputs!I$4,IF(D43=Inputs!F$2,Inputs!I$2,IF(D43=Inputs!F$3,Inputs!I$3,IF(D43=Inputs!F$5,Inputs!I$5,"NA"))))</f>
        <v>NA</v>
      </c>
    </row>
    <row r="44" spans="1:16" x14ac:dyDescent="0.25">
      <c r="A44" s="148">
        <v>38</v>
      </c>
      <c r="B44" s="189">
        <f>Inputs!C$2</f>
        <v>45</v>
      </c>
      <c r="C44" s="151"/>
      <c r="D44" s="188"/>
      <c r="E44" s="148"/>
      <c r="F44" s="188"/>
      <c r="G44" s="188"/>
      <c r="H44" s="191"/>
      <c r="I44" s="210" t="str">
        <f t="shared" si="0"/>
        <v>NA</v>
      </c>
      <c r="J44" s="189">
        <f t="shared" si="2"/>
        <v>0</v>
      </c>
      <c r="K44" s="151"/>
      <c r="L44" s="211" t="str">
        <f t="shared" si="1"/>
        <v>NA</v>
      </c>
      <c r="M44" s="151"/>
      <c r="N44" s="152"/>
      <c r="O44" s="157"/>
      <c r="P44" s="187" t="str">
        <f>IF(D44=Inputs!F$4,Inputs!I$4,IF(D44=Inputs!F$2,Inputs!I$2,IF(D44=Inputs!F$3,Inputs!I$3,IF(D44=Inputs!F$5,Inputs!I$5,"NA"))))</f>
        <v>NA</v>
      </c>
    </row>
    <row r="45" spans="1:16" x14ac:dyDescent="0.25">
      <c r="A45" s="148">
        <v>39</v>
      </c>
      <c r="B45" s="189">
        <f>Inputs!C$2</f>
        <v>45</v>
      </c>
      <c r="C45" s="151"/>
      <c r="D45" s="188"/>
      <c r="E45" s="148"/>
      <c r="F45" s="188"/>
      <c r="G45" s="188"/>
      <c r="H45" s="191"/>
      <c r="I45" s="210" t="str">
        <f t="shared" si="0"/>
        <v>NA</v>
      </c>
      <c r="J45" s="189">
        <f t="shared" si="2"/>
        <v>0</v>
      </c>
      <c r="K45" s="151"/>
      <c r="L45" s="211" t="str">
        <f t="shared" si="1"/>
        <v>NA</v>
      </c>
      <c r="M45" s="151"/>
      <c r="N45" s="152"/>
      <c r="O45" s="157"/>
      <c r="P45" s="187" t="str">
        <f>IF(D45=Inputs!F$4,Inputs!I$4,IF(D45=Inputs!F$2,Inputs!I$2,IF(D45=Inputs!F$3,Inputs!I$3,IF(D45=Inputs!F$5,Inputs!I$5,"NA"))))</f>
        <v>NA</v>
      </c>
    </row>
    <row r="46" spans="1:16" x14ac:dyDescent="0.25">
      <c r="A46" s="148">
        <v>40</v>
      </c>
      <c r="B46" s="189">
        <f>Inputs!C$2</f>
        <v>45</v>
      </c>
      <c r="C46" s="151"/>
      <c r="D46" s="188"/>
      <c r="E46" s="148"/>
      <c r="F46" s="188"/>
      <c r="G46" s="188"/>
      <c r="H46" s="191"/>
      <c r="I46" s="210" t="str">
        <f t="shared" si="0"/>
        <v>NA</v>
      </c>
      <c r="J46" s="189">
        <f t="shared" si="2"/>
        <v>0</v>
      </c>
      <c r="K46" s="151"/>
      <c r="L46" s="211" t="str">
        <f t="shared" si="1"/>
        <v>NA</v>
      </c>
      <c r="M46" s="151"/>
      <c r="N46" s="152"/>
      <c r="O46" s="164"/>
      <c r="P46" s="187" t="str">
        <f>IF(D46=Inputs!F$4,Inputs!I$4,IF(D46=Inputs!F$2,Inputs!I$2,IF(D46=Inputs!F$3,Inputs!I$3,IF(D46=Inputs!F$5,Inputs!I$5,"NA"))))</f>
        <v>NA</v>
      </c>
    </row>
    <row r="47" spans="1:16" x14ac:dyDescent="0.25">
      <c r="A47" s="148">
        <v>41</v>
      </c>
      <c r="B47" s="189">
        <f>Inputs!C$2</f>
        <v>45</v>
      </c>
      <c r="C47" s="151"/>
      <c r="D47" s="188"/>
      <c r="E47" s="148"/>
      <c r="F47" s="188"/>
      <c r="G47" s="188"/>
      <c r="H47" s="191"/>
      <c r="I47" s="210" t="str">
        <f t="shared" si="0"/>
        <v>NA</v>
      </c>
      <c r="J47" s="189">
        <f t="shared" si="2"/>
        <v>0</v>
      </c>
      <c r="K47" s="151"/>
      <c r="L47" s="211" t="str">
        <f t="shared" si="1"/>
        <v>NA</v>
      </c>
      <c r="M47" s="151"/>
      <c r="N47" s="152"/>
      <c r="O47" s="164"/>
      <c r="P47" s="187" t="str">
        <f>IF(D47=Inputs!F$4,Inputs!I$4,IF(D47=Inputs!F$2,Inputs!I$2,IF(D47=Inputs!F$3,Inputs!I$3,IF(D47=Inputs!F$5,Inputs!I$5,"NA"))))</f>
        <v>NA</v>
      </c>
    </row>
    <row r="48" spans="1:16" x14ac:dyDescent="0.25">
      <c r="A48" s="148">
        <v>42</v>
      </c>
      <c r="B48" s="189">
        <f>Inputs!C$2</f>
        <v>45</v>
      </c>
      <c r="C48" s="151"/>
      <c r="D48" s="188"/>
      <c r="E48" s="148"/>
      <c r="F48" s="188"/>
      <c r="G48" s="188"/>
      <c r="H48" s="191"/>
      <c r="I48" s="210" t="str">
        <f t="shared" si="0"/>
        <v>NA</v>
      </c>
      <c r="J48" s="189">
        <f t="shared" si="2"/>
        <v>0</v>
      </c>
      <c r="K48" s="151"/>
      <c r="L48" s="211" t="str">
        <f t="shared" si="1"/>
        <v>NA</v>
      </c>
      <c r="M48" s="151"/>
      <c r="N48" s="152"/>
      <c r="O48" s="164"/>
      <c r="P48" s="187" t="str">
        <f>IF(D48=Inputs!F$4,Inputs!I$4,IF(D48=Inputs!F$2,Inputs!I$2,IF(D48=Inputs!F$3,Inputs!I$3,IF(D48=Inputs!F$5,Inputs!I$5,"NA"))))</f>
        <v>NA</v>
      </c>
    </row>
    <row r="49" spans="1:16" x14ac:dyDescent="0.25">
      <c r="A49" s="148">
        <v>43</v>
      </c>
      <c r="B49" s="189">
        <f>Inputs!C$2</f>
        <v>45</v>
      </c>
      <c r="C49" s="151"/>
      <c r="D49" s="188"/>
      <c r="E49" s="148"/>
      <c r="F49" s="188"/>
      <c r="G49" s="188"/>
      <c r="H49" s="191"/>
      <c r="I49" s="210" t="str">
        <f t="shared" si="0"/>
        <v>NA</v>
      </c>
      <c r="J49" s="189">
        <f t="shared" si="2"/>
        <v>0</v>
      </c>
      <c r="K49" s="151"/>
      <c r="L49" s="211" t="str">
        <f t="shared" si="1"/>
        <v>NA</v>
      </c>
      <c r="M49" s="151"/>
      <c r="N49" s="152"/>
      <c r="O49" s="164"/>
      <c r="P49" s="187" t="str">
        <f>IF(D49=Inputs!F$4,Inputs!I$4,IF(D49=Inputs!F$2,Inputs!I$2,IF(D49=Inputs!F$3,Inputs!I$3,IF(D49=Inputs!F$5,Inputs!I$5,"NA"))))</f>
        <v>NA</v>
      </c>
    </row>
    <row r="50" spans="1:16" x14ac:dyDescent="0.25">
      <c r="A50" s="148">
        <v>44</v>
      </c>
      <c r="B50" s="189">
        <f>Inputs!C$2</f>
        <v>45</v>
      </c>
      <c r="C50" s="151"/>
      <c r="D50" s="188"/>
      <c r="E50" s="148"/>
      <c r="F50" s="188"/>
      <c r="G50" s="188"/>
      <c r="H50" s="191"/>
      <c r="I50" s="210" t="str">
        <f t="shared" si="0"/>
        <v>NA</v>
      </c>
      <c r="J50" s="189">
        <f t="shared" si="2"/>
        <v>0</v>
      </c>
      <c r="K50" s="151"/>
      <c r="L50" s="211" t="str">
        <f t="shared" si="1"/>
        <v>NA</v>
      </c>
      <c r="M50" s="151"/>
      <c r="N50" s="152"/>
      <c r="O50" s="151"/>
      <c r="P50" s="187" t="str">
        <f>IF(D50=Inputs!F$4,Inputs!I$4,IF(D50=Inputs!F$2,Inputs!I$2,IF(D50=Inputs!F$3,Inputs!I$3,IF(D50=Inputs!F$5,Inputs!I$5,"NA"))))</f>
        <v>NA</v>
      </c>
    </row>
    <row r="51" spans="1:16" x14ac:dyDescent="0.25">
      <c r="A51" s="148">
        <v>45</v>
      </c>
      <c r="B51" s="189">
        <f>Inputs!C$2</f>
        <v>45</v>
      </c>
      <c r="C51" s="151"/>
      <c r="D51" s="188"/>
      <c r="E51" s="148"/>
      <c r="F51" s="188"/>
      <c r="G51" s="188"/>
      <c r="H51" s="191"/>
      <c r="I51" s="210" t="str">
        <f t="shared" si="0"/>
        <v>NA</v>
      </c>
      <c r="J51" s="189">
        <f t="shared" si="2"/>
        <v>0</v>
      </c>
      <c r="K51" s="151"/>
      <c r="L51" s="211" t="str">
        <f t="shared" si="1"/>
        <v>NA</v>
      </c>
      <c r="M51" s="151"/>
      <c r="N51" s="152"/>
      <c r="O51" s="151"/>
      <c r="P51" s="187" t="str">
        <f>IF(D51=Inputs!F$4,Inputs!I$4,IF(D51=Inputs!F$2,Inputs!I$2,IF(D51=Inputs!F$3,Inputs!I$3,IF(D51=Inputs!F$5,Inputs!I$5,"NA"))))</f>
        <v>NA</v>
      </c>
    </row>
    <row r="52" spans="1:16" x14ac:dyDescent="0.25">
      <c r="A52" s="148">
        <v>46</v>
      </c>
      <c r="B52" s="189">
        <f>Inputs!C$2</f>
        <v>45</v>
      </c>
      <c r="C52" s="151"/>
      <c r="D52" s="188"/>
      <c r="E52" s="148"/>
      <c r="F52" s="188"/>
      <c r="G52" s="188"/>
      <c r="H52" s="191"/>
      <c r="I52" s="210" t="str">
        <f t="shared" si="0"/>
        <v>NA</v>
      </c>
      <c r="J52" s="189">
        <f t="shared" si="2"/>
        <v>0</v>
      </c>
      <c r="K52" s="151"/>
      <c r="L52" s="211" t="str">
        <f t="shared" si="1"/>
        <v>NA</v>
      </c>
      <c r="M52" s="151"/>
      <c r="N52" s="152"/>
      <c r="O52" s="151"/>
      <c r="P52" s="187" t="str">
        <f>IF(D52=Inputs!F$4,Inputs!I$4,IF(D52=Inputs!F$2,Inputs!I$2,IF(D52=Inputs!F$3,Inputs!I$3,IF(D52=Inputs!F$5,Inputs!I$5,"NA"))))</f>
        <v>NA</v>
      </c>
    </row>
    <row r="53" spans="1:16" x14ac:dyDescent="0.25">
      <c r="A53" s="148">
        <v>47</v>
      </c>
      <c r="B53" s="189">
        <f>Inputs!C$2</f>
        <v>45</v>
      </c>
      <c r="C53" s="151"/>
      <c r="D53" s="188"/>
      <c r="E53" s="148"/>
      <c r="F53" s="188"/>
      <c r="G53" s="188"/>
      <c r="H53" s="191"/>
      <c r="I53" s="210" t="str">
        <f t="shared" si="0"/>
        <v>NA</v>
      </c>
      <c r="J53" s="189">
        <f t="shared" si="2"/>
        <v>0</v>
      </c>
      <c r="K53" s="151"/>
      <c r="L53" s="211" t="str">
        <f t="shared" si="1"/>
        <v>NA</v>
      </c>
      <c r="M53" s="151"/>
      <c r="N53" s="152"/>
      <c r="O53" s="151"/>
      <c r="P53" s="187" t="str">
        <f>IF(D53=Inputs!F$4,Inputs!I$4,IF(D53=Inputs!F$2,Inputs!I$2,IF(D53=Inputs!F$3,Inputs!I$3,IF(D53=Inputs!F$5,Inputs!I$5,"NA"))))</f>
        <v>NA</v>
      </c>
    </row>
    <row r="54" spans="1:16" x14ac:dyDescent="0.25">
      <c r="A54" s="148">
        <v>48</v>
      </c>
      <c r="B54" s="189">
        <f>Inputs!C$2</f>
        <v>45</v>
      </c>
      <c r="C54" s="151"/>
      <c r="D54" s="188"/>
      <c r="E54" s="148"/>
      <c r="F54" s="188"/>
      <c r="G54" s="188"/>
      <c r="H54" s="191"/>
      <c r="I54" s="210" t="str">
        <f t="shared" si="0"/>
        <v>NA</v>
      </c>
      <c r="J54" s="189">
        <f t="shared" si="2"/>
        <v>0</v>
      </c>
      <c r="K54" s="151"/>
      <c r="L54" s="211" t="str">
        <f t="shared" si="1"/>
        <v>NA</v>
      </c>
      <c r="M54" s="151"/>
      <c r="N54" s="152"/>
      <c r="O54" s="151"/>
      <c r="P54" s="187" t="str">
        <f>IF(D54=Inputs!F$4,Inputs!I$4,IF(D54=Inputs!F$2,Inputs!I$2,IF(D54=Inputs!F$3,Inputs!I$3,IF(D54=Inputs!F$5,Inputs!I$5,"NA"))))</f>
        <v>NA</v>
      </c>
    </row>
    <row r="55" spans="1:16" x14ac:dyDescent="0.25">
      <c r="A55" s="148">
        <v>49</v>
      </c>
      <c r="B55" s="189">
        <f>Inputs!C$2</f>
        <v>45</v>
      </c>
      <c r="C55" s="151"/>
      <c r="D55" s="188"/>
      <c r="E55" s="148"/>
      <c r="F55" s="188"/>
      <c r="G55" s="188"/>
      <c r="H55" s="191"/>
      <c r="I55" s="210" t="str">
        <f t="shared" si="0"/>
        <v>NA</v>
      </c>
      <c r="J55" s="189">
        <f t="shared" si="2"/>
        <v>0</v>
      </c>
      <c r="K55" s="151"/>
      <c r="L55" s="211" t="str">
        <f t="shared" si="1"/>
        <v>NA</v>
      </c>
      <c r="M55" s="151"/>
      <c r="N55" s="152"/>
      <c r="O55" s="151"/>
      <c r="P55" s="187" t="str">
        <f>IF(D55=Inputs!F$4,Inputs!I$4,IF(D55=Inputs!F$2,Inputs!I$2,IF(D55=Inputs!F$3,Inputs!I$3,IF(D55=Inputs!F$5,Inputs!I$5,"NA"))))</f>
        <v>NA</v>
      </c>
    </row>
    <row r="56" spans="1:16" x14ac:dyDescent="0.25">
      <c r="A56" s="148">
        <v>50</v>
      </c>
      <c r="B56" s="189">
        <f>Inputs!C$2</f>
        <v>45</v>
      </c>
      <c r="C56" s="151"/>
      <c r="D56" s="188"/>
      <c r="E56" s="148"/>
      <c r="F56" s="188"/>
      <c r="G56" s="188"/>
      <c r="H56" s="191"/>
      <c r="I56" s="210" t="str">
        <f t="shared" si="0"/>
        <v>NA</v>
      </c>
      <c r="J56" s="189">
        <f t="shared" si="2"/>
        <v>0</v>
      </c>
      <c r="K56" s="151"/>
      <c r="L56" s="211" t="str">
        <f t="shared" si="1"/>
        <v>NA</v>
      </c>
      <c r="M56" s="151"/>
      <c r="N56" s="152"/>
      <c r="O56" s="151"/>
      <c r="P56" s="187" t="str">
        <f>IF(D56=Inputs!F$4,Inputs!I$4,IF(D56=Inputs!F$2,Inputs!I$2,IF(D56=Inputs!F$3,Inputs!I$3,IF(D56=Inputs!F$5,Inputs!I$5,"NA"))))</f>
        <v>NA</v>
      </c>
    </row>
    <row r="57" spans="1:16" x14ac:dyDescent="0.25">
      <c r="A57" s="148">
        <v>51</v>
      </c>
      <c r="B57" s="189">
        <f>Inputs!C$2</f>
        <v>45</v>
      </c>
      <c r="C57" s="151"/>
      <c r="D57" s="188"/>
      <c r="E57" s="148"/>
      <c r="F57" s="188"/>
      <c r="G57" s="188"/>
      <c r="H57" s="191"/>
      <c r="I57" s="210" t="str">
        <f t="shared" si="0"/>
        <v>NA</v>
      </c>
      <c r="J57" s="189">
        <f t="shared" si="2"/>
        <v>0</v>
      </c>
      <c r="K57" s="151"/>
      <c r="L57" s="211" t="str">
        <f t="shared" si="1"/>
        <v>NA</v>
      </c>
      <c r="M57" s="151"/>
      <c r="N57" s="152"/>
      <c r="O57" s="151"/>
      <c r="P57" s="187" t="str">
        <f>IF(D57=Inputs!F$4,Inputs!I$4,IF(D57=Inputs!F$2,Inputs!I$2,IF(D57=Inputs!F$3,Inputs!I$3,IF(D57=Inputs!F$5,Inputs!I$5,"NA"))))</f>
        <v>NA</v>
      </c>
    </row>
    <row r="58" spans="1:16" x14ac:dyDescent="0.25">
      <c r="A58" s="148">
        <v>52</v>
      </c>
      <c r="B58" s="189">
        <f>Inputs!C$2</f>
        <v>45</v>
      </c>
      <c r="C58" s="151"/>
      <c r="D58" s="188"/>
      <c r="E58" s="148"/>
      <c r="F58" s="188"/>
      <c r="G58" s="188"/>
      <c r="H58" s="191"/>
      <c r="I58" s="210" t="str">
        <f t="shared" si="0"/>
        <v>NA</v>
      </c>
      <c r="J58" s="189">
        <f t="shared" si="2"/>
        <v>0</v>
      </c>
      <c r="K58" s="151"/>
      <c r="L58" s="211" t="str">
        <f t="shared" si="1"/>
        <v>NA</v>
      </c>
      <c r="M58" s="151"/>
      <c r="N58" s="152"/>
      <c r="O58" s="151"/>
      <c r="P58" s="187" t="str">
        <f>IF(D58=Inputs!F$4,Inputs!I$4,IF(D58=Inputs!F$2,Inputs!I$2,IF(D58=Inputs!F$3,Inputs!I$3,IF(D58=Inputs!F$5,Inputs!I$5,"NA"))))</f>
        <v>NA</v>
      </c>
    </row>
    <row r="59" spans="1:16" x14ac:dyDescent="0.25">
      <c r="A59" s="148">
        <v>53</v>
      </c>
      <c r="B59" s="189">
        <f>Inputs!C$2</f>
        <v>45</v>
      </c>
      <c r="C59" s="151"/>
      <c r="D59" s="188"/>
      <c r="E59" s="148"/>
      <c r="F59" s="188"/>
      <c r="G59" s="188"/>
      <c r="H59" s="191"/>
      <c r="I59" s="210" t="str">
        <f t="shared" si="0"/>
        <v>NA</v>
      </c>
      <c r="J59" s="189">
        <f t="shared" si="2"/>
        <v>0</v>
      </c>
      <c r="K59" s="151"/>
      <c r="L59" s="211" t="str">
        <f t="shared" si="1"/>
        <v>NA</v>
      </c>
      <c r="M59" s="151"/>
      <c r="N59" s="152"/>
      <c r="O59" s="151"/>
      <c r="P59" s="187" t="str">
        <f>IF(D59=Inputs!F$4,Inputs!I$4,IF(D59=Inputs!F$2,Inputs!I$2,IF(D59=Inputs!F$3,Inputs!I$3,IF(D59=Inputs!F$5,Inputs!I$5,"NA"))))</f>
        <v>NA</v>
      </c>
    </row>
    <row r="60" spans="1:16" x14ac:dyDescent="0.25">
      <c r="A60" s="148">
        <v>54</v>
      </c>
      <c r="B60" s="189">
        <f>Inputs!C$2</f>
        <v>45</v>
      </c>
      <c r="C60" s="151"/>
      <c r="D60" s="188"/>
      <c r="E60" s="148"/>
      <c r="F60" s="188"/>
      <c r="G60" s="188"/>
      <c r="H60" s="191"/>
      <c r="I60" s="210" t="str">
        <f t="shared" si="0"/>
        <v>NA</v>
      </c>
      <c r="J60" s="189">
        <f t="shared" si="2"/>
        <v>0</v>
      </c>
      <c r="K60" s="151"/>
      <c r="L60" s="211" t="str">
        <f t="shared" si="1"/>
        <v>NA</v>
      </c>
      <c r="M60" s="151"/>
      <c r="N60" s="152"/>
      <c r="O60" s="151"/>
      <c r="P60" s="187" t="str">
        <f>IF(D60=Inputs!F$4,Inputs!I$4,IF(D60=Inputs!F$2,Inputs!I$2,IF(D60=Inputs!F$3,Inputs!I$3,IF(D60=Inputs!F$5,Inputs!I$5,"NA"))))</f>
        <v>NA</v>
      </c>
    </row>
    <row r="61" spans="1:16" x14ac:dyDescent="0.25">
      <c r="A61" s="148">
        <v>55</v>
      </c>
      <c r="B61" s="189">
        <f>Inputs!C$2</f>
        <v>45</v>
      </c>
      <c r="C61" s="151"/>
      <c r="D61" s="188"/>
      <c r="E61" s="148"/>
      <c r="F61" s="188"/>
      <c r="G61" s="188"/>
      <c r="H61" s="191"/>
      <c r="I61" s="210" t="str">
        <f t="shared" si="0"/>
        <v>NA</v>
      </c>
      <c r="J61" s="189">
        <f t="shared" si="2"/>
        <v>0</v>
      </c>
      <c r="K61" s="151"/>
      <c r="L61" s="211" t="str">
        <f t="shared" si="1"/>
        <v>NA</v>
      </c>
      <c r="M61" s="151"/>
      <c r="N61" s="152"/>
      <c r="O61" s="151"/>
      <c r="P61" s="187" t="str">
        <f>IF(D61=Inputs!F$4,Inputs!I$4,IF(D61=Inputs!F$2,Inputs!I$2,IF(D61=Inputs!F$3,Inputs!I$3,IF(D61=Inputs!F$5,Inputs!I$5,"NA"))))</f>
        <v>NA</v>
      </c>
    </row>
    <row r="62" spans="1:16" x14ac:dyDescent="0.25">
      <c r="A62" s="148">
        <v>56</v>
      </c>
      <c r="B62" s="189">
        <f>Inputs!C$2</f>
        <v>45</v>
      </c>
      <c r="C62" s="151"/>
      <c r="D62" s="188"/>
      <c r="E62" s="148"/>
      <c r="F62" s="188"/>
      <c r="G62" s="188"/>
      <c r="H62" s="191"/>
      <c r="I62" s="210" t="str">
        <f t="shared" si="0"/>
        <v>NA</v>
      </c>
      <c r="J62" s="189">
        <f t="shared" si="2"/>
        <v>0</v>
      </c>
      <c r="K62" s="151"/>
      <c r="L62" s="211" t="str">
        <f t="shared" si="1"/>
        <v>NA</v>
      </c>
      <c r="M62" s="151"/>
      <c r="N62" s="152"/>
      <c r="O62" s="151"/>
      <c r="P62" s="187" t="str">
        <f>IF(D62=Inputs!F$4,Inputs!I$4,IF(D62=Inputs!F$2,Inputs!I$2,IF(D62=Inputs!F$3,Inputs!I$3,IF(D62=Inputs!F$5,Inputs!I$5,"NA"))))</f>
        <v>NA</v>
      </c>
    </row>
    <row r="63" spans="1:16" x14ac:dyDescent="0.25">
      <c r="A63" s="148">
        <v>57</v>
      </c>
      <c r="B63" s="189">
        <f>Inputs!C$2</f>
        <v>45</v>
      </c>
      <c r="C63" s="151"/>
      <c r="D63" s="188"/>
      <c r="E63" s="148"/>
      <c r="F63" s="188"/>
      <c r="G63" s="188"/>
      <c r="H63" s="191"/>
      <c r="I63" s="210" t="str">
        <f t="shared" si="0"/>
        <v>NA</v>
      </c>
      <c r="J63" s="189">
        <f t="shared" si="2"/>
        <v>0</v>
      </c>
      <c r="K63" s="151"/>
      <c r="L63" s="211" t="str">
        <f t="shared" si="1"/>
        <v>NA</v>
      </c>
      <c r="M63" s="151"/>
      <c r="N63" s="152"/>
      <c r="O63" s="151"/>
      <c r="P63" s="187" t="str">
        <f>IF(D63=Inputs!F$4,Inputs!I$4,IF(D63=Inputs!F$2,Inputs!I$2,IF(D63=Inputs!F$3,Inputs!I$3,IF(D63=Inputs!F$5,Inputs!I$5,"NA"))))</f>
        <v>NA</v>
      </c>
    </row>
    <row r="64" spans="1:16" x14ac:dyDescent="0.25">
      <c r="A64" s="148">
        <v>58</v>
      </c>
      <c r="B64" s="189">
        <f>Inputs!C$2</f>
        <v>45</v>
      </c>
      <c r="C64" s="151"/>
      <c r="D64" s="188"/>
      <c r="E64" s="148"/>
      <c r="F64" s="188"/>
      <c r="G64" s="188"/>
      <c r="H64" s="191"/>
      <c r="I64" s="210" t="str">
        <f t="shared" si="0"/>
        <v>NA</v>
      </c>
      <c r="J64" s="189">
        <f t="shared" si="2"/>
        <v>0</v>
      </c>
      <c r="K64" s="151"/>
      <c r="L64" s="211" t="str">
        <f t="shared" si="1"/>
        <v>NA</v>
      </c>
      <c r="M64" s="151"/>
      <c r="N64" s="152"/>
      <c r="O64" s="151"/>
      <c r="P64" s="187" t="str">
        <f>IF(D64=Inputs!F$4,Inputs!I$4,IF(D64=Inputs!F$2,Inputs!I$2,IF(D64=Inputs!F$3,Inputs!I$3,IF(D64=Inputs!F$5,Inputs!I$5,"NA"))))</f>
        <v>NA</v>
      </c>
    </row>
    <row r="65" spans="1:16" x14ac:dyDescent="0.25">
      <c r="A65" s="148">
        <v>59</v>
      </c>
      <c r="B65" s="189">
        <f>Inputs!C$2</f>
        <v>45</v>
      </c>
      <c r="C65" s="151"/>
      <c r="D65" s="188"/>
      <c r="E65" s="148"/>
      <c r="F65" s="188"/>
      <c r="G65" s="188"/>
      <c r="H65" s="191"/>
      <c r="I65" s="210" t="str">
        <f t="shared" si="0"/>
        <v>NA</v>
      </c>
      <c r="J65" s="189">
        <f t="shared" si="2"/>
        <v>0</v>
      </c>
      <c r="K65" s="151"/>
      <c r="L65" s="211" t="str">
        <f t="shared" si="1"/>
        <v>NA</v>
      </c>
      <c r="M65" s="151"/>
      <c r="N65" s="152"/>
      <c r="O65" s="151"/>
      <c r="P65" s="187" t="str">
        <f>IF(D65=Inputs!F$4,Inputs!I$4,IF(D65=Inputs!F$2,Inputs!I$2,IF(D65=Inputs!F$3,Inputs!I$3,IF(D65=Inputs!F$5,Inputs!I$5,"NA"))))</f>
        <v>NA</v>
      </c>
    </row>
    <row r="66" spans="1:16" x14ac:dyDescent="0.25">
      <c r="A66" s="148">
        <v>60</v>
      </c>
      <c r="B66" s="189">
        <f>Inputs!C$2</f>
        <v>45</v>
      </c>
      <c r="C66" s="151"/>
      <c r="D66" s="188"/>
      <c r="E66" s="148"/>
      <c r="F66" s="188"/>
      <c r="G66" s="188"/>
      <c r="H66" s="191"/>
      <c r="I66" s="210" t="str">
        <f t="shared" si="0"/>
        <v>NA</v>
      </c>
      <c r="J66" s="189">
        <f t="shared" si="2"/>
        <v>0</v>
      </c>
      <c r="K66" s="151"/>
      <c r="L66" s="211" t="str">
        <f t="shared" si="1"/>
        <v>NA</v>
      </c>
      <c r="M66" s="151"/>
      <c r="N66" s="152"/>
      <c r="O66" s="151"/>
      <c r="P66" s="187" t="str">
        <f>IF(D66=Inputs!F$4,Inputs!I$4,IF(D66=Inputs!F$2,Inputs!I$2,IF(D66=Inputs!F$3,Inputs!I$3,IF(D66=Inputs!F$5,Inputs!I$5,"NA"))))</f>
        <v>NA</v>
      </c>
    </row>
    <row r="67" spans="1:16" x14ac:dyDescent="0.25">
      <c r="A67" s="148">
        <v>61</v>
      </c>
      <c r="B67" s="189">
        <f>Inputs!C$2</f>
        <v>45</v>
      </c>
      <c r="C67" s="151"/>
      <c r="D67" s="188"/>
      <c r="E67" s="148"/>
      <c r="F67" s="188"/>
      <c r="G67" s="188"/>
      <c r="H67" s="191"/>
      <c r="I67" s="210" t="str">
        <f t="shared" si="0"/>
        <v>NA</v>
      </c>
      <c r="J67" s="189">
        <f t="shared" si="2"/>
        <v>0</v>
      </c>
      <c r="K67" s="151"/>
      <c r="L67" s="211" t="str">
        <f t="shared" si="1"/>
        <v>NA</v>
      </c>
      <c r="M67" s="151"/>
      <c r="N67" s="152"/>
      <c r="O67" s="151"/>
      <c r="P67" s="187" t="str">
        <f>IF(D67=Inputs!F$4,Inputs!I$4,IF(D67=Inputs!F$2,Inputs!I$2,IF(D67=Inputs!F$3,Inputs!I$3,IF(D67=Inputs!F$5,Inputs!I$5,"NA"))))</f>
        <v>NA</v>
      </c>
    </row>
    <row r="68" spans="1:16" x14ac:dyDescent="0.25">
      <c r="A68" s="148">
        <v>62</v>
      </c>
      <c r="B68" s="189">
        <f>Inputs!C$2</f>
        <v>45</v>
      </c>
      <c r="C68" s="151"/>
      <c r="D68" s="188"/>
      <c r="E68" s="148"/>
      <c r="F68" s="188"/>
      <c r="G68" s="188"/>
      <c r="H68" s="191"/>
      <c r="I68" s="210" t="str">
        <f t="shared" si="0"/>
        <v>NA</v>
      </c>
      <c r="J68" s="189">
        <f t="shared" si="2"/>
        <v>0</v>
      </c>
      <c r="K68" s="151"/>
      <c r="L68" s="211" t="str">
        <f t="shared" si="1"/>
        <v>NA</v>
      </c>
      <c r="M68" s="151"/>
      <c r="N68" s="152"/>
      <c r="O68" s="151"/>
      <c r="P68" s="187" t="str">
        <f>IF(D68=Inputs!F$4,Inputs!I$4,IF(D68=Inputs!F$2,Inputs!I$2,IF(D68=Inputs!F$3,Inputs!I$3,IF(D68=Inputs!F$5,Inputs!I$5,"NA"))))</f>
        <v>NA</v>
      </c>
    </row>
    <row r="69" spans="1:16" x14ac:dyDescent="0.25">
      <c r="A69" s="148">
        <v>63</v>
      </c>
      <c r="B69" s="189">
        <f>Inputs!C$2</f>
        <v>45</v>
      </c>
      <c r="C69" s="151"/>
      <c r="D69" s="188"/>
      <c r="E69" s="148"/>
      <c r="F69" s="188"/>
      <c r="G69" s="188"/>
      <c r="H69" s="191"/>
      <c r="I69" s="210" t="str">
        <f t="shared" si="0"/>
        <v>NA</v>
      </c>
      <c r="J69" s="189">
        <f t="shared" si="2"/>
        <v>0</v>
      </c>
      <c r="K69" s="151"/>
      <c r="L69" s="211" t="str">
        <f t="shared" si="1"/>
        <v>NA</v>
      </c>
      <c r="M69" s="151"/>
      <c r="N69" s="152"/>
      <c r="O69" s="151"/>
      <c r="P69" s="187" t="str">
        <f>IF(D69=Inputs!F$4,Inputs!I$4,IF(D69=Inputs!F$2,Inputs!I$2,IF(D69=Inputs!F$3,Inputs!I$3,IF(D69=Inputs!F$5,Inputs!I$5,"NA"))))</f>
        <v>NA</v>
      </c>
    </row>
    <row r="70" spans="1:16" x14ac:dyDescent="0.25">
      <c r="A70" s="148">
        <v>64</v>
      </c>
      <c r="B70" s="189">
        <f>Inputs!C$2</f>
        <v>45</v>
      </c>
      <c r="C70" s="151"/>
      <c r="D70" s="188"/>
      <c r="E70" s="148"/>
      <c r="F70" s="188"/>
      <c r="G70" s="188"/>
      <c r="H70" s="191"/>
      <c r="I70" s="210" t="str">
        <f t="shared" si="0"/>
        <v>NA</v>
      </c>
      <c r="J70" s="189">
        <f t="shared" si="2"/>
        <v>0</v>
      </c>
      <c r="K70" s="151"/>
      <c r="L70" s="211" t="str">
        <f t="shared" si="1"/>
        <v>NA</v>
      </c>
      <c r="M70" s="151"/>
      <c r="N70" s="152"/>
      <c r="O70" s="151"/>
      <c r="P70" s="187" t="str">
        <f>IF(D70=Inputs!F$4,Inputs!I$4,IF(D70=Inputs!F$2,Inputs!I$2,IF(D70=Inputs!F$3,Inputs!I$3,IF(D70=Inputs!F$5,Inputs!I$5,"NA"))))</f>
        <v>NA</v>
      </c>
    </row>
    <row r="71" spans="1:16" x14ac:dyDescent="0.25">
      <c r="A71" s="148">
        <v>65</v>
      </c>
      <c r="B71" s="189">
        <f>Inputs!C$2</f>
        <v>45</v>
      </c>
      <c r="C71" s="151"/>
      <c r="D71" s="188"/>
      <c r="E71" s="148"/>
      <c r="F71" s="188"/>
      <c r="G71" s="188"/>
      <c r="H71" s="191"/>
      <c r="I71" s="210" t="str">
        <f>IF(K71&gt;0,K71-J71,"NA")</f>
        <v>NA</v>
      </c>
      <c r="J71" s="189">
        <f t="shared" si="2"/>
        <v>0</v>
      </c>
      <c r="K71" s="151"/>
      <c r="L71" s="211" t="str">
        <f t="shared" si="1"/>
        <v>NA</v>
      </c>
      <c r="M71" s="151"/>
      <c r="N71" s="152"/>
      <c r="O71" s="151"/>
      <c r="P71" s="187" t="str">
        <f>IF(D71=Inputs!F$4,Inputs!I$4,IF(D71=Inputs!F$2,Inputs!I$2,IF(D71=Inputs!F$3,Inputs!I$3,IF(D71=Inputs!F$5,Inputs!I$5,"NA"))))</f>
        <v>NA</v>
      </c>
    </row>
    <row r="72" spans="1:16" x14ac:dyDescent="0.25">
      <c r="A72" s="148">
        <v>66</v>
      </c>
      <c r="B72" s="189">
        <f>Inputs!C$2</f>
        <v>45</v>
      </c>
      <c r="C72" s="151"/>
      <c r="D72" s="188"/>
      <c r="E72" s="148"/>
      <c r="F72" s="188"/>
      <c r="G72" s="188"/>
      <c r="H72" s="191"/>
      <c r="I72" s="210" t="str">
        <f t="shared" ref="I72:I74" si="3">IF(K72&gt;0,K72-J72,"NA")</f>
        <v>NA</v>
      </c>
      <c r="J72" s="189">
        <f t="shared" si="2"/>
        <v>0</v>
      </c>
      <c r="K72" s="151"/>
      <c r="L72" s="211" t="str">
        <f t="shared" si="1"/>
        <v>NA</v>
      </c>
      <c r="M72" s="151"/>
      <c r="N72" s="152"/>
      <c r="O72" s="151"/>
      <c r="P72" s="187" t="str">
        <f>IF(D72=Inputs!F$4,Inputs!I$4,IF(D72=Inputs!F$2,Inputs!I$2,IF(D72=Inputs!F$3,Inputs!I$3,IF(D72=Inputs!F$5,Inputs!I$5,"NA"))))</f>
        <v>NA</v>
      </c>
    </row>
    <row r="73" spans="1:16" x14ac:dyDescent="0.25">
      <c r="A73" s="148">
        <v>67</v>
      </c>
      <c r="B73" s="189">
        <f>Inputs!C$2</f>
        <v>45</v>
      </c>
      <c r="C73" s="151"/>
      <c r="D73" s="188"/>
      <c r="E73" s="148"/>
      <c r="F73" s="188"/>
      <c r="G73" s="188"/>
      <c r="H73" s="191"/>
      <c r="I73" s="210" t="str">
        <f t="shared" si="3"/>
        <v>NA</v>
      </c>
      <c r="J73" s="189">
        <f t="shared" ref="J73:J82" si="4">IF(H73="NEW",203, IF(H73="OLD",192,0))</f>
        <v>0</v>
      </c>
      <c r="K73" s="151"/>
      <c r="L73" s="211" t="str">
        <f t="shared" ref="L73:L82" si="5">IF(K73&gt;0,I73/E73,"NA")</f>
        <v>NA</v>
      </c>
      <c r="M73" s="151"/>
      <c r="N73" s="152"/>
      <c r="O73" s="151"/>
      <c r="P73" s="187" t="str">
        <f>IF(D73=Inputs!F$4,Inputs!I$4,IF(D73=Inputs!F$2,Inputs!I$2,IF(D73=Inputs!F$3,Inputs!I$3,IF(D73=Inputs!F$5,Inputs!I$5,"NA"))))</f>
        <v>NA</v>
      </c>
    </row>
    <row r="74" spans="1:16" x14ac:dyDescent="0.25">
      <c r="A74" s="148">
        <v>68</v>
      </c>
      <c r="B74" s="189">
        <f>Inputs!C$2</f>
        <v>45</v>
      </c>
      <c r="C74" s="151"/>
      <c r="D74" s="188"/>
      <c r="E74" s="148"/>
      <c r="F74" s="188"/>
      <c r="G74" s="188"/>
      <c r="H74" s="191"/>
      <c r="I74" s="210" t="str">
        <f t="shared" si="3"/>
        <v>NA</v>
      </c>
      <c r="J74" s="189">
        <f t="shared" si="4"/>
        <v>0</v>
      </c>
      <c r="K74" s="151"/>
      <c r="L74" s="211" t="str">
        <f t="shared" si="5"/>
        <v>NA</v>
      </c>
      <c r="M74" s="151"/>
      <c r="N74" s="152"/>
      <c r="O74" s="151"/>
      <c r="P74" s="187" t="str">
        <f>IF(D74=Inputs!F$4,Inputs!I$4,IF(D74=Inputs!F$2,Inputs!I$2,IF(D74=Inputs!F$3,Inputs!I$3,IF(D74=Inputs!F$5,Inputs!I$5,"NA"))))</f>
        <v>NA</v>
      </c>
    </row>
    <row r="75" spans="1:16" x14ac:dyDescent="0.25">
      <c r="A75" s="148">
        <v>69</v>
      </c>
      <c r="B75" s="189">
        <f>Inputs!C$2</f>
        <v>45</v>
      </c>
      <c r="C75" s="151"/>
      <c r="D75" s="188"/>
      <c r="E75" s="148"/>
      <c r="F75" s="188"/>
      <c r="G75" s="188"/>
      <c r="H75" s="191"/>
      <c r="I75" s="210" t="str">
        <f t="shared" ref="I75:I82" si="6">IF(K75&gt;0,K75-J75,"NA")</f>
        <v>NA</v>
      </c>
      <c r="J75" s="189">
        <f t="shared" si="4"/>
        <v>0</v>
      </c>
      <c r="K75" s="151"/>
      <c r="L75" s="211" t="str">
        <f t="shared" si="5"/>
        <v>NA</v>
      </c>
      <c r="M75" s="151"/>
      <c r="N75" s="152"/>
      <c r="O75" s="153"/>
      <c r="P75" s="187" t="str">
        <f>IF(D75=Inputs!F$4,Inputs!I$4,IF(D75=Inputs!F$2,Inputs!I$2,IF(D75=Inputs!F$3,Inputs!I$3,IF(D75=Inputs!F$5,Inputs!I$5,"NA"))))</f>
        <v>NA</v>
      </c>
    </row>
    <row r="76" spans="1:16" x14ac:dyDescent="0.25">
      <c r="A76" s="148">
        <v>70</v>
      </c>
      <c r="B76" s="189">
        <f>Inputs!C$2</f>
        <v>45</v>
      </c>
      <c r="C76" s="151"/>
      <c r="D76" s="188"/>
      <c r="E76" s="148"/>
      <c r="F76" s="188"/>
      <c r="G76" s="188"/>
      <c r="H76" s="191"/>
      <c r="I76" s="210" t="str">
        <f t="shared" si="6"/>
        <v>NA</v>
      </c>
      <c r="J76" s="189">
        <f t="shared" si="4"/>
        <v>0</v>
      </c>
      <c r="K76" s="151"/>
      <c r="L76" s="211" t="str">
        <f t="shared" si="5"/>
        <v>NA</v>
      </c>
      <c r="M76" s="151"/>
      <c r="N76" s="152"/>
      <c r="O76" s="151"/>
      <c r="P76" s="187" t="str">
        <f>IF(D76=Inputs!F$4,Inputs!I$4,IF(D76=Inputs!F$2,Inputs!I$2,IF(D76=Inputs!F$3,Inputs!I$3,IF(D76=Inputs!F$5,Inputs!I$5,"NA"))))</f>
        <v>NA</v>
      </c>
    </row>
    <row r="77" spans="1:16" x14ac:dyDescent="0.25">
      <c r="A77" s="148">
        <v>71</v>
      </c>
      <c r="B77" s="189">
        <f>Inputs!C$2</f>
        <v>45</v>
      </c>
      <c r="C77" s="151"/>
      <c r="D77" s="188"/>
      <c r="E77" s="148"/>
      <c r="F77" s="188"/>
      <c r="G77" s="188"/>
      <c r="H77" s="191"/>
      <c r="I77" s="210" t="str">
        <f t="shared" si="6"/>
        <v>NA</v>
      </c>
      <c r="J77" s="189">
        <f t="shared" si="4"/>
        <v>0</v>
      </c>
      <c r="K77" s="151"/>
      <c r="L77" s="211" t="str">
        <f t="shared" si="5"/>
        <v>NA</v>
      </c>
      <c r="M77" s="151"/>
      <c r="N77" s="152"/>
      <c r="O77" s="151"/>
      <c r="P77" s="187" t="str">
        <f>IF(D77=Inputs!F$4,Inputs!I$4,IF(D77=Inputs!F$2,Inputs!I$2,IF(D77=Inputs!F$3,Inputs!I$3,IF(D77=Inputs!F$5,Inputs!I$5,"NA"))))</f>
        <v>NA</v>
      </c>
    </row>
    <row r="78" spans="1:16" x14ac:dyDescent="0.25">
      <c r="A78" s="148">
        <v>72</v>
      </c>
      <c r="B78" s="189">
        <f>Inputs!C$2</f>
        <v>45</v>
      </c>
      <c r="C78" s="151"/>
      <c r="D78" s="188"/>
      <c r="E78" s="148"/>
      <c r="F78" s="188"/>
      <c r="G78" s="188"/>
      <c r="H78" s="191"/>
      <c r="I78" s="210" t="str">
        <f>IF(K78&gt;0,K78-J78,"NA")</f>
        <v>NA</v>
      </c>
      <c r="J78" s="189">
        <f t="shared" si="4"/>
        <v>0</v>
      </c>
      <c r="K78" s="151"/>
      <c r="L78" s="211" t="str">
        <f t="shared" si="5"/>
        <v>NA</v>
      </c>
      <c r="M78" s="151"/>
      <c r="N78" s="152"/>
      <c r="O78" s="151"/>
      <c r="P78" s="187" t="str">
        <f>IF(D78=Inputs!F$4,Inputs!I$4,IF(D78=Inputs!F$2,Inputs!I$2,IF(D78=Inputs!F$3,Inputs!I$3,IF(D78=Inputs!F$5,Inputs!I$5,"NA"))))</f>
        <v>NA</v>
      </c>
    </row>
    <row r="79" spans="1:16" x14ac:dyDescent="0.25">
      <c r="A79" s="148">
        <v>73</v>
      </c>
      <c r="B79" s="189">
        <f>Inputs!C$2</f>
        <v>45</v>
      </c>
      <c r="C79" s="151"/>
      <c r="D79" s="188"/>
      <c r="E79" s="148"/>
      <c r="F79" s="188"/>
      <c r="G79" s="188"/>
      <c r="H79" s="191"/>
      <c r="I79" s="210" t="str">
        <f t="shared" si="6"/>
        <v>NA</v>
      </c>
      <c r="J79" s="189">
        <f t="shared" si="4"/>
        <v>0</v>
      </c>
      <c r="K79" s="151"/>
      <c r="L79" s="211" t="str">
        <f t="shared" si="5"/>
        <v>NA</v>
      </c>
      <c r="M79" s="151"/>
      <c r="N79" s="152"/>
      <c r="O79" s="151"/>
      <c r="P79" s="187" t="str">
        <f>IF(D79=Inputs!F$4,Inputs!I$4,IF(D79=Inputs!F$2,Inputs!I$2,IF(D79=Inputs!F$3,Inputs!I$3,IF(D79=Inputs!F$5,Inputs!I$5,"NA"))))</f>
        <v>NA</v>
      </c>
    </row>
    <row r="80" spans="1:16" x14ac:dyDescent="0.25">
      <c r="A80" s="148">
        <v>74</v>
      </c>
      <c r="B80" s="189">
        <f>Inputs!C$2</f>
        <v>45</v>
      </c>
      <c r="C80" s="151"/>
      <c r="D80" s="188"/>
      <c r="E80" s="148"/>
      <c r="F80" s="188"/>
      <c r="G80" s="188"/>
      <c r="H80" s="191"/>
      <c r="I80" s="210" t="str">
        <f t="shared" si="6"/>
        <v>NA</v>
      </c>
      <c r="J80" s="189">
        <f t="shared" si="4"/>
        <v>0</v>
      </c>
      <c r="K80" s="151"/>
      <c r="L80" s="211" t="str">
        <f t="shared" si="5"/>
        <v>NA</v>
      </c>
      <c r="M80" s="151"/>
      <c r="N80" s="152"/>
      <c r="O80" s="151"/>
      <c r="P80" s="187" t="str">
        <f>IF(D80=Inputs!F$4,Inputs!I$4,IF(D80=Inputs!F$2,Inputs!I$2,IF(D80=Inputs!F$3,Inputs!I$3,IF(D80=Inputs!F$5,Inputs!I$5,"NA"))))</f>
        <v>NA</v>
      </c>
    </row>
    <row r="81" spans="1:16" x14ac:dyDescent="0.25">
      <c r="A81" s="148">
        <v>75</v>
      </c>
      <c r="B81" s="189">
        <f>Inputs!C$2</f>
        <v>45</v>
      </c>
      <c r="C81" s="151"/>
      <c r="D81" s="188"/>
      <c r="E81" s="148"/>
      <c r="F81" s="188"/>
      <c r="G81" s="188"/>
      <c r="H81" s="191"/>
      <c r="I81" s="210" t="str">
        <f t="shared" si="6"/>
        <v>NA</v>
      </c>
      <c r="J81" s="189">
        <f t="shared" si="4"/>
        <v>0</v>
      </c>
      <c r="K81" s="151"/>
      <c r="L81" s="211" t="str">
        <f t="shared" si="5"/>
        <v>NA</v>
      </c>
      <c r="M81" s="151"/>
      <c r="N81" s="152"/>
      <c r="O81" s="151"/>
      <c r="P81" s="187" t="str">
        <f>IF(D81=Inputs!F$4,Inputs!I$4,IF(D81=Inputs!F$2,Inputs!I$2,IF(D81=Inputs!F$3,Inputs!I$3,IF(D81=Inputs!F$5,Inputs!I$5,"NA"))))</f>
        <v>NA</v>
      </c>
    </row>
    <row r="82" spans="1:16" x14ac:dyDescent="0.25">
      <c r="A82" s="148">
        <v>76</v>
      </c>
      <c r="B82" s="189">
        <f>Inputs!C$2</f>
        <v>45</v>
      </c>
      <c r="C82" s="151"/>
      <c r="D82" s="188"/>
      <c r="E82" s="148"/>
      <c r="F82" s="188"/>
      <c r="G82" s="188"/>
      <c r="H82" s="191"/>
      <c r="I82" s="210" t="str">
        <f t="shared" si="6"/>
        <v>NA</v>
      </c>
      <c r="J82" s="189">
        <f t="shared" si="4"/>
        <v>0</v>
      </c>
      <c r="K82" s="151"/>
      <c r="L82" s="211" t="str">
        <f t="shared" si="5"/>
        <v>NA</v>
      </c>
      <c r="M82" s="151"/>
      <c r="N82" s="152"/>
      <c r="O82" s="151"/>
      <c r="P82" s="187" t="str">
        <f>IF(D82=Inputs!F$4,Inputs!I$4,IF(D82=Inputs!F$2,Inputs!I$2,IF(D82=Inputs!F$3,Inputs!I$3,IF(D82=Inputs!F$5,Inputs!I$5,"NA"))))</f>
        <v>NA</v>
      </c>
    </row>
  </sheetData>
  <mergeCells count="2">
    <mergeCell ref="A2:P2"/>
    <mergeCell ref="A6:P6"/>
  </mergeCells>
  <phoneticPr fontId="34" type="noConversion"/>
  <dataValidations count="2">
    <dataValidation type="list" allowBlank="1" showInputMessage="1" showErrorMessage="1" sqref="F3:F5 F7:F82" xr:uid="{00000000-0002-0000-0500-000000000000}">
      <formula1>"NR"</formula1>
      <formula2>0</formula2>
    </dataValidation>
    <dataValidation type="list" allowBlank="1" showInputMessage="1" showErrorMessage="1" sqref="O7:O82" xr:uid="{2CCA375B-F75F-4437-8BA7-DFDA822F1C41}">
      <formula1>"White,Brown,MED,Mix"</formula1>
    </dataValidation>
  </dataValidations>
  <pageMargins left="0" right="0" top="0" bottom="0" header="0.51180555555555496" footer="0.51180555555555496"/>
  <pageSetup firstPageNumber="0" orientation="portrait" horizontalDpi="300" verticalDpi="300"/>
  <rowBreaks count="1" manualBreakCount="1">
    <brk id="57" max="16383" man="1"/>
  </rowBreak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0000000-0002-0000-0500-000001000000}">
          <x14:formula1>
            <xm:f>'Producer Number'!$A$9:$A$12</xm:f>
          </x14:formula1>
          <x14:formula2>
            <xm:f>0</xm:f>
          </x14:formula2>
          <xm:sqref>G3:G5 G7:G82</xm:sqref>
        </x14:dataValidation>
        <x14:dataValidation type="list" allowBlank="1" showInputMessage="1" showErrorMessage="1" xr:uid="{00000000-0002-0000-0500-000002000000}">
          <x14:formula1>
            <xm:f>'Producer Number'!$A$16:$A$17</xm:f>
          </x14:formula1>
          <x14:formula2>
            <xm:f>0</xm:f>
          </x14:formula2>
          <xm:sqref>H3:H5 H7:H82</xm:sqref>
        </x14:dataValidation>
        <x14:dataValidation type="list" allowBlank="1" showInputMessage="1" showErrorMessage="1" xr:uid="{00000000-0002-0000-0500-000003000000}">
          <x14:formula1>
            <xm:f>'Producer Number'!$A$3:$A$22</xm:f>
          </x14:formula1>
          <x14:formula2>
            <xm:f>0</xm:f>
          </x14:formula2>
          <xm:sqref>D3:D5</xm:sqref>
        </x14:dataValidation>
        <x14:dataValidation type="list" allowBlank="1" showInputMessage="1" showErrorMessage="1" xr:uid="{A285B986-F773-4166-ABD8-870C5880BA7B}">
          <x14:formula1>
            <xm:f>'Producer Number'!$A$2:$A$6</xm:f>
          </x14:formula1>
          <xm:sqref>D7:D82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3188C3-48BA-423D-AA7E-406C5945F3D2}">
  <sheetPr>
    <tabColor rgb="FFFFFF00"/>
  </sheetPr>
  <dimension ref="A1:L52"/>
  <sheetViews>
    <sheetView tabSelected="1" view="pageLayout" zoomScaleNormal="100" workbookViewId="0">
      <selection activeCell="J11" sqref="J11"/>
    </sheetView>
  </sheetViews>
  <sheetFormatPr defaultRowHeight="12.75" x14ac:dyDescent="0.2"/>
  <cols>
    <col min="1" max="1" width="10.42578125" customWidth="1"/>
    <col min="2" max="2" width="8.85546875" customWidth="1"/>
    <col min="3" max="3" width="8.7109375" customWidth="1"/>
    <col min="4" max="4" width="8.85546875" customWidth="1"/>
    <col min="5" max="5" width="7.5703125" customWidth="1"/>
    <col min="7" max="7" width="9.85546875" customWidth="1"/>
    <col min="8" max="8" width="2.5703125" customWidth="1"/>
    <col min="9" max="9" width="7.42578125" customWidth="1"/>
    <col min="10" max="11" width="7.140625" customWidth="1"/>
    <col min="12" max="12" width="4.85546875" customWidth="1"/>
  </cols>
  <sheetData>
    <row r="1" spans="1:12" x14ac:dyDescent="0.2">
      <c r="B1" s="170" t="s">
        <v>194</v>
      </c>
      <c r="C1" s="168">
        <v>2025</v>
      </c>
      <c r="G1" s="166" t="s">
        <v>199</v>
      </c>
      <c r="I1" s="166" t="s">
        <v>200</v>
      </c>
      <c r="J1" s="166" t="s">
        <v>214</v>
      </c>
      <c r="K1" s="166" t="s">
        <v>203</v>
      </c>
    </row>
    <row r="2" spans="1:12" x14ac:dyDescent="0.2">
      <c r="B2" s="24" t="s">
        <v>94</v>
      </c>
      <c r="C2" s="168">
        <v>45</v>
      </c>
      <c r="F2" s="166" t="s">
        <v>5</v>
      </c>
      <c r="G2" s="186">
        <v>45750</v>
      </c>
      <c r="I2" s="205">
        <f>(C$3-G2)/7</f>
        <v>31.464285714285715</v>
      </c>
      <c r="J2" s="230">
        <f>I2-19</f>
        <v>12.464285714285715</v>
      </c>
      <c r="K2" s="166" t="s">
        <v>201</v>
      </c>
      <c r="L2">
        <v>203</v>
      </c>
    </row>
    <row r="3" spans="1:12" x14ac:dyDescent="0.2">
      <c r="B3" s="170" t="s">
        <v>193</v>
      </c>
      <c r="C3" s="246">
        <f>C2*7+(C1-1900)*365.25-1</f>
        <v>45970.25</v>
      </c>
      <c r="D3" s="247"/>
      <c r="F3" s="166" t="s">
        <v>168</v>
      </c>
      <c r="G3" s="186">
        <v>45572</v>
      </c>
      <c r="I3" s="205">
        <f>(C$3-G3)/7</f>
        <v>56.892857142857146</v>
      </c>
      <c r="J3" s="230">
        <f>I3-19</f>
        <v>37.892857142857146</v>
      </c>
      <c r="K3" s="166" t="s">
        <v>202</v>
      </c>
      <c r="L3">
        <v>192</v>
      </c>
    </row>
    <row r="4" spans="1:12" x14ac:dyDescent="0.2">
      <c r="F4" s="166" t="s">
        <v>229</v>
      </c>
      <c r="G4" s="186">
        <v>45663</v>
      </c>
      <c r="I4" s="205">
        <f>(C$3-G4)/7</f>
        <v>43.892857142857146</v>
      </c>
      <c r="J4" s="230">
        <f>I4-19</f>
        <v>24.892857142857146</v>
      </c>
    </row>
    <row r="5" spans="1:12" x14ac:dyDescent="0.2">
      <c r="A5" s="166" t="s">
        <v>204</v>
      </c>
      <c r="B5" s="248" t="s">
        <v>234</v>
      </c>
      <c r="C5" s="248"/>
      <c r="F5" s="166" t="s">
        <v>4</v>
      </c>
      <c r="G5" s="186">
        <v>45812</v>
      </c>
      <c r="I5" s="205">
        <f>(C$3-G5)/7</f>
        <v>22.607142857142858</v>
      </c>
      <c r="J5" s="230">
        <f>I5-19</f>
        <v>3.6071428571428577</v>
      </c>
    </row>
    <row r="6" spans="1:12" ht="6.75" customHeight="1" x14ac:dyDescent="0.2"/>
    <row r="7" spans="1:12" x14ac:dyDescent="0.2">
      <c r="A7" s="169" t="s">
        <v>180</v>
      </c>
    </row>
    <row r="8" spans="1:12" x14ac:dyDescent="0.2">
      <c r="A8" s="167" t="s">
        <v>173</v>
      </c>
      <c r="E8" s="167" t="s">
        <v>174</v>
      </c>
    </row>
    <row r="9" spans="1:12" x14ac:dyDescent="0.2">
      <c r="A9" s="139" t="s">
        <v>172</v>
      </c>
      <c r="B9" s="139" t="s">
        <v>47</v>
      </c>
      <c r="C9" s="139" t="s">
        <v>48</v>
      </c>
      <c r="E9" s="139" t="s">
        <v>172</v>
      </c>
      <c r="F9" s="139" t="s">
        <v>47</v>
      </c>
      <c r="G9" s="139" t="s">
        <v>48</v>
      </c>
    </row>
    <row r="10" spans="1:12" x14ac:dyDescent="0.2">
      <c r="A10" s="139">
        <v>6</v>
      </c>
      <c r="B10" s="168">
        <v>270</v>
      </c>
      <c r="C10" s="165"/>
      <c r="E10" s="139">
        <v>6</v>
      </c>
      <c r="F10" s="168">
        <v>264</v>
      </c>
      <c r="G10" s="165"/>
    </row>
    <row r="11" spans="1:12" x14ac:dyDescent="0.2">
      <c r="A11" s="139">
        <v>7</v>
      </c>
      <c r="B11" s="168">
        <v>185</v>
      </c>
      <c r="C11" s="168">
        <v>18</v>
      </c>
      <c r="E11" s="139">
        <v>7</v>
      </c>
      <c r="F11" s="168">
        <v>192</v>
      </c>
      <c r="G11" s="168">
        <v>22</v>
      </c>
    </row>
    <row r="12" spans="1:12" x14ac:dyDescent="0.2">
      <c r="A12" s="139">
        <v>10</v>
      </c>
      <c r="B12" s="237">
        <v>135</v>
      </c>
      <c r="C12" s="168">
        <v>10</v>
      </c>
      <c r="E12" s="139">
        <v>10</v>
      </c>
      <c r="F12" s="168">
        <v>146</v>
      </c>
      <c r="G12" s="168">
        <v>12</v>
      </c>
    </row>
    <row r="13" spans="1:12" x14ac:dyDescent="0.2">
      <c r="A13" s="139">
        <v>11</v>
      </c>
      <c r="B13" s="168">
        <v>50</v>
      </c>
      <c r="C13" s="165"/>
      <c r="E13" s="139">
        <v>11</v>
      </c>
      <c r="F13" s="168">
        <v>60</v>
      </c>
      <c r="G13" s="165"/>
    </row>
    <row r="14" spans="1:12" x14ac:dyDescent="0.2">
      <c r="A14" s="167" t="s">
        <v>175</v>
      </c>
      <c r="E14" s="167" t="s">
        <v>176</v>
      </c>
    </row>
    <row r="15" spans="1:12" x14ac:dyDescent="0.2">
      <c r="A15" s="139" t="s">
        <v>172</v>
      </c>
      <c r="B15" s="139" t="s">
        <v>47</v>
      </c>
      <c r="C15" s="139" t="s">
        <v>48</v>
      </c>
      <c r="E15" s="139" t="s">
        <v>172</v>
      </c>
      <c r="F15" s="139" t="s">
        <v>47</v>
      </c>
      <c r="G15" s="139" t="s">
        <v>48</v>
      </c>
    </row>
    <row r="16" spans="1:12" x14ac:dyDescent="0.2">
      <c r="A16" s="139">
        <v>6</v>
      </c>
      <c r="B16" s="168">
        <v>270</v>
      </c>
      <c r="C16" s="165"/>
      <c r="E16" s="139">
        <v>6</v>
      </c>
      <c r="F16" s="168">
        <v>267</v>
      </c>
      <c r="G16" s="165"/>
    </row>
    <row r="17" spans="1:11" x14ac:dyDescent="0.2">
      <c r="A17" s="139">
        <v>7</v>
      </c>
      <c r="B17" s="168">
        <v>199</v>
      </c>
      <c r="C17" s="168">
        <v>23</v>
      </c>
      <c r="E17" s="139">
        <v>7</v>
      </c>
      <c r="F17" s="168">
        <v>197</v>
      </c>
      <c r="G17" s="168">
        <v>22</v>
      </c>
    </row>
    <row r="18" spans="1:11" x14ac:dyDescent="0.2">
      <c r="A18" s="139">
        <v>10</v>
      </c>
      <c r="B18" s="168">
        <v>185</v>
      </c>
      <c r="C18" s="168">
        <v>10</v>
      </c>
      <c r="E18" s="139">
        <v>10</v>
      </c>
      <c r="F18" s="168">
        <v>168</v>
      </c>
      <c r="G18" s="168">
        <v>12</v>
      </c>
    </row>
    <row r="19" spans="1:11" x14ac:dyDescent="0.2">
      <c r="A19" s="139">
        <v>11</v>
      </c>
      <c r="B19" s="168">
        <v>45</v>
      </c>
      <c r="C19" s="165"/>
      <c r="E19" s="139">
        <v>11</v>
      </c>
      <c r="F19" s="168">
        <v>66</v>
      </c>
      <c r="G19" s="165"/>
    </row>
    <row r="21" spans="1:11" x14ac:dyDescent="0.2">
      <c r="A21" s="167" t="s">
        <v>177</v>
      </c>
      <c r="E21" s="167" t="s">
        <v>178</v>
      </c>
    </row>
    <row r="22" spans="1:11" x14ac:dyDescent="0.2">
      <c r="A22" s="139" t="s">
        <v>172</v>
      </c>
      <c r="B22" s="139" t="s">
        <v>47</v>
      </c>
      <c r="C22" s="139" t="s">
        <v>48</v>
      </c>
      <c r="E22" s="139" t="s">
        <v>172</v>
      </c>
      <c r="F22" s="139" t="s">
        <v>47</v>
      </c>
      <c r="G22" s="139" t="s">
        <v>48</v>
      </c>
    </row>
    <row r="23" spans="1:11" x14ac:dyDescent="0.2">
      <c r="A23" s="139">
        <v>6</v>
      </c>
      <c r="B23" s="168">
        <v>274</v>
      </c>
      <c r="C23" s="165"/>
      <c r="E23" s="139">
        <v>6</v>
      </c>
      <c r="F23" s="168">
        <v>270</v>
      </c>
      <c r="G23" s="165"/>
    </row>
    <row r="24" spans="1:11" x14ac:dyDescent="0.2">
      <c r="A24" s="139">
        <v>7</v>
      </c>
      <c r="B24" s="168">
        <v>197</v>
      </c>
      <c r="C24" s="168">
        <v>21</v>
      </c>
      <c r="E24" s="139">
        <v>7</v>
      </c>
      <c r="F24" s="168">
        <v>196</v>
      </c>
      <c r="G24" s="168">
        <v>23</v>
      </c>
    </row>
    <row r="25" spans="1:11" x14ac:dyDescent="0.2">
      <c r="A25" s="139">
        <v>10</v>
      </c>
      <c r="B25" s="168">
        <v>164</v>
      </c>
      <c r="C25" s="168">
        <v>12</v>
      </c>
      <c r="E25" s="139">
        <v>10</v>
      </c>
      <c r="F25" s="168">
        <v>162</v>
      </c>
      <c r="G25" s="168">
        <v>10</v>
      </c>
    </row>
    <row r="26" spans="1:11" x14ac:dyDescent="0.2">
      <c r="A26" s="139">
        <v>11</v>
      </c>
      <c r="B26" s="168">
        <v>54</v>
      </c>
      <c r="C26" s="165"/>
      <c r="E26" s="139">
        <v>11</v>
      </c>
      <c r="F26" s="168">
        <v>56</v>
      </c>
      <c r="G26" s="165"/>
    </row>
    <row r="27" spans="1:11" x14ac:dyDescent="0.2">
      <c r="A27" s="167" t="s">
        <v>179</v>
      </c>
      <c r="E27" s="167" t="s">
        <v>181</v>
      </c>
      <c r="I27" s="167" t="s">
        <v>182</v>
      </c>
    </row>
    <row r="28" spans="1:11" x14ac:dyDescent="0.2">
      <c r="A28" s="139" t="s">
        <v>172</v>
      </c>
      <c r="B28" s="139" t="s">
        <v>47</v>
      </c>
      <c r="C28" s="139" t="s">
        <v>48</v>
      </c>
      <c r="E28" s="139" t="s">
        <v>172</v>
      </c>
      <c r="F28" s="139" t="s">
        <v>47</v>
      </c>
      <c r="G28" s="139" t="s">
        <v>48</v>
      </c>
      <c r="I28" s="139" t="s">
        <v>172</v>
      </c>
      <c r="J28" s="139" t="s">
        <v>47</v>
      </c>
      <c r="K28" s="139" t="s">
        <v>48</v>
      </c>
    </row>
    <row r="29" spans="1:11" x14ac:dyDescent="0.2">
      <c r="A29" s="139">
        <v>6</v>
      </c>
      <c r="B29" s="168">
        <v>290</v>
      </c>
      <c r="C29" s="165"/>
      <c r="E29" s="139">
        <v>6</v>
      </c>
      <c r="F29" s="203">
        <f t="shared" ref="F29:G31" si="0">B10+F10+B16+F16+B23+F23+B29</f>
        <v>1905</v>
      </c>
      <c r="G29" s="204">
        <f t="shared" si="0"/>
        <v>0</v>
      </c>
      <c r="I29" s="139">
        <v>6</v>
      </c>
      <c r="J29" s="203">
        <f t="shared" ref="J29:K31" si="1">F29*15</f>
        <v>28575</v>
      </c>
      <c r="K29" s="204">
        <f t="shared" si="1"/>
        <v>0</v>
      </c>
    </row>
    <row r="30" spans="1:11" x14ac:dyDescent="0.2">
      <c r="A30" s="139">
        <v>7</v>
      </c>
      <c r="B30" s="168">
        <v>197</v>
      </c>
      <c r="C30" s="168">
        <v>22</v>
      </c>
      <c r="E30" s="139">
        <v>7</v>
      </c>
      <c r="F30" s="203">
        <f t="shared" si="0"/>
        <v>1363</v>
      </c>
      <c r="G30" s="203">
        <f t="shared" si="0"/>
        <v>151</v>
      </c>
      <c r="I30" s="139">
        <v>7</v>
      </c>
      <c r="J30" s="203">
        <f t="shared" si="1"/>
        <v>20445</v>
      </c>
      <c r="K30" s="203">
        <f t="shared" si="1"/>
        <v>2265</v>
      </c>
    </row>
    <row r="31" spans="1:11" x14ac:dyDescent="0.2">
      <c r="A31" s="139">
        <v>10</v>
      </c>
      <c r="B31" s="168">
        <v>143</v>
      </c>
      <c r="C31" s="168">
        <v>10</v>
      </c>
      <c r="E31" s="139">
        <v>10</v>
      </c>
      <c r="F31" s="203">
        <f t="shared" si="0"/>
        <v>1103</v>
      </c>
      <c r="G31" s="203">
        <f t="shared" si="0"/>
        <v>76</v>
      </c>
      <c r="I31" s="139">
        <v>10</v>
      </c>
      <c r="J31" s="203">
        <f t="shared" si="1"/>
        <v>16545</v>
      </c>
      <c r="K31" s="203">
        <f t="shared" si="1"/>
        <v>1140</v>
      </c>
    </row>
    <row r="32" spans="1:11" x14ac:dyDescent="0.2">
      <c r="A32" s="139">
        <v>11</v>
      </c>
      <c r="B32" s="168">
        <v>45</v>
      </c>
      <c r="C32" s="165"/>
      <c r="E32" s="139">
        <v>11</v>
      </c>
      <c r="F32" s="203">
        <f t="shared" ref="F32:G32" si="2">B13+F13+B19+F19+B26+F26+B32</f>
        <v>376</v>
      </c>
      <c r="G32" s="204">
        <f t="shared" si="2"/>
        <v>0</v>
      </c>
      <c r="I32" s="139">
        <v>11</v>
      </c>
      <c r="J32" s="203">
        <f>F32*15</f>
        <v>5640</v>
      </c>
      <c r="K32" s="204">
        <f>G32*180/12</f>
        <v>0</v>
      </c>
    </row>
    <row r="34" spans="1:9" x14ac:dyDescent="0.2">
      <c r="A34" s="167" t="s">
        <v>183</v>
      </c>
      <c r="G34" s="167" t="s">
        <v>209</v>
      </c>
    </row>
    <row r="35" spans="1:9" x14ac:dyDescent="0.2">
      <c r="A35" s="139"/>
      <c r="B35" s="172" t="s">
        <v>170</v>
      </c>
      <c r="C35" s="172" t="s">
        <v>171</v>
      </c>
      <c r="D35" s="172" t="s">
        <v>217</v>
      </c>
      <c r="E35" s="172" t="s">
        <v>169</v>
      </c>
      <c r="G35" s="245" t="s">
        <v>205</v>
      </c>
      <c r="H35" s="245"/>
      <c r="I35" s="225">
        <v>480</v>
      </c>
    </row>
    <row r="36" spans="1:9" x14ac:dyDescent="0.2">
      <c r="A36" s="172" t="s">
        <v>100</v>
      </c>
      <c r="B36" s="201">
        <f>B37+B38</f>
        <v>0.20100000000000001</v>
      </c>
      <c r="C36" s="201">
        <f>C37+C38</f>
        <v>0.28500000000000003</v>
      </c>
      <c r="D36" s="201">
        <f>D37+D38</f>
        <v>0.378</v>
      </c>
      <c r="E36" s="201">
        <f>E37+E38</f>
        <v>0</v>
      </c>
      <c r="G36" s="245" t="s">
        <v>206</v>
      </c>
      <c r="H36" s="245"/>
      <c r="I36" s="225">
        <v>248</v>
      </c>
    </row>
    <row r="37" spans="1:9" x14ac:dyDescent="0.2">
      <c r="A37" s="172" t="s">
        <v>184</v>
      </c>
      <c r="B37" s="236">
        <v>1.6E-2</v>
      </c>
      <c r="C37" s="173">
        <v>2.5999999999999999E-2</v>
      </c>
      <c r="D37" s="173">
        <v>4.9000000000000002E-2</v>
      </c>
      <c r="E37" s="173">
        <v>0</v>
      </c>
      <c r="G37" s="245" t="s">
        <v>207</v>
      </c>
      <c r="H37" s="245"/>
      <c r="I37" s="225">
        <v>172</v>
      </c>
    </row>
    <row r="38" spans="1:9" x14ac:dyDescent="0.2">
      <c r="A38" s="172" t="s">
        <v>185</v>
      </c>
      <c r="B38" s="173">
        <v>0.185</v>
      </c>
      <c r="C38" s="173">
        <v>0.25900000000000001</v>
      </c>
      <c r="D38" s="173">
        <v>0.32900000000000001</v>
      </c>
      <c r="E38" s="173">
        <v>0</v>
      </c>
      <c r="G38" s="245" t="s">
        <v>215</v>
      </c>
      <c r="H38" s="245"/>
      <c r="I38" s="225">
        <v>270</v>
      </c>
    </row>
    <row r="39" spans="1:9" x14ac:dyDescent="0.2">
      <c r="A39" s="172" t="s">
        <v>186</v>
      </c>
      <c r="B39" s="173">
        <v>0.69699999999999995</v>
      </c>
      <c r="C39" s="173">
        <v>0.63200000000000001</v>
      </c>
      <c r="D39" s="173">
        <v>0.55800000000000005</v>
      </c>
      <c r="E39" s="173">
        <v>0</v>
      </c>
      <c r="G39" s="245" t="s">
        <v>216</v>
      </c>
      <c r="H39" s="245"/>
      <c r="I39" s="225">
        <v>30</v>
      </c>
    </row>
    <row r="40" spans="1:9" x14ac:dyDescent="0.2">
      <c r="A40" s="172" t="s">
        <v>187</v>
      </c>
      <c r="B40" s="173">
        <v>0.09</v>
      </c>
      <c r="C40" s="173">
        <v>7.1999999999999995E-2</v>
      </c>
      <c r="D40" s="173">
        <v>5.5E-2</v>
      </c>
      <c r="E40" s="236">
        <v>0</v>
      </c>
      <c r="G40" s="245" t="s">
        <v>208</v>
      </c>
      <c r="H40" s="245"/>
      <c r="I40" s="225">
        <v>420</v>
      </c>
    </row>
    <row r="41" spans="1:9" x14ac:dyDescent="0.2">
      <c r="A41" s="172" t="s">
        <v>195</v>
      </c>
      <c r="B41" s="173">
        <v>1E-3</v>
      </c>
      <c r="C41" s="173">
        <v>1E-3</v>
      </c>
      <c r="D41" s="173">
        <v>1E-3</v>
      </c>
      <c r="E41" s="173">
        <v>0</v>
      </c>
      <c r="G41" s="245" t="s">
        <v>210</v>
      </c>
      <c r="H41" s="245"/>
      <c r="I41" s="225">
        <v>300</v>
      </c>
    </row>
    <row r="42" spans="1:9" x14ac:dyDescent="0.2">
      <c r="A42" s="172" t="s">
        <v>196</v>
      </c>
      <c r="B42" s="173">
        <v>0</v>
      </c>
      <c r="C42" s="173">
        <v>0</v>
      </c>
      <c r="D42" s="173">
        <v>0</v>
      </c>
      <c r="E42" s="173">
        <v>0</v>
      </c>
    </row>
    <row r="43" spans="1:9" x14ac:dyDescent="0.2">
      <c r="A43" s="233" t="s">
        <v>197</v>
      </c>
      <c r="B43" s="202">
        <f>SUM(B47:B50)</f>
        <v>1.0999999999999999E-2</v>
      </c>
      <c r="C43" s="202">
        <f>SUM(C47:C50)</f>
        <v>0.01</v>
      </c>
      <c r="D43" s="202">
        <f>SUM(D47:D50)</f>
        <v>8.0000000000000002E-3</v>
      </c>
      <c r="E43" s="202">
        <f>SUM(E47:E50)</f>
        <v>0</v>
      </c>
      <c r="I43" s="230"/>
    </row>
    <row r="44" spans="1:9" x14ac:dyDescent="0.2">
      <c r="A44" s="233" t="s">
        <v>211</v>
      </c>
      <c r="B44" s="232">
        <v>61.68</v>
      </c>
      <c r="C44" s="232">
        <v>60.68</v>
      </c>
      <c r="D44" s="232">
        <v>62.96</v>
      </c>
      <c r="E44" s="232">
        <v>0</v>
      </c>
    </row>
    <row r="45" spans="1:9" x14ac:dyDescent="0.2">
      <c r="A45" s="233" t="s">
        <v>213</v>
      </c>
      <c r="B45" s="231">
        <f>J29</f>
        <v>28575</v>
      </c>
      <c r="C45" s="231">
        <f>J30</f>
        <v>20445</v>
      </c>
      <c r="D45" s="231">
        <f>J31+K31</f>
        <v>17685</v>
      </c>
      <c r="E45" s="231">
        <f>J32</f>
        <v>5640</v>
      </c>
    </row>
    <row r="46" spans="1:9" x14ac:dyDescent="0.2">
      <c r="A46" s="233" t="s">
        <v>212</v>
      </c>
      <c r="B46" s="232"/>
      <c r="C46" s="232"/>
      <c r="D46" s="232"/>
      <c r="E46" s="232">
        <v>0</v>
      </c>
    </row>
    <row r="47" spans="1:9" x14ac:dyDescent="0.2">
      <c r="A47" s="172" t="s">
        <v>188</v>
      </c>
      <c r="B47" s="173">
        <v>1E-3</v>
      </c>
      <c r="C47" s="173">
        <v>1E-3</v>
      </c>
      <c r="D47" s="173">
        <v>2E-3</v>
      </c>
      <c r="E47" s="173">
        <v>0</v>
      </c>
    </row>
    <row r="48" spans="1:9" x14ac:dyDescent="0.2">
      <c r="A48" s="172" t="s">
        <v>189</v>
      </c>
      <c r="B48" s="173">
        <v>2E-3</v>
      </c>
      <c r="C48" s="173">
        <v>2E-3</v>
      </c>
      <c r="D48" s="173">
        <v>2E-3</v>
      </c>
      <c r="E48" s="173">
        <v>0</v>
      </c>
    </row>
    <row r="49" spans="1:5" x14ac:dyDescent="0.2">
      <c r="A49" s="172" t="s">
        <v>190</v>
      </c>
      <c r="B49" s="173">
        <v>3.0000000000000001E-3</v>
      </c>
      <c r="C49" s="173">
        <v>2E-3</v>
      </c>
      <c r="D49" s="173">
        <v>2E-3</v>
      </c>
      <c r="E49" s="173">
        <v>0</v>
      </c>
    </row>
    <row r="50" spans="1:5" x14ac:dyDescent="0.2">
      <c r="A50" s="172" t="s">
        <v>191</v>
      </c>
      <c r="B50" s="173">
        <v>5.0000000000000001E-3</v>
      </c>
      <c r="C50" s="173">
        <v>5.0000000000000001E-3</v>
      </c>
      <c r="D50" s="173">
        <v>2E-3</v>
      </c>
      <c r="E50" s="173">
        <v>0</v>
      </c>
    </row>
    <row r="51" spans="1:5" x14ac:dyDescent="0.2">
      <c r="A51" s="166"/>
      <c r="B51" s="234"/>
      <c r="C51" s="234"/>
      <c r="D51" s="234"/>
      <c r="E51" s="234"/>
    </row>
    <row r="52" spans="1:5" x14ac:dyDescent="0.2">
      <c r="A52" s="166" t="s">
        <v>198</v>
      </c>
      <c r="B52" s="202">
        <f>SUM(B37:B42)+SUM(B47:B50)</f>
        <v>0.99999999999999989</v>
      </c>
      <c r="C52" s="202">
        <f>SUM(C37:C42)+SUM(C47:C50)</f>
        <v>1</v>
      </c>
      <c r="D52" s="202">
        <f>SUM(D37:D42)+SUM(D47:D50)</f>
        <v>1</v>
      </c>
      <c r="E52" s="202">
        <f>SUM(E37:E42)+SUM(E47:E50)</f>
        <v>0</v>
      </c>
    </row>
  </sheetData>
  <mergeCells count="9">
    <mergeCell ref="G37:H37"/>
    <mergeCell ref="G40:H40"/>
    <mergeCell ref="G41:H41"/>
    <mergeCell ref="C3:D3"/>
    <mergeCell ref="B5:C5"/>
    <mergeCell ref="G38:H38"/>
    <mergeCell ref="G39:H39"/>
    <mergeCell ref="G35:H35"/>
    <mergeCell ref="G36:H36"/>
  </mergeCells>
  <pageMargins left="0.7" right="0.7" top="0.75" bottom="0.75" header="0.3" footer="0.3"/>
  <pageSetup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7030A0"/>
    <pageSetUpPr fitToPage="1"/>
  </sheetPr>
  <dimension ref="A1:AMJ66"/>
  <sheetViews>
    <sheetView zoomScaleNormal="100" workbookViewId="0">
      <selection activeCell="C15" sqref="C15"/>
    </sheetView>
  </sheetViews>
  <sheetFormatPr defaultColWidth="9.140625" defaultRowHeight="12.75" x14ac:dyDescent="0.2"/>
  <cols>
    <col min="1" max="1024" width="9.140625" style="5"/>
  </cols>
  <sheetData>
    <row r="1" spans="1:20" ht="15.75" x14ac:dyDescent="0.25">
      <c r="A1" s="50" t="s">
        <v>134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</row>
    <row r="2" spans="1:20" ht="15.75" x14ac:dyDescent="0.25">
      <c r="A2" s="50"/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/>
    </row>
    <row r="3" spans="1:20" ht="15.75" x14ac:dyDescent="0.25">
      <c r="A3" s="154" t="s">
        <v>135</v>
      </c>
      <c r="B3" s="155"/>
      <c r="C3" s="155"/>
      <c r="D3" s="155"/>
      <c r="E3" s="155"/>
      <c r="F3" s="155"/>
      <c r="G3" s="155"/>
      <c r="H3" s="155"/>
      <c r="I3" s="155"/>
      <c r="J3" s="155"/>
      <c r="K3" s="155"/>
      <c r="L3" s="155"/>
      <c r="M3" s="155"/>
      <c r="N3" s="155"/>
      <c r="O3" s="155"/>
      <c r="P3" s="155"/>
      <c r="Q3" s="155"/>
      <c r="R3" s="155"/>
      <c r="S3" s="155"/>
      <c r="T3" s="155"/>
    </row>
    <row r="4" spans="1:20" ht="15.75" x14ac:dyDescent="0.25">
      <c r="A4" s="50"/>
      <c r="B4" s="54"/>
      <c r="C4" s="54"/>
      <c r="D4" s="54"/>
      <c r="E4" s="54"/>
      <c r="F4" s="54"/>
      <c r="G4" s="54"/>
      <c r="H4" s="54"/>
      <c r="I4" s="54"/>
      <c r="J4" s="54"/>
      <c r="K4" s="54"/>
      <c r="L4" s="54"/>
      <c r="M4" s="54"/>
      <c r="N4" s="54"/>
      <c r="O4" s="54"/>
      <c r="P4" s="54"/>
      <c r="Q4" s="54"/>
      <c r="R4" s="54"/>
      <c r="S4" s="54"/>
      <c r="T4" s="54"/>
    </row>
    <row r="5" spans="1:20" ht="15" x14ac:dyDescent="0.2">
      <c r="A5" s="156" t="s">
        <v>0</v>
      </c>
      <c r="B5" s="156"/>
      <c r="C5" s="156"/>
      <c r="D5" s="54"/>
      <c r="E5" s="54"/>
      <c r="F5" s="54"/>
      <c r="G5" s="54"/>
      <c r="H5" s="54"/>
      <c r="I5" s="54"/>
      <c r="J5" s="54"/>
      <c r="K5" s="54"/>
      <c r="L5" s="54"/>
      <c r="M5" s="54"/>
      <c r="N5" s="54"/>
      <c r="O5" s="54"/>
      <c r="P5" s="54"/>
      <c r="Q5" s="54"/>
      <c r="R5" s="54"/>
      <c r="S5" s="54"/>
      <c r="T5" s="54"/>
    </row>
    <row r="6" spans="1:20" ht="15" x14ac:dyDescent="0.2">
      <c r="A6" s="54" t="s">
        <v>136</v>
      </c>
      <c r="B6" s="54"/>
      <c r="C6" s="54"/>
      <c r="D6" s="54"/>
      <c r="E6" s="54"/>
      <c r="F6" s="54"/>
      <c r="G6" s="54"/>
      <c r="H6" s="54"/>
      <c r="I6" s="54"/>
      <c r="J6" s="54"/>
      <c r="K6" s="54"/>
      <c r="L6" s="54"/>
      <c r="M6" s="54"/>
      <c r="N6" s="54"/>
      <c r="O6" s="54"/>
      <c r="P6" s="54"/>
      <c r="Q6" s="54"/>
      <c r="R6" s="54"/>
      <c r="S6" s="54"/>
      <c r="T6" s="54"/>
    </row>
    <row r="7" spans="1:20" ht="15" x14ac:dyDescent="0.2">
      <c r="A7" s="54" t="s">
        <v>137</v>
      </c>
      <c r="B7" s="54"/>
      <c r="C7" s="54"/>
      <c r="D7" s="54"/>
      <c r="E7" s="54"/>
      <c r="F7" s="54"/>
      <c r="G7" s="54"/>
      <c r="H7" s="54"/>
      <c r="I7" s="54"/>
      <c r="J7" s="54"/>
      <c r="K7" s="54"/>
      <c r="L7" s="54"/>
      <c r="M7" s="54"/>
      <c r="N7" s="54"/>
      <c r="O7" s="54"/>
      <c r="P7" s="54"/>
      <c r="Q7" s="54"/>
      <c r="R7" s="54"/>
      <c r="S7" s="54"/>
      <c r="T7" s="54"/>
    </row>
    <row r="8" spans="1:20" ht="15" x14ac:dyDescent="0.2">
      <c r="A8" s="54"/>
      <c r="B8" s="54"/>
      <c r="C8" s="54"/>
      <c r="D8" s="54"/>
      <c r="E8" s="54"/>
      <c r="F8" s="54"/>
      <c r="G8" s="54"/>
      <c r="H8" s="54"/>
      <c r="I8" s="54"/>
      <c r="J8" s="54"/>
      <c r="K8" s="54"/>
      <c r="L8" s="54"/>
      <c r="M8" s="54"/>
      <c r="N8" s="54"/>
      <c r="O8" s="54"/>
      <c r="P8" s="54"/>
      <c r="Q8" s="54"/>
      <c r="R8" s="54"/>
      <c r="S8" s="54"/>
      <c r="T8" s="54"/>
    </row>
    <row r="9" spans="1:20" ht="15" x14ac:dyDescent="0.2">
      <c r="A9" s="156" t="s">
        <v>138</v>
      </c>
      <c r="B9" s="156"/>
      <c r="C9" s="156"/>
      <c r="D9" s="156"/>
      <c r="E9" s="156"/>
      <c r="F9" s="156"/>
      <c r="G9" s="54"/>
      <c r="H9" s="54"/>
      <c r="I9" s="54"/>
      <c r="J9" s="54"/>
      <c r="K9" s="54"/>
      <c r="L9" s="54"/>
      <c r="M9" s="54"/>
      <c r="N9" s="54"/>
      <c r="O9" s="54"/>
      <c r="P9" s="54"/>
      <c r="Q9" s="54"/>
      <c r="R9" s="54"/>
      <c r="S9" s="54"/>
      <c r="T9" s="54"/>
    </row>
    <row r="10" spans="1:20" ht="15" x14ac:dyDescent="0.2">
      <c r="A10" s="155" t="s">
        <v>139</v>
      </c>
      <c r="B10" s="155"/>
      <c r="C10" s="155"/>
      <c r="D10" s="155"/>
      <c r="E10" s="155"/>
      <c r="F10" s="155"/>
      <c r="G10" s="155"/>
      <c r="H10" s="155"/>
      <c r="I10" s="155"/>
      <c r="J10" s="155"/>
      <c r="K10" s="155"/>
      <c r="L10" s="155"/>
      <c r="M10" s="155"/>
      <c r="N10" s="155"/>
      <c r="O10" s="155"/>
      <c r="P10" s="155"/>
      <c r="Q10" s="155"/>
      <c r="R10" s="155"/>
      <c r="S10" s="155"/>
      <c r="T10" s="155"/>
    </row>
    <row r="11" spans="1:20" ht="15" x14ac:dyDescent="0.2">
      <c r="A11" s="155" t="s">
        <v>140</v>
      </c>
      <c r="B11" s="155"/>
      <c r="C11" s="155"/>
      <c r="D11" s="155"/>
      <c r="E11" s="155"/>
      <c r="F11" s="155"/>
      <c r="G11" s="155"/>
      <c r="H11" s="155"/>
      <c r="I11" s="155"/>
      <c r="J11" s="155"/>
      <c r="K11" s="155"/>
      <c r="L11" s="155"/>
      <c r="M11" s="155"/>
      <c r="N11" s="155"/>
      <c r="O11" s="155"/>
      <c r="P11" s="155"/>
      <c r="Q11" s="155"/>
      <c r="R11" s="155"/>
      <c r="S11" s="155"/>
      <c r="T11" s="155"/>
    </row>
    <row r="12" spans="1:20" ht="15" x14ac:dyDescent="0.2">
      <c r="A12" s="155" t="s">
        <v>141</v>
      </c>
      <c r="B12" s="155"/>
      <c r="C12" s="155"/>
      <c r="D12" s="155"/>
      <c r="E12" s="155"/>
      <c r="F12" s="155"/>
      <c r="G12" s="155"/>
      <c r="H12" s="155"/>
      <c r="I12" s="155"/>
      <c r="J12" s="155"/>
      <c r="K12" s="155"/>
      <c r="L12" s="155"/>
      <c r="M12" s="155"/>
      <c r="N12" s="155"/>
      <c r="O12" s="155"/>
      <c r="P12" s="155"/>
      <c r="Q12" s="155"/>
      <c r="R12" s="155"/>
      <c r="S12" s="155"/>
      <c r="T12" s="155"/>
    </row>
    <row r="13" spans="1:20" ht="15" x14ac:dyDescent="0.2">
      <c r="A13" s="155" t="s">
        <v>142</v>
      </c>
      <c r="B13" s="155"/>
      <c r="C13" s="155"/>
      <c r="D13" s="155"/>
      <c r="E13" s="155"/>
      <c r="F13" s="155"/>
      <c r="G13" s="155"/>
      <c r="H13" s="155"/>
      <c r="I13" s="155"/>
      <c r="J13" s="155"/>
      <c r="K13" s="155"/>
      <c r="L13" s="155"/>
      <c r="M13" s="155"/>
      <c r="N13" s="155"/>
      <c r="O13" s="155"/>
      <c r="P13" s="155"/>
      <c r="Q13" s="155"/>
      <c r="R13" s="155"/>
      <c r="S13" s="155"/>
      <c r="T13" s="155"/>
    </row>
    <row r="14" spans="1:20" ht="15" x14ac:dyDescent="0.2">
      <c r="A14" s="155" t="s">
        <v>143</v>
      </c>
      <c r="B14" s="155"/>
      <c r="C14" s="155"/>
      <c r="D14" s="155"/>
      <c r="E14" s="155"/>
      <c r="F14" s="155"/>
      <c r="G14" s="155"/>
      <c r="H14" s="155"/>
      <c r="I14" s="155"/>
      <c r="J14" s="155"/>
      <c r="K14" s="155"/>
      <c r="L14" s="155"/>
      <c r="M14" s="155"/>
      <c r="N14" s="155"/>
      <c r="O14" s="155"/>
      <c r="P14" s="155"/>
      <c r="Q14" s="155"/>
      <c r="R14" s="155"/>
      <c r="S14" s="155"/>
      <c r="T14" s="155"/>
    </row>
    <row r="15" spans="1:20" ht="15" x14ac:dyDescent="0.2">
      <c r="A15" s="155" t="s">
        <v>144</v>
      </c>
      <c r="B15" s="155"/>
      <c r="C15" s="155"/>
      <c r="D15" s="155"/>
      <c r="E15" s="155"/>
      <c r="F15" s="155"/>
      <c r="G15" s="155"/>
      <c r="H15" s="155"/>
      <c r="I15" s="155"/>
      <c r="J15" s="155"/>
      <c r="K15" s="155"/>
      <c r="L15" s="155"/>
      <c r="M15" s="155"/>
      <c r="N15" s="155"/>
      <c r="O15" s="155"/>
      <c r="P15" s="155"/>
      <c r="Q15" s="155"/>
      <c r="R15" s="155"/>
      <c r="S15" s="155"/>
      <c r="T15" s="155"/>
    </row>
    <row r="16" spans="1:20" ht="15" x14ac:dyDescent="0.2">
      <c r="A16" s="155" t="s">
        <v>145</v>
      </c>
      <c r="B16" s="155"/>
      <c r="C16" s="155"/>
      <c r="D16" s="155"/>
      <c r="E16" s="155"/>
      <c r="F16" s="155"/>
      <c r="G16" s="155"/>
      <c r="H16" s="155"/>
      <c r="I16" s="155"/>
      <c r="J16" s="155"/>
      <c r="K16" s="155"/>
      <c r="L16" s="155"/>
      <c r="M16" s="155"/>
      <c r="N16" s="155"/>
      <c r="O16" s="155"/>
      <c r="P16" s="155"/>
      <c r="Q16" s="155"/>
      <c r="R16" s="155"/>
      <c r="S16" s="155"/>
      <c r="T16" s="155"/>
    </row>
    <row r="17" spans="1:20" ht="15.75" x14ac:dyDescent="0.25">
      <c r="A17" s="154" t="s">
        <v>146</v>
      </c>
      <c r="B17" s="154"/>
      <c r="C17" s="154"/>
      <c r="D17" s="154"/>
      <c r="E17" s="154"/>
      <c r="F17" s="154"/>
      <c r="G17" s="154"/>
      <c r="H17" s="154"/>
      <c r="I17" s="154"/>
      <c r="J17" s="154"/>
      <c r="K17" s="154"/>
      <c r="L17" s="154"/>
      <c r="M17" s="154"/>
      <c r="N17" s="154"/>
      <c r="O17" s="154"/>
      <c r="P17" s="154"/>
      <c r="Q17" s="154"/>
      <c r="R17" s="154"/>
      <c r="S17" s="154"/>
      <c r="T17" s="154"/>
    </row>
    <row r="18" spans="1:20" ht="15" x14ac:dyDescent="0.2">
      <c r="A18" s="54" t="s">
        <v>147</v>
      </c>
      <c r="B18" s="54"/>
      <c r="C18" s="54"/>
      <c r="D18" s="54"/>
      <c r="E18" s="54"/>
      <c r="F18" s="54"/>
      <c r="G18" s="54"/>
      <c r="H18" s="54"/>
      <c r="I18" s="54"/>
      <c r="J18" s="54"/>
      <c r="K18" s="54"/>
      <c r="L18" s="54"/>
      <c r="M18" s="54"/>
      <c r="N18" s="54"/>
      <c r="O18" s="54"/>
      <c r="P18" s="54"/>
      <c r="Q18" s="54"/>
      <c r="R18" s="54"/>
      <c r="S18" s="54"/>
      <c r="T18" s="54"/>
    </row>
    <row r="19" spans="1:20" ht="15" x14ac:dyDescent="0.2">
      <c r="A19" s="54"/>
      <c r="B19" s="54"/>
      <c r="C19" s="54"/>
      <c r="D19" s="54"/>
      <c r="E19" s="54"/>
      <c r="F19" s="54"/>
      <c r="G19" s="54"/>
      <c r="H19" s="54"/>
      <c r="I19" s="54"/>
      <c r="J19" s="54"/>
      <c r="K19" s="54"/>
      <c r="L19" s="54"/>
      <c r="M19" s="54"/>
      <c r="N19" s="54"/>
      <c r="O19" s="54"/>
      <c r="P19" s="54"/>
      <c r="Q19" s="54"/>
      <c r="R19" s="54"/>
      <c r="S19" s="54"/>
      <c r="T19" s="54"/>
    </row>
    <row r="20" spans="1:20" ht="15.75" x14ac:dyDescent="0.25">
      <c r="A20" s="50" t="s">
        <v>148</v>
      </c>
      <c r="B20" s="50"/>
      <c r="C20" s="50"/>
      <c r="D20" s="54"/>
      <c r="E20" s="54"/>
      <c r="F20" s="54"/>
      <c r="G20" s="54"/>
      <c r="H20" s="54"/>
      <c r="I20" s="54"/>
      <c r="J20" s="54"/>
      <c r="K20" s="54"/>
      <c r="L20" s="54"/>
      <c r="M20" s="54"/>
      <c r="N20" s="54"/>
      <c r="O20" s="54"/>
      <c r="P20" s="54"/>
      <c r="Q20" s="54"/>
      <c r="R20" s="54"/>
      <c r="S20" s="54"/>
      <c r="T20" s="54"/>
    </row>
    <row r="21" spans="1:20" ht="15" x14ac:dyDescent="0.2">
      <c r="A21" s="54"/>
      <c r="B21" s="54"/>
      <c r="C21" s="54"/>
      <c r="D21" s="54"/>
      <c r="E21" s="54"/>
      <c r="F21" s="54"/>
      <c r="G21" s="54"/>
      <c r="H21" s="54"/>
      <c r="I21" s="54"/>
      <c r="J21" s="54"/>
      <c r="K21" s="54"/>
      <c r="L21" s="54"/>
      <c r="M21" s="54"/>
      <c r="N21" s="54"/>
      <c r="O21" s="54"/>
      <c r="P21" s="54"/>
      <c r="Q21" s="54"/>
      <c r="R21" s="54"/>
      <c r="S21" s="54"/>
      <c r="T21" s="54"/>
    </row>
    <row r="22" spans="1:20" ht="15" x14ac:dyDescent="0.2">
      <c r="A22" s="156" t="s">
        <v>149</v>
      </c>
      <c r="B22" s="156"/>
      <c r="C22" s="156"/>
      <c r="D22" s="54"/>
      <c r="E22" s="54"/>
      <c r="F22" s="54"/>
      <c r="G22" s="54"/>
      <c r="H22" s="54"/>
      <c r="I22" s="54"/>
      <c r="J22" s="54"/>
      <c r="K22" s="54"/>
      <c r="L22" s="54"/>
      <c r="M22" s="54"/>
      <c r="N22" s="54"/>
      <c r="O22" s="54"/>
      <c r="P22" s="54"/>
      <c r="Q22" s="54"/>
      <c r="R22" s="54"/>
      <c r="S22" s="54"/>
      <c r="T22" s="54"/>
    </row>
    <row r="23" spans="1:20" ht="15.75" x14ac:dyDescent="0.25">
      <c r="A23" s="155" t="s">
        <v>150</v>
      </c>
      <c r="B23" s="154"/>
      <c r="C23" s="154"/>
      <c r="D23" s="154"/>
      <c r="E23" s="154"/>
      <c r="F23" s="154"/>
      <c r="G23" s="154"/>
      <c r="H23" s="154"/>
      <c r="I23" s="154"/>
      <c r="J23" s="154"/>
      <c r="K23" s="154"/>
      <c r="L23" s="154"/>
      <c r="M23" s="154"/>
      <c r="N23" s="154"/>
      <c r="O23" s="154"/>
      <c r="P23" s="154"/>
      <c r="Q23" s="154"/>
      <c r="R23" s="154"/>
      <c r="S23" s="154"/>
      <c r="T23" s="154"/>
    </row>
    <row r="24" spans="1:20" ht="15.75" x14ac:dyDescent="0.25">
      <c r="A24" s="155" t="s">
        <v>151</v>
      </c>
      <c r="B24" s="154"/>
      <c r="C24" s="154"/>
      <c r="D24" s="154"/>
      <c r="E24" s="154"/>
      <c r="F24" s="154"/>
      <c r="G24" s="154"/>
      <c r="H24" s="154"/>
      <c r="I24" s="154"/>
      <c r="J24" s="154"/>
      <c r="K24" s="154"/>
      <c r="L24" s="154"/>
      <c r="M24" s="154"/>
      <c r="N24" s="154"/>
      <c r="O24" s="154"/>
      <c r="P24" s="154"/>
      <c r="Q24" s="154"/>
      <c r="R24" s="154"/>
      <c r="S24" s="154"/>
      <c r="T24" s="154"/>
    </row>
    <row r="25" spans="1:20" ht="15.75" x14ac:dyDescent="0.25">
      <c r="A25" s="155" t="s">
        <v>152</v>
      </c>
      <c r="B25" s="154"/>
      <c r="C25" s="154"/>
      <c r="D25" s="154"/>
      <c r="E25" s="154"/>
      <c r="F25" s="154"/>
      <c r="G25" s="154"/>
      <c r="H25" s="154"/>
      <c r="I25" s="154"/>
      <c r="J25" s="154"/>
      <c r="K25" s="154"/>
      <c r="L25" s="154"/>
      <c r="M25" s="154"/>
      <c r="N25" s="154"/>
      <c r="O25" s="154"/>
      <c r="P25" s="154"/>
      <c r="Q25" s="154"/>
      <c r="R25" s="154"/>
      <c r="S25" s="154"/>
      <c r="T25" s="154"/>
    </row>
    <row r="26" spans="1:20" ht="15.75" x14ac:dyDescent="0.25">
      <c r="A26" s="155" t="s">
        <v>153</v>
      </c>
      <c r="B26" s="154"/>
      <c r="C26" s="154"/>
      <c r="D26" s="154"/>
      <c r="E26" s="154"/>
      <c r="F26" s="154"/>
      <c r="G26" s="154"/>
      <c r="H26" s="154"/>
      <c r="I26" s="154"/>
      <c r="J26" s="154"/>
      <c r="K26" s="154"/>
      <c r="L26" s="154"/>
      <c r="M26" s="154"/>
      <c r="N26" s="154"/>
      <c r="O26" s="154"/>
      <c r="P26" s="154"/>
      <c r="Q26" s="154"/>
      <c r="R26" s="154"/>
      <c r="S26" s="154"/>
      <c r="T26" s="154"/>
    </row>
    <row r="27" spans="1:20" ht="15.75" x14ac:dyDescent="0.25">
      <c r="A27" s="154" t="s">
        <v>154</v>
      </c>
      <c r="B27" s="154"/>
      <c r="C27" s="154"/>
      <c r="D27" s="154"/>
      <c r="E27" s="154"/>
      <c r="F27" s="154"/>
      <c r="G27" s="154"/>
      <c r="H27" s="154"/>
      <c r="I27" s="154"/>
      <c r="J27" s="154"/>
      <c r="K27" s="154"/>
      <c r="L27" s="154"/>
      <c r="M27" s="154"/>
      <c r="N27" s="154"/>
      <c r="O27" s="154"/>
      <c r="P27" s="154"/>
      <c r="Q27" s="154"/>
      <c r="R27" s="154"/>
      <c r="S27" s="154"/>
      <c r="T27" s="154"/>
    </row>
    <row r="28" spans="1:20" ht="15.75" x14ac:dyDescent="0.25">
      <c r="A28" s="155" t="s">
        <v>155</v>
      </c>
      <c r="B28" s="154"/>
      <c r="C28" s="154"/>
      <c r="D28" s="154"/>
      <c r="E28" s="154"/>
      <c r="F28" s="154"/>
      <c r="G28" s="154"/>
      <c r="H28" s="154"/>
      <c r="I28" s="154"/>
      <c r="J28" s="154"/>
      <c r="K28" s="154"/>
      <c r="L28" s="154"/>
      <c r="M28" s="154"/>
      <c r="N28" s="154"/>
      <c r="O28" s="154"/>
      <c r="P28" s="154"/>
      <c r="Q28" s="154"/>
      <c r="R28" s="154"/>
      <c r="S28" s="154"/>
      <c r="T28" s="154"/>
    </row>
    <row r="29" spans="1:20" ht="15" x14ac:dyDescent="0.2">
      <c r="A29" s="54"/>
      <c r="B29" s="54"/>
      <c r="C29" s="54"/>
      <c r="D29" s="54"/>
      <c r="E29" s="54"/>
      <c r="F29" s="54"/>
      <c r="G29" s="54"/>
      <c r="H29" s="54"/>
      <c r="I29" s="54"/>
      <c r="J29" s="54"/>
      <c r="K29" s="54"/>
      <c r="L29" s="54"/>
      <c r="M29" s="54"/>
      <c r="N29" s="54"/>
      <c r="O29" s="54"/>
      <c r="P29" s="54"/>
      <c r="Q29" s="54"/>
      <c r="R29" s="54"/>
      <c r="S29" s="54"/>
      <c r="T29" s="54"/>
    </row>
    <row r="30" spans="1:20" ht="15" x14ac:dyDescent="0.2">
      <c r="A30" s="156" t="s">
        <v>156</v>
      </c>
      <c r="B30" s="156"/>
      <c r="C30" s="156"/>
      <c r="D30" s="54"/>
      <c r="E30" s="54"/>
      <c r="F30" s="54"/>
      <c r="G30" s="54"/>
      <c r="H30" s="54"/>
      <c r="I30" s="54"/>
      <c r="J30" s="54"/>
      <c r="K30" s="54"/>
      <c r="L30" s="54"/>
      <c r="M30" s="54"/>
      <c r="N30" s="54"/>
      <c r="O30" s="54"/>
      <c r="P30" s="54"/>
      <c r="Q30" s="54"/>
      <c r="R30" s="54"/>
      <c r="S30" s="54"/>
      <c r="T30" s="54"/>
    </row>
    <row r="31" spans="1:20" ht="15" x14ac:dyDescent="0.2">
      <c r="A31" s="54" t="s">
        <v>157</v>
      </c>
      <c r="B31" s="54"/>
      <c r="C31" s="54"/>
      <c r="D31" s="54"/>
      <c r="E31" s="54"/>
      <c r="F31" s="54"/>
      <c r="G31" s="54"/>
      <c r="H31" s="54"/>
      <c r="I31" s="54"/>
      <c r="J31" s="54"/>
      <c r="K31" s="54"/>
      <c r="L31" s="54"/>
      <c r="M31" s="54"/>
      <c r="N31" s="54"/>
      <c r="O31" s="54"/>
      <c r="P31" s="54"/>
      <c r="Q31" s="54"/>
      <c r="R31" s="54"/>
      <c r="S31" s="54"/>
      <c r="T31" s="54"/>
    </row>
    <row r="32" spans="1:20" ht="15.75" x14ac:dyDescent="0.25">
      <c r="A32" s="155" t="s">
        <v>158</v>
      </c>
      <c r="B32" s="154"/>
      <c r="C32" s="154"/>
      <c r="D32" s="154"/>
      <c r="E32" s="154"/>
      <c r="F32" s="154"/>
      <c r="G32" s="154"/>
      <c r="H32" s="154"/>
      <c r="I32" s="154"/>
      <c r="J32" s="154"/>
      <c r="K32" s="154"/>
      <c r="L32" s="154"/>
      <c r="M32" s="154"/>
      <c r="N32" s="154"/>
      <c r="O32" s="154"/>
      <c r="P32" s="154"/>
      <c r="Q32" s="154"/>
      <c r="R32" s="154"/>
      <c r="S32" s="154"/>
      <c r="T32" s="154"/>
    </row>
    <row r="33" spans="1:20" ht="15.75" x14ac:dyDescent="0.25">
      <c r="A33" s="155" t="s">
        <v>159</v>
      </c>
      <c r="B33" s="154"/>
      <c r="C33" s="154"/>
      <c r="D33" s="154"/>
      <c r="E33" s="154"/>
      <c r="F33" s="154"/>
      <c r="G33" s="154"/>
      <c r="H33" s="154"/>
      <c r="I33" s="154"/>
      <c r="J33" s="154"/>
      <c r="K33" s="154"/>
      <c r="L33" s="154"/>
      <c r="M33" s="154"/>
      <c r="N33" s="154"/>
      <c r="O33" s="154"/>
      <c r="P33" s="154"/>
      <c r="Q33" s="154"/>
      <c r="R33" s="154"/>
      <c r="S33" s="154"/>
      <c r="T33" s="154"/>
    </row>
    <row r="34" spans="1:20" ht="15" x14ac:dyDescent="0.2">
      <c r="A34" s="54"/>
      <c r="B34" s="54"/>
      <c r="C34" s="54"/>
      <c r="D34" s="54"/>
      <c r="E34" s="54"/>
      <c r="F34" s="54"/>
      <c r="G34" s="54"/>
      <c r="H34" s="54"/>
      <c r="I34" s="54"/>
      <c r="J34" s="54"/>
      <c r="K34" s="54"/>
      <c r="L34" s="54"/>
      <c r="M34" s="54"/>
      <c r="N34" s="54"/>
      <c r="O34" s="54"/>
      <c r="P34" s="54"/>
      <c r="Q34" s="54"/>
      <c r="R34" s="54"/>
      <c r="S34" s="54"/>
      <c r="T34" s="54"/>
    </row>
    <row r="35" spans="1:20" ht="15" x14ac:dyDescent="0.2">
      <c r="A35" s="156" t="s">
        <v>160</v>
      </c>
      <c r="B35" s="156"/>
      <c r="C35" s="156"/>
      <c r="D35" s="54"/>
      <c r="E35" s="54"/>
      <c r="F35" s="54"/>
      <c r="G35" s="54"/>
      <c r="H35" s="54"/>
      <c r="I35" s="54"/>
      <c r="J35" s="54"/>
      <c r="K35" s="54"/>
      <c r="L35" s="54"/>
      <c r="M35" s="54"/>
      <c r="N35" s="54"/>
      <c r="O35" s="54"/>
      <c r="P35" s="54"/>
      <c r="Q35" s="54"/>
      <c r="R35" s="54"/>
      <c r="S35" s="54"/>
      <c r="T35" s="54"/>
    </row>
    <row r="36" spans="1:20" ht="15" x14ac:dyDescent="0.2">
      <c r="A36" s="54" t="s">
        <v>161</v>
      </c>
      <c r="B36" s="54"/>
      <c r="C36" s="54"/>
      <c r="D36" s="54"/>
      <c r="E36" s="54"/>
      <c r="F36" s="54"/>
      <c r="G36" s="54"/>
      <c r="H36" s="54"/>
      <c r="I36" s="54"/>
      <c r="J36" s="54"/>
      <c r="K36" s="54"/>
      <c r="L36" s="54"/>
      <c r="M36" s="54"/>
      <c r="N36" s="54"/>
      <c r="O36" s="54"/>
      <c r="P36" s="54"/>
      <c r="Q36" s="54"/>
      <c r="R36" s="54"/>
      <c r="S36" s="54"/>
      <c r="T36" s="54"/>
    </row>
    <row r="37" spans="1:20" ht="15" x14ac:dyDescent="0.2">
      <c r="A37" s="54" t="s">
        <v>162</v>
      </c>
      <c r="B37" s="54"/>
      <c r="C37" s="54"/>
      <c r="D37" s="54"/>
      <c r="E37" s="54"/>
      <c r="F37" s="54"/>
      <c r="G37" s="54"/>
      <c r="H37" s="54"/>
      <c r="I37" s="54"/>
      <c r="J37" s="54"/>
      <c r="K37" s="54"/>
      <c r="L37" s="54"/>
      <c r="M37" s="54"/>
      <c r="N37" s="54"/>
      <c r="O37" s="54"/>
      <c r="P37" s="54"/>
      <c r="Q37" s="54"/>
      <c r="R37" s="54"/>
      <c r="S37" s="54"/>
      <c r="T37" s="54"/>
    </row>
    <row r="38" spans="1:20" ht="15" x14ac:dyDescent="0.2">
      <c r="A38" s="54" t="s">
        <v>163</v>
      </c>
      <c r="B38" s="54"/>
      <c r="C38" s="54"/>
      <c r="D38" s="54"/>
      <c r="E38" s="54"/>
      <c r="F38" s="54"/>
      <c r="G38" s="54"/>
      <c r="H38" s="54"/>
      <c r="I38" s="54"/>
      <c r="J38" s="54"/>
      <c r="K38" s="54"/>
      <c r="L38" s="54"/>
      <c r="M38" s="54"/>
      <c r="N38" s="54"/>
      <c r="O38" s="54"/>
      <c r="P38" s="54"/>
      <c r="Q38" s="54"/>
      <c r="R38" s="54"/>
      <c r="S38" s="54"/>
      <c r="T38" s="54"/>
    </row>
    <row r="39" spans="1:20" ht="15" x14ac:dyDescent="0.2">
      <c r="A39" s="54" t="s">
        <v>164</v>
      </c>
      <c r="B39" s="54"/>
      <c r="C39" s="54"/>
      <c r="D39" s="54"/>
      <c r="E39" s="54"/>
      <c r="F39" s="54"/>
      <c r="G39" s="54"/>
      <c r="H39" s="54"/>
      <c r="I39" s="54"/>
      <c r="J39" s="54"/>
      <c r="K39" s="54"/>
      <c r="L39" s="54"/>
      <c r="M39" s="54"/>
      <c r="N39" s="54"/>
      <c r="O39" s="54"/>
      <c r="P39" s="54"/>
      <c r="Q39" s="54"/>
      <c r="R39" s="54"/>
      <c r="S39" s="54"/>
      <c r="T39" s="54"/>
    </row>
    <row r="40" spans="1:20" ht="15" x14ac:dyDescent="0.2">
      <c r="A40" s="54"/>
      <c r="B40" s="54"/>
      <c r="C40" s="54"/>
      <c r="D40" s="54"/>
      <c r="E40" s="54"/>
      <c r="F40" s="54"/>
      <c r="G40" s="54"/>
      <c r="H40" s="54"/>
      <c r="I40" s="54"/>
      <c r="J40" s="54"/>
      <c r="K40" s="54"/>
      <c r="L40" s="54"/>
      <c r="M40" s="54"/>
      <c r="N40" s="54"/>
      <c r="O40" s="54"/>
      <c r="P40" s="54"/>
      <c r="Q40" s="54"/>
      <c r="R40" s="54"/>
      <c r="S40" s="54"/>
      <c r="T40" s="54"/>
    </row>
    <row r="41" spans="1:20" ht="15" x14ac:dyDescent="0.2">
      <c r="A41" s="54"/>
      <c r="B41" s="54"/>
      <c r="C41" s="54"/>
      <c r="D41" s="54"/>
      <c r="E41" s="54"/>
      <c r="F41" s="54"/>
      <c r="G41" s="54"/>
      <c r="H41" s="54"/>
      <c r="I41" s="54"/>
      <c r="J41" s="54"/>
      <c r="K41" s="54"/>
      <c r="L41" s="54"/>
      <c r="M41" s="54"/>
      <c r="N41" s="54"/>
      <c r="O41" s="54"/>
      <c r="P41" s="54"/>
      <c r="Q41" s="54"/>
      <c r="R41" s="54"/>
      <c r="S41" s="54"/>
      <c r="T41" s="54"/>
    </row>
    <row r="42" spans="1:20" ht="15" x14ac:dyDescent="0.2">
      <c r="A42" s="54"/>
      <c r="B42" s="54"/>
      <c r="C42" s="54"/>
      <c r="D42" s="54"/>
      <c r="E42" s="54"/>
      <c r="F42" s="54"/>
      <c r="G42" s="54"/>
      <c r="H42" s="54"/>
      <c r="I42" s="54"/>
      <c r="J42" s="54"/>
      <c r="K42" s="54"/>
      <c r="L42" s="54"/>
      <c r="M42" s="54"/>
      <c r="N42" s="54"/>
      <c r="O42" s="54"/>
      <c r="P42" s="54"/>
      <c r="Q42" s="54"/>
      <c r="R42" s="54"/>
      <c r="S42" s="54"/>
      <c r="T42" s="54"/>
    </row>
    <row r="43" spans="1:20" ht="15" x14ac:dyDescent="0.2">
      <c r="A43" s="54"/>
      <c r="B43" s="54"/>
      <c r="C43" s="54"/>
      <c r="D43" s="54"/>
      <c r="E43" s="54"/>
      <c r="F43" s="54"/>
      <c r="G43" s="54"/>
      <c r="H43" s="54"/>
      <c r="I43" s="54"/>
      <c r="J43" s="54"/>
      <c r="K43" s="54"/>
      <c r="L43" s="54"/>
      <c r="M43" s="54"/>
      <c r="N43" s="54"/>
      <c r="O43" s="54"/>
      <c r="P43" s="54"/>
      <c r="Q43" s="54"/>
      <c r="R43" s="54"/>
      <c r="S43" s="54"/>
      <c r="T43" s="54"/>
    </row>
    <row r="44" spans="1:20" ht="15" x14ac:dyDescent="0.2">
      <c r="A44" s="54"/>
      <c r="B44" s="54"/>
      <c r="C44" s="54"/>
      <c r="D44" s="54"/>
      <c r="E44" s="54"/>
      <c r="F44" s="54"/>
      <c r="G44" s="54"/>
      <c r="H44" s="54"/>
      <c r="I44" s="54"/>
      <c r="J44" s="54"/>
      <c r="K44" s="54"/>
      <c r="L44" s="54"/>
      <c r="M44" s="54"/>
      <c r="N44" s="54"/>
      <c r="O44" s="54"/>
      <c r="P44" s="54"/>
      <c r="Q44" s="54"/>
      <c r="R44" s="54"/>
      <c r="S44" s="54"/>
      <c r="T44" s="54"/>
    </row>
    <row r="45" spans="1:20" ht="15" x14ac:dyDescent="0.2">
      <c r="A45" s="54"/>
      <c r="B45" s="54"/>
      <c r="C45" s="54"/>
      <c r="D45" s="54"/>
      <c r="E45" s="54"/>
      <c r="F45" s="54"/>
      <c r="G45" s="54"/>
      <c r="H45" s="54"/>
      <c r="I45" s="54"/>
      <c r="J45" s="54"/>
      <c r="K45" s="54"/>
      <c r="L45" s="54"/>
      <c r="M45" s="54"/>
      <c r="N45" s="54"/>
      <c r="O45" s="54"/>
      <c r="P45" s="54"/>
      <c r="Q45" s="54"/>
      <c r="R45" s="54"/>
      <c r="S45" s="54"/>
      <c r="T45" s="54"/>
    </row>
    <row r="46" spans="1:20" ht="15" x14ac:dyDescent="0.2">
      <c r="A46" s="54"/>
      <c r="B46" s="54"/>
      <c r="C46" s="54"/>
      <c r="D46" s="54"/>
      <c r="E46" s="54"/>
      <c r="F46" s="54"/>
      <c r="G46" s="54"/>
      <c r="H46" s="54"/>
      <c r="I46" s="54"/>
      <c r="J46" s="54"/>
      <c r="K46" s="54"/>
      <c r="L46" s="54"/>
      <c r="M46" s="54"/>
      <c r="N46" s="54"/>
      <c r="O46" s="54"/>
      <c r="P46" s="54"/>
      <c r="Q46" s="54"/>
      <c r="R46" s="54"/>
      <c r="S46" s="54"/>
      <c r="T46" s="54"/>
    </row>
    <row r="47" spans="1:20" ht="15" x14ac:dyDescent="0.2">
      <c r="A47" s="54"/>
      <c r="B47" s="54"/>
      <c r="C47" s="54"/>
      <c r="D47" s="54"/>
      <c r="E47" s="54"/>
      <c r="F47" s="54"/>
      <c r="G47" s="54"/>
      <c r="H47" s="54"/>
      <c r="I47" s="54"/>
      <c r="J47" s="54"/>
      <c r="K47" s="54"/>
      <c r="L47" s="54"/>
      <c r="M47" s="54"/>
      <c r="N47" s="54"/>
      <c r="O47" s="54"/>
      <c r="P47" s="54"/>
      <c r="Q47" s="54"/>
      <c r="R47" s="54"/>
      <c r="S47" s="54"/>
      <c r="T47" s="54"/>
    </row>
    <row r="48" spans="1:20" ht="15" x14ac:dyDescent="0.2">
      <c r="A48" s="54"/>
      <c r="B48" s="54"/>
      <c r="C48" s="54"/>
      <c r="D48" s="54"/>
      <c r="E48" s="54"/>
      <c r="F48" s="54"/>
      <c r="G48" s="54"/>
      <c r="H48" s="54"/>
      <c r="I48" s="54"/>
      <c r="J48" s="54"/>
      <c r="K48" s="54"/>
      <c r="L48" s="54"/>
      <c r="M48" s="54"/>
      <c r="N48" s="54"/>
      <c r="O48" s="54"/>
      <c r="P48" s="54"/>
      <c r="Q48" s="54"/>
      <c r="R48" s="54"/>
      <c r="S48" s="54"/>
      <c r="T48" s="54"/>
    </row>
    <row r="49" spans="1:20" ht="15" x14ac:dyDescent="0.2">
      <c r="A49" s="54"/>
      <c r="B49" s="54"/>
      <c r="C49" s="54"/>
      <c r="D49" s="54"/>
      <c r="E49" s="54"/>
      <c r="F49" s="54"/>
      <c r="G49" s="54"/>
      <c r="H49" s="54"/>
      <c r="I49" s="54"/>
      <c r="J49" s="54"/>
      <c r="K49" s="54"/>
      <c r="L49" s="54"/>
      <c r="M49" s="54"/>
      <c r="N49" s="54"/>
      <c r="O49" s="54"/>
      <c r="P49" s="54"/>
      <c r="Q49" s="54"/>
      <c r="R49" s="54"/>
      <c r="S49" s="54"/>
      <c r="T49" s="54"/>
    </row>
    <row r="50" spans="1:20" ht="15" x14ac:dyDescent="0.2">
      <c r="A50" s="54"/>
      <c r="B50" s="54"/>
      <c r="C50" s="54"/>
      <c r="D50" s="54"/>
      <c r="E50" s="54"/>
      <c r="F50" s="54"/>
      <c r="G50" s="54"/>
      <c r="H50" s="54"/>
      <c r="I50" s="54"/>
      <c r="J50" s="54"/>
      <c r="K50" s="54"/>
      <c r="L50" s="54"/>
      <c r="M50" s="54"/>
      <c r="N50" s="54"/>
      <c r="O50" s="54"/>
      <c r="P50" s="54"/>
      <c r="Q50" s="54"/>
      <c r="R50" s="54"/>
      <c r="S50" s="54"/>
      <c r="T50" s="54"/>
    </row>
    <row r="51" spans="1:20" ht="15" x14ac:dyDescent="0.2">
      <c r="A51" s="54"/>
      <c r="B51" s="54"/>
      <c r="C51" s="54"/>
      <c r="D51" s="54"/>
      <c r="E51" s="54"/>
      <c r="F51" s="54"/>
      <c r="G51" s="54"/>
      <c r="H51" s="54"/>
      <c r="I51" s="54"/>
      <c r="J51" s="54"/>
      <c r="K51" s="54"/>
      <c r="L51" s="54"/>
      <c r="M51" s="54"/>
      <c r="N51" s="54"/>
      <c r="O51" s="54"/>
      <c r="P51" s="54"/>
      <c r="Q51" s="54"/>
      <c r="R51" s="54"/>
      <c r="S51" s="54"/>
      <c r="T51" s="54"/>
    </row>
    <row r="52" spans="1:20" ht="15" x14ac:dyDescent="0.2">
      <c r="A52" s="54"/>
      <c r="B52" s="54"/>
      <c r="C52" s="54"/>
      <c r="D52" s="54"/>
      <c r="E52" s="54"/>
      <c r="F52" s="54"/>
      <c r="G52" s="54"/>
      <c r="H52" s="54"/>
      <c r="I52" s="54"/>
      <c r="J52" s="54"/>
      <c r="K52" s="54"/>
      <c r="L52" s="54"/>
      <c r="M52" s="54"/>
      <c r="N52" s="54"/>
      <c r="O52" s="54"/>
      <c r="P52" s="54"/>
      <c r="Q52" s="54"/>
      <c r="R52" s="54"/>
      <c r="S52" s="54"/>
      <c r="T52" s="54"/>
    </row>
    <row r="53" spans="1:20" ht="15" x14ac:dyDescent="0.2">
      <c r="A53" s="54"/>
      <c r="B53" s="54"/>
      <c r="C53" s="54"/>
      <c r="D53" s="54"/>
      <c r="E53" s="54"/>
      <c r="F53" s="54"/>
      <c r="G53" s="54"/>
      <c r="H53" s="54"/>
      <c r="I53" s="54"/>
      <c r="J53" s="54"/>
      <c r="K53" s="54"/>
      <c r="L53" s="54"/>
      <c r="M53" s="54"/>
      <c r="N53" s="54"/>
      <c r="O53" s="54"/>
      <c r="P53" s="54"/>
      <c r="Q53" s="54"/>
      <c r="R53" s="54"/>
      <c r="S53" s="54"/>
      <c r="T53" s="54"/>
    </row>
    <row r="54" spans="1:20" ht="15" x14ac:dyDescent="0.2">
      <c r="A54" s="54"/>
      <c r="B54" s="54"/>
      <c r="C54" s="54"/>
      <c r="D54" s="54"/>
      <c r="E54" s="54"/>
      <c r="F54" s="54"/>
      <c r="G54" s="54"/>
      <c r="H54" s="54"/>
      <c r="I54" s="54"/>
      <c r="J54" s="54"/>
      <c r="K54" s="54"/>
      <c r="L54" s="54"/>
      <c r="M54" s="54"/>
      <c r="N54" s="54"/>
      <c r="O54" s="54"/>
      <c r="P54" s="54"/>
      <c r="Q54" s="54"/>
      <c r="R54" s="54"/>
      <c r="S54" s="54"/>
      <c r="T54" s="54"/>
    </row>
    <row r="55" spans="1:20" ht="15" x14ac:dyDescent="0.2">
      <c r="A55" s="54"/>
      <c r="B55" s="54"/>
      <c r="C55" s="54"/>
      <c r="D55" s="54"/>
      <c r="E55" s="54"/>
      <c r="F55" s="54"/>
      <c r="G55" s="54"/>
      <c r="H55" s="54"/>
      <c r="I55" s="54"/>
      <c r="J55" s="54"/>
      <c r="K55" s="54"/>
      <c r="L55" s="54"/>
      <c r="M55" s="54"/>
      <c r="N55" s="54"/>
      <c r="O55" s="54"/>
      <c r="P55" s="54"/>
      <c r="Q55" s="54"/>
      <c r="R55" s="54"/>
      <c r="S55" s="54"/>
      <c r="T55" s="54"/>
    </row>
    <row r="56" spans="1:20" ht="15" x14ac:dyDescent="0.2">
      <c r="A56" s="54"/>
      <c r="B56" s="54"/>
      <c r="C56" s="54"/>
      <c r="D56" s="54"/>
      <c r="E56" s="54"/>
      <c r="F56" s="54"/>
      <c r="G56" s="54"/>
      <c r="H56" s="54"/>
      <c r="I56" s="54"/>
      <c r="J56" s="54"/>
      <c r="K56" s="54"/>
      <c r="L56" s="54"/>
      <c r="M56" s="54"/>
      <c r="N56" s="54"/>
      <c r="O56" s="54"/>
      <c r="P56" s="54"/>
      <c r="Q56" s="54"/>
      <c r="R56" s="54"/>
      <c r="S56" s="54"/>
      <c r="T56" s="54"/>
    </row>
    <row r="57" spans="1:20" ht="15" x14ac:dyDescent="0.2">
      <c r="A57" s="54"/>
      <c r="B57" s="54"/>
      <c r="C57" s="54"/>
      <c r="D57" s="54"/>
      <c r="E57" s="54"/>
      <c r="F57" s="54"/>
      <c r="G57" s="54"/>
      <c r="H57" s="54"/>
      <c r="I57" s="54"/>
      <c r="J57" s="54"/>
      <c r="K57" s="54"/>
      <c r="L57" s="54"/>
      <c r="M57" s="54"/>
      <c r="N57" s="54"/>
      <c r="O57" s="54"/>
      <c r="P57" s="54"/>
      <c r="Q57" s="54"/>
      <c r="R57" s="54"/>
      <c r="S57" s="54"/>
      <c r="T57" s="54"/>
    </row>
    <row r="58" spans="1:20" ht="15" x14ac:dyDescent="0.2">
      <c r="A58" s="54"/>
      <c r="B58" s="54"/>
      <c r="C58" s="54"/>
      <c r="D58" s="54"/>
      <c r="E58" s="54"/>
      <c r="F58" s="54"/>
      <c r="G58" s="54"/>
      <c r="H58" s="54"/>
      <c r="I58" s="54"/>
      <c r="J58" s="54"/>
      <c r="K58" s="54"/>
      <c r="L58" s="54"/>
      <c r="M58" s="54"/>
      <c r="N58" s="54"/>
      <c r="O58" s="54"/>
      <c r="P58" s="54"/>
      <c r="Q58" s="54"/>
      <c r="R58" s="54"/>
      <c r="S58" s="54"/>
      <c r="T58" s="54"/>
    </row>
    <row r="59" spans="1:20" ht="15" x14ac:dyDescent="0.2">
      <c r="A59" s="54"/>
      <c r="B59" s="54"/>
      <c r="C59" s="54"/>
      <c r="D59" s="54"/>
      <c r="E59" s="54"/>
      <c r="F59" s="54"/>
      <c r="G59" s="54"/>
      <c r="H59" s="54"/>
      <c r="I59" s="54"/>
      <c r="J59" s="54"/>
      <c r="K59" s="54"/>
      <c r="L59" s="54"/>
      <c r="M59" s="54"/>
      <c r="N59" s="54"/>
      <c r="O59" s="54"/>
      <c r="P59" s="54"/>
      <c r="Q59" s="54"/>
      <c r="R59" s="54"/>
      <c r="S59" s="54"/>
      <c r="T59" s="54"/>
    </row>
    <row r="60" spans="1:20" ht="15" x14ac:dyDescent="0.2">
      <c r="A60" s="54"/>
      <c r="B60" s="54"/>
      <c r="C60" s="54"/>
      <c r="D60" s="54"/>
      <c r="E60" s="54"/>
      <c r="F60" s="54"/>
      <c r="G60" s="54"/>
      <c r="H60" s="54"/>
      <c r="I60" s="54"/>
      <c r="J60" s="54"/>
      <c r="K60" s="54"/>
      <c r="L60" s="54"/>
      <c r="M60" s="54"/>
      <c r="N60" s="54"/>
      <c r="O60" s="54"/>
      <c r="P60" s="54"/>
      <c r="Q60" s="54"/>
      <c r="R60" s="54"/>
      <c r="S60" s="54"/>
      <c r="T60" s="54"/>
    </row>
    <row r="61" spans="1:20" ht="15" x14ac:dyDescent="0.2">
      <c r="A61" s="54"/>
      <c r="B61" s="54"/>
      <c r="C61" s="54"/>
      <c r="D61" s="54"/>
      <c r="E61" s="54"/>
      <c r="F61" s="54"/>
      <c r="G61" s="54"/>
      <c r="H61" s="54"/>
      <c r="I61" s="54"/>
      <c r="J61" s="54"/>
      <c r="K61" s="54"/>
      <c r="L61" s="54"/>
      <c r="M61" s="54"/>
      <c r="N61" s="54"/>
      <c r="O61" s="54"/>
      <c r="P61" s="54"/>
      <c r="Q61" s="54"/>
      <c r="R61" s="54"/>
      <c r="S61" s="54"/>
      <c r="T61" s="54"/>
    </row>
    <row r="62" spans="1:20" ht="15" x14ac:dyDescent="0.2">
      <c r="A62" s="54"/>
      <c r="B62" s="54"/>
      <c r="C62" s="54"/>
      <c r="D62" s="54"/>
      <c r="E62" s="54"/>
      <c r="F62" s="54"/>
      <c r="G62" s="54"/>
      <c r="H62" s="54"/>
      <c r="I62" s="54"/>
      <c r="J62" s="54"/>
      <c r="K62" s="54"/>
      <c r="L62" s="54"/>
      <c r="M62" s="54"/>
      <c r="N62" s="54"/>
      <c r="O62" s="54"/>
      <c r="P62" s="54"/>
      <c r="Q62" s="54"/>
      <c r="R62" s="54"/>
      <c r="S62" s="54"/>
      <c r="T62" s="54"/>
    </row>
    <row r="63" spans="1:20" ht="15" x14ac:dyDescent="0.2">
      <c r="A63" s="54"/>
      <c r="B63" s="54"/>
      <c r="C63" s="54"/>
      <c r="D63" s="54"/>
      <c r="E63" s="54"/>
      <c r="F63" s="54"/>
      <c r="G63" s="54"/>
      <c r="H63" s="54"/>
      <c r="I63" s="54"/>
      <c r="J63" s="54"/>
      <c r="K63" s="54"/>
      <c r="L63" s="54"/>
      <c r="M63" s="54"/>
      <c r="N63" s="54"/>
      <c r="O63" s="54"/>
      <c r="P63" s="54"/>
      <c r="Q63" s="54"/>
      <c r="R63" s="54"/>
      <c r="S63" s="54"/>
      <c r="T63" s="54"/>
    </row>
    <row r="64" spans="1:20" ht="15" x14ac:dyDescent="0.2">
      <c r="A64" s="54"/>
      <c r="B64" s="54"/>
      <c r="C64" s="54"/>
      <c r="D64" s="54"/>
      <c r="E64" s="54"/>
      <c r="F64" s="54"/>
      <c r="G64" s="54"/>
      <c r="H64" s="54"/>
      <c r="I64" s="54"/>
      <c r="J64" s="54"/>
      <c r="K64" s="54"/>
      <c r="L64" s="54"/>
      <c r="M64" s="54"/>
      <c r="N64" s="54"/>
      <c r="O64" s="54"/>
      <c r="P64" s="54"/>
      <c r="Q64" s="54"/>
      <c r="R64" s="54"/>
      <c r="S64" s="54"/>
      <c r="T64" s="54"/>
    </row>
    <row r="65" spans="1:20" ht="15" x14ac:dyDescent="0.2">
      <c r="A65" s="54"/>
      <c r="B65" s="54"/>
      <c r="C65" s="54"/>
      <c r="D65" s="54"/>
      <c r="E65" s="54"/>
      <c r="F65" s="54"/>
      <c r="G65" s="54"/>
      <c r="H65" s="54"/>
      <c r="I65" s="54"/>
      <c r="J65" s="54"/>
      <c r="K65" s="54"/>
      <c r="L65" s="54"/>
      <c r="M65" s="54"/>
      <c r="N65" s="54"/>
      <c r="O65" s="54"/>
      <c r="P65" s="54"/>
      <c r="Q65" s="54"/>
      <c r="R65" s="54"/>
      <c r="S65" s="54"/>
      <c r="T65" s="54"/>
    </row>
    <row r="66" spans="1:20" ht="15" x14ac:dyDescent="0.2">
      <c r="A66" s="54"/>
      <c r="B66" s="54"/>
      <c r="C66" s="54"/>
      <c r="D66" s="54"/>
      <c r="E66" s="54"/>
      <c r="F66" s="54"/>
      <c r="G66" s="54"/>
      <c r="H66" s="54"/>
      <c r="I66" s="54"/>
      <c r="J66" s="54"/>
      <c r="K66" s="54"/>
      <c r="L66" s="54"/>
      <c r="M66" s="54"/>
      <c r="N66" s="54"/>
      <c r="O66" s="54"/>
      <c r="P66" s="54"/>
      <c r="Q66" s="54"/>
      <c r="R66" s="54"/>
      <c r="S66" s="54"/>
      <c r="T66" s="54"/>
    </row>
  </sheetData>
  <pageMargins left="0" right="0" top="0.74791666666666701" bottom="0" header="0.51180555555555496" footer="0.51180555555555496"/>
  <pageSetup firstPageNumber="0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7030A0"/>
  </sheetPr>
  <dimension ref="A1:B17"/>
  <sheetViews>
    <sheetView zoomScaleNormal="100" workbookViewId="0">
      <selection activeCell="C20" sqref="C20"/>
    </sheetView>
  </sheetViews>
  <sheetFormatPr defaultColWidth="8.7109375" defaultRowHeight="12.75" x14ac:dyDescent="0.2"/>
  <cols>
    <col min="1" max="1" width="18.85546875" customWidth="1"/>
    <col min="2" max="2" width="39.7109375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 s="2" t="s">
        <v>5</v>
      </c>
      <c r="B2" s="3" t="s">
        <v>233</v>
      </c>
    </row>
    <row r="3" spans="1:2" x14ac:dyDescent="0.2">
      <c r="A3" s="4" t="s">
        <v>168</v>
      </c>
      <c r="B3" s="3" t="s">
        <v>230</v>
      </c>
    </row>
    <row r="4" spans="1:2" x14ac:dyDescent="0.2">
      <c r="A4" s="2" t="s">
        <v>229</v>
      </c>
      <c r="B4" s="3" t="s">
        <v>232</v>
      </c>
    </row>
    <row r="5" spans="1:2" x14ac:dyDescent="0.2">
      <c r="A5" s="4" t="s">
        <v>4</v>
      </c>
      <c r="B5" s="3" t="s">
        <v>231</v>
      </c>
    </row>
    <row r="6" spans="1:2" x14ac:dyDescent="0.2">
      <c r="A6" s="2" t="s">
        <v>6</v>
      </c>
      <c r="B6" s="3" t="s">
        <v>6</v>
      </c>
    </row>
    <row r="8" spans="1:2" x14ac:dyDescent="0.2">
      <c r="A8" s="1" t="s">
        <v>7</v>
      </c>
    </row>
    <row r="9" spans="1:2" x14ac:dyDescent="0.2">
      <c r="A9" s="2" t="s">
        <v>8</v>
      </c>
    </row>
    <row r="10" spans="1:2" x14ac:dyDescent="0.2">
      <c r="A10" s="2" t="s">
        <v>9</v>
      </c>
    </row>
    <row r="11" spans="1:2" x14ac:dyDescent="0.2">
      <c r="A11" s="2" t="s">
        <v>10</v>
      </c>
    </row>
    <row r="12" spans="1:2" x14ac:dyDescent="0.2">
      <c r="A12" s="2" t="s">
        <v>11</v>
      </c>
    </row>
    <row r="15" spans="1:2" x14ac:dyDescent="0.2">
      <c r="A15" s="224" t="s">
        <v>12</v>
      </c>
    </row>
    <row r="16" spans="1:2" x14ac:dyDescent="0.2">
      <c r="A16" s="190" t="s">
        <v>201</v>
      </c>
      <c r="B16" s="3" t="s">
        <v>13</v>
      </c>
    </row>
    <row r="17" spans="1:2" x14ac:dyDescent="0.2">
      <c r="A17" s="190" t="s">
        <v>202</v>
      </c>
      <c r="B17" s="3" t="s">
        <v>14</v>
      </c>
    </row>
  </sheetData>
  <pageMargins left="0.7" right="0.7" top="0.75" bottom="0.75" header="0.51180555555555496" footer="0.51180555555555496"/>
  <pageSetup firstPageNumber="0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E85F8238B5DC742BC30E5FB4419FBE6" ma:contentTypeVersion="16" ma:contentTypeDescription="Create a new document." ma:contentTypeScope="" ma:versionID="aaebefffc51b8d6d68889b96fdc4b018">
  <xsd:schema xmlns:xsd="http://www.w3.org/2001/XMLSchema" xmlns:xs="http://www.w3.org/2001/XMLSchema" xmlns:p="http://schemas.microsoft.com/office/2006/metadata/properties" xmlns:ns2="cd5354a3-f99f-4f42-8b1f-340f91aafe36" xmlns:ns3="8f76a743-ed14-4761-9ec0-7e18b039b41e" targetNamespace="http://schemas.microsoft.com/office/2006/metadata/properties" ma:root="true" ma:fieldsID="f6e507b076c724085c60c45771fe64f7" ns2:_="" ns3:_="">
    <xsd:import namespace="cd5354a3-f99f-4f42-8b1f-340f91aafe36"/>
    <xsd:import namespace="8f76a743-ed14-4761-9ec0-7e18b039b41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d5354a3-f99f-4f42-8b1f-340f91aafe3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2" nillable="true" ma:displayName="Length (seconds)" ma:internalName="MediaLengthInSeconds" ma:readOnly="true">
      <xsd:simpleType>
        <xsd:restriction base="dms:Unknown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a3270ac7-96db-4adc-a827-f1593f06c3d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f76a743-ed14-4761-9ec0-7e18b039b41e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87f42502-c71e-4417-a740-2dc23f581b7c}" ma:internalName="TaxCatchAll" ma:showField="CatchAllData" ma:web="8f76a743-ed14-4761-9ec0-7e18b039b41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d5354a3-f99f-4f42-8b1f-340f91aafe36">
      <Terms xmlns="http://schemas.microsoft.com/office/infopath/2007/PartnerControls"/>
    </lcf76f155ced4ddcb4097134ff3c332f>
    <TaxCatchAll xmlns="8f76a743-ed14-4761-9ec0-7e18b039b41e" xsi:nil="true"/>
  </documentManagement>
</p:properties>
</file>

<file path=customXml/itemProps1.xml><?xml version="1.0" encoding="utf-8"?>
<ds:datastoreItem xmlns:ds="http://schemas.openxmlformats.org/officeDocument/2006/customXml" ds:itemID="{49E09753-B36C-4AA1-9386-389648B0339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d5354a3-f99f-4f42-8b1f-340f91aafe36"/>
    <ds:schemaRef ds:uri="8f76a743-ed14-4761-9ec0-7e18b039b41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2458E5A-3C2B-4DF6-B214-8E0248B0BD9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0D12B09-C157-46DF-BEF4-BEAA3160AF0F}">
  <ds:schemaRefs>
    <ds:schemaRef ds:uri="http://schemas.microsoft.com/office/2006/metadata/properties"/>
    <ds:schemaRef ds:uri="http://schemas.microsoft.com/office/infopath/2007/PartnerControls"/>
    <ds:schemaRef ds:uri="cd5354a3-f99f-4f42-8b1f-340f91aafe36"/>
    <ds:schemaRef ds:uri="8f76a743-ed14-4761-9ec0-7e18b039b41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</vt:i4>
      </vt:variant>
    </vt:vector>
  </HeadingPairs>
  <TitlesOfParts>
    <vt:vector size="9" baseType="lpstr">
      <vt:lpstr>Hilly Acres Farm Ltd.</vt:lpstr>
      <vt:lpstr>Declaration Summary</vt:lpstr>
      <vt:lpstr>Grade out Information</vt:lpstr>
      <vt:lpstr>Bird Inventory</vt:lpstr>
      <vt:lpstr>Pallet Information</vt:lpstr>
      <vt:lpstr>Inputs</vt:lpstr>
      <vt:lpstr>Procedures</vt:lpstr>
      <vt:lpstr>Producer Number</vt:lpstr>
      <vt:lpstr>Procedures!Print_Area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Danita</dc:creator>
  <dc:description/>
  <cp:lastModifiedBy>April McIlvaney</cp:lastModifiedBy>
  <cp:revision>3</cp:revision>
  <cp:lastPrinted>2025-11-03T14:48:08Z</cp:lastPrinted>
  <dcterms:created xsi:type="dcterms:W3CDTF">2019-08-23T14:41:05Z</dcterms:created>
  <dcterms:modified xsi:type="dcterms:W3CDTF">2025-11-10T15:17:24Z</dcterms:modified>
  <dc:language>en-CA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0x0101004E85F8238B5DC742BC30E5FB4419FBE6</vt:lpwstr>
  </property>
  <property fmtid="{D5CDD505-2E9C-101B-9397-08002B2CF9AE}" pid="3" name="MediaServiceImageTags">
    <vt:lpwstr/>
  </property>
</Properties>
</file>