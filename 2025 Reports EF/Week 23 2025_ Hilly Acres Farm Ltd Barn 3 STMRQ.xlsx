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6E2212C-04A6-406E-A1C0-430AA716C80D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<sst xmlns="http://schemas.openxmlformats.org/spreadsheetml/2006/main" count="493" uniqueCount="239">
  <si>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</si>
  <si>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</si>
  <si>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</si>
  <si>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</si>
  <si>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</si>
  <si>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</si>
  <si>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</si>
  <si>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</si>
  <si>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</si>
  <si>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</si>
  <si>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</si>
  <si>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</si>
  <si>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</si>
  <si>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</si>
  <si>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</si>
  <si>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</si>
  <si>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</si>
  <si>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</si>
  <si>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</si>
  <si>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</si>
  <si>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</si>
  <si>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</si>
  <si>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</si>
  <si>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</si>
  <si>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</si>
  <si>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</si>
  <si>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</si>
  <si>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</si>
  <si>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</si>
  <si>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</si>
  <si>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</si>
  <si>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</si>
  <si>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</si>
  <si>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</si>
  <si>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</si>
  <si>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</si>
  <si>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</si>
  <si>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</si>
  <si>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</si>
  <si>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</si>
  <si>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</si>
  <si>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</si>
  <si>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</si>
  <si>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</si>
  <si>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</si>
  <si>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</si>
  <si>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</si>
  <si>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</si>
  <si>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</si>
  <si>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</si>
  <si>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</si>
  <si>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</si>
  <si>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</si>
  <si>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</si>
  <si>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</si>
  <si>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</si>
  <si>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</si>
  <si>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</si>
  <si>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</si>
  <si>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</si>
  <si>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</si>
  <si>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</si>
  <si>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</si>
  <si>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</si>
  <si>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</si>
  <si>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</si>
  <si>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</si>
  <si>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</si>
  <si>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</si>
  <si>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</si>
  <si>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</si>
  <si>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</si>
  <si>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</si>
  <si>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</si>
  <si>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</si>
  <si>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</si>
  <si>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</si>
  <si>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</si>
  <si>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</si>
  <si>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</si>
  <si>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</si>
  <si>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</si>
  <si>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</si>
  <si>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</si>
  <si>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</si>
  <si>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</si>
  <si>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</si>
  <si>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</si>
  <si>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</si>
  <si>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</si>
  <si>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</si>
  <si>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</si>
  <si>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</si>
  <si>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</si>
  <si>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</si>
  <si>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</si>
  <si>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</si>
  <si>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</si>
  <si>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</si>
  <si>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</si>
  <si>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</si>
  <si>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</si>
  <si>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</si>
  <si>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</si>
  <si>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</si>
  <si>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</si>
  <si>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</si>
  <si>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</si>
  <si>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</si>
  <si>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</si>
  <si>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</si>
  <si>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</si>
  <si>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</si>
  <si>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</si>
  <si>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</si>
  <si>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</si>
  <si>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</si>
  <si>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</si>
  <si>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</si>
  <si>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</si>
  <si>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</si>
  <si>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</si>
  <si>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</si>
  <si>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</si>
  <si>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</si>
  <si>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</si>
  <si>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</si>
  <si>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</si>
  <si>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</si>
  <si>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</si>
  <si>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</si>
  <si>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</si>
  <si>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</si>
  <si>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</si>
  <si>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</si>
  <si>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</si>
  <si>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</si>
  <si>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</si>
  <si>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</si>
  <si>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</si>
  <si>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</si>
  <si>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</si>
  <si>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</si>
  <si>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</si>
  <si>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</si>
  <si>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</si>
  <si>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</si>
  <si>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</si>
  <si>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</si>
  <si>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</si>
  <si>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</si>
  <si>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</si>
  <si>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</si>
  <si>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</si>
  <si>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</si>
  <si>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</si>
  <si>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</si>
  <si>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</si>
  <si>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</si>
  <si>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</si>
  <si>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</si>
  <si>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</si>
  <si>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</si>
  <si>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</si>
  <si>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</si>
  <si>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</si>
  <si>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</si>
  <si>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</si>
  <si>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</si>
  <si>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</si>
  <si>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</si>
  <si>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</si>
  <si>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</si>
  <si>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</si>
  <si>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</si>
  <si>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</si>
  <si>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</si>
  <si>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</si>
  <si>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</si>
  <si>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</si>
  <si>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</si>
  <si>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</si>
  <si>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</si>
  <si>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</si>
  <si>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</si>
  <si>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</si>
  <si>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</si>
  <si>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</si>
  <si>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</si>
  <si>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</si>
  <si>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</si>
  <si>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</si>
  <si>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</si>
  <si>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</si>
  <si>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</si>
  <si>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</si>
  <si>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</si>
  <si>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</si>
  <si>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</si>
  <si>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</si>
  <si>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</si>
  <si>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</si>
  <si>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</si>
  <si>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</si>
  <si>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</si>
  <si>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</si>
  <si>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</si>
  <si>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</si>
  <si>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</si>
  <si>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</si>
  <si>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</si>
  <si>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</si>
  <si>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</si>
  <si>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</si>
  <si>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</si>
  <si>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</si>
  <si>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</si>
  <si>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</si>
  <si>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</si>
  <si>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</si>
  <si>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</si>
  <si>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</si>
  <si>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</si>
  <si>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</si>
  <si>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</si>
  <si>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</si>
  <si>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</si>
  <si>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</si>
  <si>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</si>
  <si>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</si>
  <si>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</si>
  <si>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</si>
  <si>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</si>
  <si>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</si>
  <si>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</si>
  <si>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</si>
  <si>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</si>
  <si>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</si>
  <si>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June 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</si>
</sst>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23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45816.25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11115.383474092674</v>
      </c>
      <c r="I7" s="27">
        <v>0</v>
      </c>
      <c r="J7" s="26">
        <f>IFERROR(H7-I7,"")</f>
        <v>11115.383474092674</v>
      </c>
      <c r="K7" s="26">
        <f>IFERROR(($E$26/($H$27+$H$28)*$H$27)*R28,"")</f>
        <v>55.57691737046337</v>
      </c>
      <c r="L7" s="26">
        <f>IFERROR(($E$26/($H$27+$H$28)*$H$27)*S28,"")</f>
        <v>22.230766948185348</v>
      </c>
      <c r="M7" s="28">
        <f>IFERROR(K7+L7,"")</f>
        <v>77.807684318648711</v>
      </c>
      <c r="N7" s="29">
        <f>IFERROR(O7+P7+Q7+R7+S7+T7+U7+V7,"")</f>
        <v>11037.575789774026</v>
      </c>
      <c r="O7" s="26">
        <f t="shared" ref="O7:V7" si="0">IFERROR(($E$26/($H$27+$H$28)*$H$27)*J28,"")</f>
        <v>1100.4229639351747</v>
      </c>
      <c r="P7" s="26">
        <f>IFERROR(($E$26/($H$27+$H$28)*$H$27)*K28,"")</f>
        <v>4323.8841714220507</v>
      </c>
      <c r="Q7" s="26">
        <f t="shared" si="0"/>
        <v>5313.1533006162981</v>
      </c>
      <c r="R7" s="26">
        <f t="shared" si="0"/>
        <v>277.88458685231689</v>
      </c>
      <c r="S7" s="26">
        <f t="shared" si="0"/>
        <v>0</v>
      </c>
      <c r="T7" s="26">
        <f t="shared" si="0"/>
        <v>0</v>
      </c>
      <c r="U7" s="26">
        <f t="shared" si="0"/>
        <v>22.230766948185348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1049.6165259073275</v>
      </c>
      <c r="I8" s="27">
        <v>0</v>
      </c>
      <c r="J8" s="26">
        <f>IFERROR(H8-I8,"")</f>
        <v>1049.6165259073275</v>
      </c>
      <c r="K8" s="26">
        <f>IFERROR(($E$26/($H$27+$H$28)*$H$28)*R28,"")</f>
        <v>5.2480826295366363</v>
      </c>
      <c r="L8" s="26">
        <f>IFERROR(($E$26/($H$27+$H$28)*$H$28)*S28,"")</f>
        <v>2.0992330518146547</v>
      </c>
      <c r="M8" s="28">
        <f>IFERROR(K8+L8,"")</f>
        <v>7.347315681351291</v>
      </c>
      <c r="N8" s="29">
        <f>IFERROR(O8+P8+Q8+R8+S8+T8+U8+V8,"")</f>
        <v>1042.2692102259762</v>
      </c>
      <c r="O8" s="26">
        <f t="shared" ref="O8:V8" si="1">IFERROR(($E$26/($H$27+$H$28)*$H$28)*J28,"")</f>
        <v>103.9120360648254</v>
      </c>
      <c r="P8" s="26">
        <f t="shared" si="1"/>
        <v>408.30082857795031</v>
      </c>
      <c r="Q8" s="26">
        <f t="shared" si="1"/>
        <v>501.71669938370241</v>
      </c>
      <c r="R8" s="26">
        <f t="shared" si="1"/>
        <v>26.240413147683185</v>
      </c>
      <c r="S8" s="26">
        <f t="shared" si="1"/>
        <v>0</v>
      </c>
      <c r="T8" s="26">
        <f t="shared" si="1"/>
        <v>0</v>
      </c>
      <c r="U8" s="26">
        <f t="shared" si="1"/>
        <v>2.0992330518146547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0</v>
      </c>
      <c r="I10" s="27">
        <v>0</v>
      </c>
      <c r="J10" s="26">
        <f>IFERROR(H10-I10,"")</f>
        <v>0</v>
      </c>
      <c r="K10" s="26">
        <f>IFERROR(($E$30/($H$31+$H$32)*$H$31)*R32,"")</f>
        <v>0</v>
      </c>
      <c r="L10" s="26">
        <f>IFERROR(($E$30/($H$31+$H$32)*$H$31)*S32,"")</f>
        <v>0</v>
      </c>
      <c r="M10" s="28">
        <f>IFERROR(K10+L10,"")</f>
        <v>0</v>
      </c>
      <c r="N10" s="29">
        <f>IFERROR(O10+P10+Q10+R10+S10+T10+U10+V10,"")</f>
        <v>0</v>
      </c>
      <c r="O10" s="26">
        <f t="shared" ref="O10:V10" si="2">IFERROR(($E$30/($H$31+$H$32)*$H$31)*J32,"")</f>
        <v>0</v>
      </c>
      <c r="P10" s="26">
        <f t="shared" si="2"/>
        <v>0</v>
      </c>
      <c r="Q10" s="26">
        <f t="shared" si="2"/>
        <v>0</v>
      </c>
      <c r="R10" s="26">
        <f t="shared" si="2"/>
        <v>0</v>
      </c>
      <c r="S10" s="26">
        <f t="shared" si="2"/>
        <v>0</v>
      </c>
      <c r="T10" s="26">
        <f t="shared" si="2"/>
        <v>0</v>
      </c>
      <c r="U10" s="26">
        <f t="shared" si="2"/>
        <v>0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0</v>
      </c>
      <c r="I13" s="27">
        <v>0</v>
      </c>
      <c r="J13" s="26">
        <f>IFERROR(H13-I13,"")</f>
        <v>0</v>
      </c>
      <c r="K13" s="26">
        <f>IFERROR(($E$34/($H$35+$H$36)*$H$35)*R36,"")</f>
        <v>0</v>
      </c>
      <c r="L13" s="26">
        <f>IFERROR(($E$34/($H$35+$H$36)*$H$35)*S36,"")</f>
        <v>0</v>
      </c>
      <c r="M13" s="28">
        <f>IFERROR(K13+L13,"")</f>
        <v>0</v>
      </c>
      <c r="N13" s="29">
        <f>IFERROR(O13+P13+Q13+R13+S13+T13+U13+V13,"")</f>
        <v>0</v>
      </c>
      <c r="O13" s="26">
        <f t="shared" ref="O13:V13" si="4">IFERROR(($E$34/($H$35+$H$36)*$H$35)*J36,"")</f>
        <v>0</v>
      </c>
      <c r="P13" s="26">
        <f t="shared" si="4"/>
        <v>0</v>
      </c>
      <c r="Q13" s="26">
        <f t="shared" si="4"/>
        <v>0</v>
      </c>
      <c r="R13" s="26">
        <f t="shared" si="4"/>
        <v>0</v>
      </c>
      <c r="S13" s="26">
        <f t="shared" si="4"/>
        <v>0</v>
      </c>
      <c r="T13" s="26">
        <f t="shared" si="4"/>
        <v>0</v>
      </c>
      <c r="U13" s="26">
        <f t="shared" si="4"/>
        <v>0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0</v>
      </c>
      <c r="I14" s="27">
        <v>0</v>
      </c>
      <c r="J14" s="26">
        <f>IFERROR(H14-I14,"")</f>
        <v>0</v>
      </c>
      <c r="K14" s="26">
        <f>IFERROR(($E$34/($H$35+$H$36)*$H$36)*R36,"")</f>
        <v>0</v>
      </c>
      <c r="L14" s="26">
        <f>IFERROR(($E$34/($H$35+$H$36)*$H$36)*S36,"")</f>
        <v>0</v>
      </c>
      <c r="M14" s="28">
        <f>IFERROR(K14+L14,"")</f>
        <v>0</v>
      </c>
      <c r="N14" s="29">
        <f>IFERROR(O14+P14+Q14+R14+S14+T14+U14+V14,"")</f>
        <v>0</v>
      </c>
      <c r="O14" s="26">
        <f t="shared" ref="O14:V14" si="5">IFERROR(($E$34/($H$35+$H$36)*$H$36)*J36,"")</f>
        <v>0</v>
      </c>
      <c r="P14" s="26">
        <f t="shared" si="5"/>
        <v>0</v>
      </c>
      <c r="Q14" s="26">
        <f t="shared" si="5"/>
        <v>0</v>
      </c>
      <c r="R14" s="26">
        <f t="shared" si="5"/>
        <v>0</v>
      </c>
      <c r="S14" s="26">
        <f t="shared" si="5"/>
        <v>0</v>
      </c>
      <c r="T14" s="26">
        <f t="shared" si="5"/>
        <v>0</v>
      </c>
      <c r="U14" s="26">
        <f t="shared" si="5"/>
        <v>0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12165.000000000002</v>
      </c>
      <c r="I19" s="37">
        <f t="shared" si="7"/>
        <v>0</v>
      </c>
      <c r="J19" s="37">
        <f t="shared" si="7"/>
        <v>12165.000000000002</v>
      </c>
      <c r="K19" s="37">
        <f t="shared" si="7"/>
        <v>60.825000000000003</v>
      </c>
      <c r="L19" s="37">
        <f t="shared" si="7"/>
        <v>24.330000000000002</v>
      </c>
      <c r="M19" s="37">
        <f t="shared" si="7"/>
        <v>85.155000000000001</v>
      </c>
      <c r="N19" s="37">
        <f t="shared" si="7"/>
        <v>12079.845000000001</v>
      </c>
      <c r="O19" s="37">
        <f t="shared" si="7"/>
        <v>1204.335</v>
      </c>
      <c r="P19" s="37">
        <f t="shared" si="7"/>
        <v>4732.1850000000013</v>
      </c>
      <c r="Q19" s="37">
        <f t="shared" si="7"/>
        <v>5814.8700000000008</v>
      </c>
      <c r="R19" s="37">
        <f t="shared" si="7"/>
        <v>304.12500000000006</v>
      </c>
      <c r="S19" s="37">
        <f t="shared" si="7"/>
        <v>0</v>
      </c>
      <c r="T19" s="37">
        <f t="shared" si="7"/>
        <v>0</v>
      </c>
      <c r="U19" s="37">
        <f t="shared" si="7"/>
        <v>24.330000000000002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12165.000000000002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1204.335</v>
      </c>
      <c r="K27" s="198">
        <f t="shared" ref="K27:S27" si="8">$E$26*K28</f>
        <v>4732.1850000000004</v>
      </c>
      <c r="L27" s="198">
        <f t="shared" si="8"/>
        <v>5814.87</v>
      </c>
      <c r="M27" s="198">
        <f t="shared" si="8"/>
        <v>304.125</v>
      </c>
      <c r="N27" s="198">
        <f t="shared" si="8"/>
        <v>0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60.825000000000003</v>
      </c>
      <c r="S27" s="198">
        <f t="shared" si="8"/>
        <v>24.330000000000002</v>
      </c>
      <c r="T27" s="199">
        <f>SUM(J27:S27)</f>
        <v>12165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0</v>
      </c>
      <c r="K31" s="198">
        <f t="shared" ref="K31:S31" si="9">$E30*K32</f>
        <v>0</v>
      </c>
      <c r="L31" s="198">
        <f t="shared" si="9"/>
        <v>0</v>
      </c>
      <c r="M31" s="198">
        <f t="shared" si="9"/>
        <v>0</v>
      </c>
      <c r="N31" s="198">
        <f t="shared" si="9"/>
        <v>0</v>
      </c>
      <c r="O31" s="198">
        <f t="shared" si="9"/>
        <v>0</v>
      </c>
      <c r="P31" s="198">
        <f t="shared" si="9"/>
        <v>0</v>
      </c>
      <c r="Q31" s="198">
        <f t="shared" si="9"/>
        <v>0</v>
      </c>
      <c r="R31" s="198">
        <f t="shared" si="9"/>
        <v>0</v>
      </c>
      <c r="S31" s="198">
        <f t="shared" si="9"/>
        <v>0</v>
      </c>
      <c r="T31" s="199">
        <f>SUM(J31:S31)</f>
        <v>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0</v>
      </c>
      <c r="K32" s="197">
        <f>Inputs!C38</f>
        <v>0</v>
      </c>
      <c r="L32" s="197">
        <f>Inputs!C39</f>
        <v>0</v>
      </c>
      <c r="M32" s="197">
        <f>Inputs!C40</f>
        <v>0</v>
      </c>
      <c r="N32" s="197">
        <f>Inputs!C41</f>
        <v>0</v>
      </c>
      <c r="O32" s="197">
        <v>0</v>
      </c>
      <c r="P32" s="197">
        <f>Inputs!C49</f>
        <v>0</v>
      </c>
      <c r="Q32" s="197">
        <f>Inputs!C42</f>
        <v>0</v>
      </c>
      <c r="R32" s="197">
        <f>Inputs!C48+Inputs!C50</f>
        <v>0</v>
      </c>
      <c r="S32" s="197">
        <f>Inputs!C47</f>
        <v>0</v>
      </c>
      <c r="T32" s="200">
        <f>SUM(J32:S32)</f>
        <v>0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0</v>
      </c>
      <c r="K35" s="198">
        <f t="shared" ref="K35:S35" si="10">$E34*K36</f>
        <v>0</v>
      </c>
      <c r="L35" s="198">
        <f t="shared" si="10"/>
        <v>0</v>
      </c>
      <c r="M35" s="198">
        <f t="shared" si="10"/>
        <v>0</v>
      </c>
      <c r="N35" s="198">
        <f t="shared" si="10"/>
        <v>0</v>
      </c>
      <c r="O35" s="198">
        <f t="shared" si="10"/>
        <v>0</v>
      </c>
      <c r="P35" s="198">
        <f t="shared" si="10"/>
        <v>0</v>
      </c>
      <c r="Q35" s="198">
        <f t="shared" si="10"/>
        <v>0</v>
      </c>
      <c r="R35" s="198">
        <f t="shared" si="10"/>
        <v>0</v>
      </c>
      <c r="S35" s="198">
        <f t="shared" si="10"/>
        <v>0</v>
      </c>
      <c r="T35" s="199">
        <f>SUM(J35:S35)</f>
        <v>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0</v>
      </c>
      <c r="K36" s="197">
        <f>Inputs!D38</f>
        <v>0</v>
      </c>
      <c r="L36" s="197">
        <f>Inputs!D39</f>
        <v>0</v>
      </c>
      <c r="M36" s="197">
        <f>Inputs!D40</f>
        <v>0</v>
      </c>
      <c r="N36" s="197">
        <f>Inputs!D41</f>
        <v>0</v>
      </c>
      <c r="O36" s="197">
        <v>0</v>
      </c>
      <c r="P36" s="197">
        <f>Inputs!D49</f>
        <v>0</v>
      </c>
      <c r="Q36" s="197">
        <f>Inputs!D42</f>
        <v>0</v>
      </c>
      <c r="R36" s="197">
        <f>Inputs!D48+Inputs!D50</f>
        <v>0</v>
      </c>
      <c r="S36" s="197">
        <f>Inputs!D47</f>
        <v>0</v>
      </c>
      <c r="T36" s="200">
        <f>SUM(J36:S36)</f>
        <v>0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0</v>
      </c>
      <c r="K39" s="198">
        <f t="shared" ref="K39:S39" si="11">$E38*K40</f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45816.25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720</v>
      </c>
      <c r="C13" s="220">
        <f>'Grade out Information'!X26</f>
        <v>10800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720</v>
      </c>
      <c r="C27" s="222">
        <f>SUM(C13:C26)</f>
        <v>10800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D32" sqref="D32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23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9885</v>
      </c>
      <c r="J15" s="133">
        <f>X15*K15</f>
        <v>4823.88</v>
      </c>
      <c r="K15" s="184">
        <f>Inputs!B36</f>
        <v>0.48799999999999999</v>
      </c>
      <c r="L15" s="133">
        <f>X15*M15</f>
        <v>4725.03</v>
      </c>
      <c r="M15" s="184">
        <f>Inputs!B39</f>
        <v>0.47799999999999998</v>
      </c>
      <c r="N15" s="133">
        <f>X15*O15</f>
        <v>247.125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88.965000000000003</v>
      </c>
      <c r="W15" s="185">
        <f>Inputs!B43</f>
        <v>9.0000000000000011E-3</v>
      </c>
      <c r="X15" s="213">
        <f>Z15*15</f>
        <v>9885</v>
      </c>
      <c r="Y15" s="209">
        <f>K15+M15+O15+Q15+S15+U15+W15</f>
        <v>1</v>
      </c>
      <c r="Z15" s="226">
        <f>Inputs!I35</f>
        <v>659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915</v>
      </c>
      <c r="J16" s="133">
        <f>X16*K16</f>
        <v>446.52</v>
      </c>
      <c r="K16" s="184">
        <f>K15</f>
        <v>0.48799999999999999</v>
      </c>
      <c r="L16" s="133">
        <f t="shared" ref="L16:L23" si="0">X16*M16</f>
        <v>437.37</v>
      </c>
      <c r="M16" s="184">
        <f>M15</f>
        <v>0.47799999999999998</v>
      </c>
      <c r="N16" s="133">
        <f t="shared" ref="N16:N21" si="1">X16*O16</f>
        <v>22.875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8.2350000000000012</v>
      </c>
      <c r="W16" s="185">
        <f>W15</f>
        <v>9.0000000000000011E-3</v>
      </c>
      <c r="X16" s="213">
        <f t="shared" ref="X16:X23" si="6">Z16*15</f>
        <v>915</v>
      </c>
      <c r="Y16" s="209">
        <f>K16+M16+O16+Q16+S16+U16+W16</f>
        <v>1</v>
      </c>
      <c r="Z16" s="226">
        <f>Inputs!I36</f>
        <v>61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</v>
      </c>
      <c r="L18" s="133">
        <f t="shared" si="0"/>
        <v>0</v>
      </c>
      <c r="M18" s="184">
        <f>Inputs!C39</f>
        <v>0</v>
      </c>
      <c r="N18" s="133">
        <f t="shared" si="1"/>
        <v>0</v>
      </c>
      <c r="O18" s="184">
        <f>Inputs!C40</f>
        <v>0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0</v>
      </c>
      <c r="X18" s="213">
        <f t="shared" si="6"/>
        <v>0</v>
      </c>
      <c r="Y18" s="209">
        <f>K18+M18+O18+Q18+S18+U18+W18</f>
        <v>0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</v>
      </c>
      <c r="L20" s="133">
        <f t="shared" si="0"/>
        <v>0</v>
      </c>
      <c r="M20" s="184">
        <f>Inputs!D39</f>
        <v>0</v>
      </c>
      <c r="N20" s="133">
        <f t="shared" si="1"/>
        <v>0</v>
      </c>
      <c r="O20" s="184">
        <f>Inputs!D40</f>
        <v>0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0</v>
      </c>
      <c r="X20" s="213">
        <f t="shared" si="6"/>
        <v>0</v>
      </c>
      <c r="Y20" s="209">
        <f>K20+M20+O20+Q20+S20+U20+W20</f>
        <v>0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</v>
      </c>
      <c r="L21" s="133">
        <f t="shared" si="0"/>
        <v>0</v>
      </c>
      <c r="M21" s="184">
        <f>M20</f>
        <v>0</v>
      </c>
      <c r="N21" s="133">
        <f t="shared" si="1"/>
        <v>0</v>
      </c>
      <c r="O21" s="184">
        <f>O20</f>
        <v>0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0</v>
      </c>
      <c r="X21" s="213">
        <f t="shared" si="6"/>
        <v>0</v>
      </c>
      <c r="Y21" s="209">
        <f>K21+M21+O21+Q21+S21+U21+W21</f>
        <v>0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</v>
      </c>
      <c r="L23" s="133">
        <f t="shared" si="0"/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0</v>
      </c>
      <c r="X23" s="213">
        <f t="shared" si="6"/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5270.4</v>
      </c>
      <c r="K26" s="139"/>
      <c r="L26" s="139">
        <f>SUM(L15:L25)</f>
        <v>5162.3999999999996</v>
      </c>
      <c r="M26" s="139"/>
      <c r="N26" s="139">
        <f>SUM(N15:N25)</f>
        <v>270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97.2</v>
      </c>
      <c r="W26" s="139"/>
      <c r="X26" s="139">
        <f>SUM(X15:X25)</f>
        <v>10800</v>
      </c>
      <c r="Y26" s="139"/>
      <c r="Z26" s="139">
        <f>SUM(Z15:Z25)</f>
        <v>720</v>
      </c>
      <c r="AA26" s="141">
        <f>IF(Z33=0,0,Z33/(H33+Z33))</f>
        <v>0</v>
      </c>
      <c r="AB26" s="139">
        <f>G26+X26</f>
        <v>10800</v>
      </c>
      <c r="AC26" s="139">
        <f>H26+Z26</f>
        <v>720</v>
      </c>
      <c r="AD26" s="141">
        <f>I26+AA26</f>
        <v>0</v>
      </c>
    </row>
    <row r="30" spans="1:30" x14ac:dyDescent="0.2">
      <c r="A30" s="3" t="s">
        <v>107</v>
      </c>
      <c r="B30">
        <f>J26</f>
        <v>5270.4</v>
      </c>
    </row>
    <row r="31" spans="1:30" x14ac:dyDescent="0.2">
      <c r="A31" s="3" t="s">
        <v>108</v>
      </c>
      <c r="B31">
        <f>L26</f>
        <v>5162.3999999999996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270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97.2</v>
      </c>
    </row>
    <row r="38" spans="1:13" x14ac:dyDescent="0.2">
      <c r="A38" s="3" t="s">
        <v>128</v>
      </c>
      <c r="B38">
        <f>SUM(B30:B36)</f>
        <v>10800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B24" sqref="B2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2" sqref="N2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23</v>
      </c>
      <c r="C7" s="151">
        <v>940764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1517</v>
      </c>
      <c r="J7" s="189">
        <f>IF(H7="NEW",203, IF(H7="OLD",192,0))</f>
        <v>203</v>
      </c>
      <c r="K7" s="151">
        <v>1720</v>
      </c>
      <c r="L7" s="211">
        <f>IF(K7&gt;0,I7/E7,"NA")</f>
        <v>25.283333333333335</v>
      </c>
      <c r="M7" s="151">
        <v>944360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78.892857142857139</v>
      </c>
    </row>
    <row r="8" spans="1:16" x14ac:dyDescent="0.25">
      <c r="A8" s="148">
        <v>2</v>
      </c>
      <c r="B8" s="189">
        <f>Inputs!C$2</f>
        <v>23</v>
      </c>
      <c r="C8" s="151">
        <v>940765</v>
      </c>
      <c r="D8" s="188" t="s">
        <v>183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1525</v>
      </c>
      <c r="J8" s="189">
        <f>IF(H8="NEW",203, IF(H8="OLD",192,0))</f>
        <v>203</v>
      </c>
      <c r="K8" s="151">
        <v>1728</v>
      </c>
      <c r="L8" s="211">
        <f>IF(K8&gt;0,I8/E8,"NA")</f>
        <v>25.416666666666668</v>
      </c>
      <c r="M8" s="151">
        <v>944360</v>
      </c>
      <c r="N8" s="152" t="s">
        <v>238</v>
      </c>
      <c r="O8" s="157" t="s">
        <v>237</v>
      </c>
      <c r="P8" s="187">
        <f>IF(D8=Inputs!F$2,Inputs!I$2,IF(D8=Inputs!F$3,Inputs!I$3,IF(D8=Inputs!F$4,Inputs!I$4,IF(D8=Inputs!F$5,Inputs!I$5,"NA"))))</f>
        <v>78.892857142857139</v>
      </c>
    </row>
    <row r="9" spans="1:16" x14ac:dyDescent="0.25">
      <c r="A9" s="148">
        <v>3</v>
      </c>
      <c r="B9" s="189">
        <f>Inputs!C$2</f>
        <v>23</v>
      </c>
      <c r="C9" s="151">
        <v>940776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1537</v>
      </c>
      <c r="J9" s="189">
        <f>IF(H9="NEW",203, IF(H9="OLD",192,0))</f>
        <v>203</v>
      </c>
      <c r="K9" s="151">
        <v>1740</v>
      </c>
      <c r="L9" s="211">
        <f t="shared" ref="L9:L72" si="1">IF(K9&gt;0,I9/E9,"NA")</f>
        <v>25.616666666666667</v>
      </c>
      <c r="M9" s="151">
        <v>944360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78.892857142857139</v>
      </c>
    </row>
    <row r="10" spans="1:16" x14ac:dyDescent="0.25">
      <c r="A10" s="148">
        <v>4</v>
      </c>
      <c r="B10" s="189">
        <f>Inputs!C$2</f>
        <v>23</v>
      </c>
      <c r="C10" s="151">
        <v>940777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1523</v>
      </c>
      <c r="J10" s="189">
        <f>IF(H10="NEW",203, IF(H10="OLD",192,0))</f>
        <v>203</v>
      </c>
      <c r="K10" s="151">
        <v>1726</v>
      </c>
      <c r="L10" s="211">
        <f t="shared" si="1"/>
        <v>25.383333333333333</v>
      </c>
      <c r="M10" s="151">
        <v>944360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78.892857142857139</v>
      </c>
    </row>
    <row r="11" spans="1:16" x14ac:dyDescent="0.25">
      <c r="A11" s="148">
        <v>5</v>
      </c>
      <c r="B11" s="189">
        <f>Inputs!C$2</f>
        <v>23</v>
      </c>
      <c r="C11" s="151">
        <v>940778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1513</v>
      </c>
      <c r="J11" s="189">
        <f t="shared" ref="J11:J72" si="2">IF(H11="NEW",203, IF(H11="OLD",192,0))</f>
        <v>203</v>
      </c>
      <c r="K11" s="151">
        <v>1716</v>
      </c>
      <c r="L11" s="211">
        <f>IF(K11&gt;0,I11/E11,"NA")</f>
        <v>25.216666666666665</v>
      </c>
      <c r="M11" s="151">
        <v>944360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78.892857142857139</v>
      </c>
    </row>
    <row r="12" spans="1:16" x14ac:dyDescent="0.25">
      <c r="A12" s="148">
        <v>6</v>
      </c>
      <c r="B12" s="189">
        <f>Inputs!C$2</f>
        <v>23</v>
      </c>
      <c r="C12" s="151">
        <v>940779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1515</v>
      </c>
      <c r="J12" s="189">
        <f t="shared" si="2"/>
        <v>203</v>
      </c>
      <c r="K12" s="151">
        <v>1718</v>
      </c>
      <c r="L12" s="211">
        <f t="shared" si="1"/>
        <v>25.25</v>
      </c>
      <c r="M12" s="151">
        <v>944360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78.892857142857139</v>
      </c>
    </row>
    <row r="13" spans="1:16" x14ac:dyDescent="0.25">
      <c r="A13" s="148">
        <v>7</v>
      </c>
      <c r="B13" s="189">
        <f>Inputs!C$2</f>
        <v>23</v>
      </c>
      <c r="C13" s="151">
        <v>940780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1537</v>
      </c>
      <c r="J13" s="189">
        <f t="shared" si="2"/>
        <v>203</v>
      </c>
      <c r="K13" s="151">
        <v>1740</v>
      </c>
      <c r="L13" s="211">
        <f t="shared" si="1"/>
        <v>25.616666666666667</v>
      </c>
      <c r="M13" s="151">
        <v>944360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78.892857142857139</v>
      </c>
    </row>
    <row r="14" spans="1:16" x14ac:dyDescent="0.25">
      <c r="A14" s="148">
        <v>8</v>
      </c>
      <c r="B14" s="189">
        <f>Inputs!C$2</f>
        <v>23</v>
      </c>
      <c r="C14" s="151">
        <v>940781</v>
      </c>
      <c r="D14" s="188" t="s">
        <v>183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1527</v>
      </c>
      <c r="J14" s="189">
        <f t="shared" si="2"/>
        <v>203</v>
      </c>
      <c r="K14" s="151">
        <v>1730</v>
      </c>
      <c r="L14" s="211">
        <f t="shared" si="1"/>
        <v>25.45</v>
      </c>
      <c r="M14" s="151">
        <v>944360</v>
      </c>
      <c r="N14" s="152" t="s">
        <v>238</v>
      </c>
      <c r="O14" s="157" t="s">
        <v>237</v>
      </c>
      <c r="P14" s="187">
        <f>IF(D14=Inputs!F$2,Inputs!I$2,IF(D14=Inputs!F$3,Inputs!I$3,IF(D14=Inputs!F$4,Inputs!I$4,IF(D14=Inputs!F$5,Inputs!I$5,"NA"))))</f>
        <v>78.892857142857139</v>
      </c>
    </row>
    <row r="15" spans="1:16" x14ac:dyDescent="0.25">
      <c r="A15" s="148">
        <v>9</v>
      </c>
      <c r="B15" s="189">
        <f>Inputs!C$2</f>
        <v>23</v>
      </c>
      <c r="C15" s="151">
        <v>940785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1457</v>
      </c>
      <c r="J15" s="189">
        <f t="shared" si="2"/>
        <v>203</v>
      </c>
      <c r="K15" s="151">
        <v>1660</v>
      </c>
      <c r="L15" s="211">
        <f t="shared" si="1"/>
        <v>24.283333333333335</v>
      </c>
      <c r="M15" s="151">
        <v>944360</v>
      </c>
      <c r="N15" s="152" t="s">
        <v>238</v>
      </c>
      <c r="O15" s="157" t="s">
        <v>237</v>
      </c>
      <c r="P15" s="187">
        <f>IF(D15=Inputs!F$2,Inputs!I$2,IF(D15=Inputs!F$3,Inputs!I$3,IF(D15=Inputs!F$4,Inputs!I$4,IF(D15=Inputs!F$5,Inputs!I$5,"NA"))))</f>
        <v>78.892857142857139</v>
      </c>
    </row>
    <row r="16" spans="1:16" x14ac:dyDescent="0.25">
      <c r="A16" s="148">
        <v>10</v>
      </c>
      <c r="B16" s="189">
        <f>Inputs!C$2</f>
        <v>23</v>
      </c>
      <c r="C16" s="151">
        <v>940786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1541</v>
      </c>
      <c r="J16" s="189">
        <f t="shared" si="2"/>
        <v>203</v>
      </c>
      <c r="K16" s="151">
        <v>1744</v>
      </c>
      <c r="L16" s="211">
        <f t="shared" si="1"/>
        <v>25.683333333333334</v>
      </c>
      <c r="M16" s="151">
        <v>944360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78.892857142857139</v>
      </c>
    </row>
    <row r="17" spans="1:16" x14ac:dyDescent="0.25">
      <c r="A17" s="148">
        <v>11</v>
      </c>
      <c r="B17" s="189">
        <f>Inputs!C$2</f>
        <v>23</v>
      </c>
      <c r="C17" s="151">
        <v>940787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1547</v>
      </c>
      <c r="J17" s="189">
        <f t="shared" si="2"/>
        <v>203</v>
      </c>
      <c r="K17" s="151">
        <v>1750</v>
      </c>
      <c r="L17" s="211">
        <f t="shared" si="1"/>
        <v>25.783333333333335</v>
      </c>
      <c r="M17" s="151">
        <v>944360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78.892857142857139</v>
      </c>
    </row>
    <row r="18" spans="1:16" x14ac:dyDescent="0.25">
      <c r="A18" s="148">
        <v>12</v>
      </c>
      <c r="B18" s="189">
        <f>Inputs!C$2</f>
        <v>23</v>
      </c>
      <c r="C18" s="151">
        <v>940788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1529</v>
      </c>
      <c r="J18" s="189">
        <f t="shared" si="2"/>
        <v>203</v>
      </c>
      <c r="K18" s="151">
        <v>1732</v>
      </c>
      <c r="L18" s="211">
        <f t="shared" si="1"/>
        <v>25.483333333333334</v>
      </c>
      <c r="M18" s="151">
        <v>944360</v>
      </c>
      <c r="N18" s="152" t="s">
        <v>238</v>
      </c>
      <c r="O18" s="157" t="s">
        <v>237</v>
      </c>
      <c r="P18" s="187">
        <f>IF(D18=Inputs!F$2,Inputs!I$2,IF(D18=Inputs!F$3,Inputs!I$3,IF(D18=Inputs!F$4,Inputs!I$4,IF(D18=Inputs!F$5,Inputs!I$5,"NA"))))</f>
        <v>78.892857142857139</v>
      </c>
    </row>
    <row r="19" spans="1:16" x14ac:dyDescent="0.25">
      <c r="A19" s="148">
        <v>13</v>
      </c>
      <c r="B19" s="189">
        <f>Inputs!C$2</f>
        <v>23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23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23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23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23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23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23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23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23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23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23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23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23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23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23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23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23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23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23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23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7" zoomScaleNormal="100" workbookViewId="0">
      <selection activeCell="J13" sqref="J13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23</v>
      </c>
      <c r="F2" s="166" t="s">
        <v>183</v>
      </c>
      <c r="G2" s="186">
        <v>45264</v>
      </c>
      <c r="I2" s="205">
        <f>(C$3-G2)/7</f>
        <v>78.892857142857139</v>
      </c>
      <c r="J2" s="230">
        <f>I2-19</f>
        <v>59.892857142857139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45816.25</v>
      </c>
      <c r="D3" s="247"/>
      <c r="F3" s="166" t="s">
        <v>7</v>
      </c>
      <c r="G3" s="186">
        <v>45390</v>
      </c>
      <c r="I3" s="205">
        <f>(C$3-G3)/7</f>
        <v>60.892857142857146</v>
      </c>
      <c r="J3" s="230">
        <f>I3-19</f>
        <v>41.892857142857146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34.892857142857146</v>
      </c>
      <c r="J4" s="230">
        <f>I4-19</f>
        <v>15.892857142857146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52.464285714285715</v>
      </c>
      <c r="J5" s="230">
        <f>I5-19</f>
        <v>33.464285714285715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98</v>
      </c>
      <c r="C10" s="168">
        <v>10</v>
      </c>
      <c r="E10" s="139">
        <v>3</v>
      </c>
      <c r="F10" s="168">
        <v>105</v>
      </c>
      <c r="G10" s="168">
        <v>11</v>
      </c>
    </row>
    <row r="11" spans="1:12" x14ac:dyDescent="0.2">
      <c r="A11" s="139">
        <v>6</v>
      </c>
      <c r="B11" s="168">
        <v>0</v>
      </c>
      <c r="C11" s="165"/>
      <c r="E11" s="139">
        <v>6</v>
      </c>
      <c r="F11" s="168">
        <v>0</v>
      </c>
      <c r="G11" s="165"/>
    </row>
    <row r="12" spans="1:12" x14ac:dyDescent="0.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 x14ac:dyDescent="0.2">
      <c r="A13" s="139">
        <v>11</v>
      </c>
      <c r="B13" s="168">
        <v>0</v>
      </c>
      <c r="C13" s="165"/>
      <c r="E13" s="139">
        <v>11</v>
      </c>
      <c r="F13" s="168">
        <v>0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110</v>
      </c>
      <c r="C16" s="168">
        <v>11</v>
      </c>
      <c r="E16" s="139">
        <v>3</v>
      </c>
      <c r="F16" s="168">
        <v>111</v>
      </c>
      <c r="G16" s="168">
        <v>10</v>
      </c>
    </row>
    <row r="17" spans="1:11" x14ac:dyDescent="0.2">
      <c r="A17" s="139">
        <v>6</v>
      </c>
      <c r="B17" s="168">
        <v>0</v>
      </c>
      <c r="C17" s="165"/>
      <c r="E17" s="139">
        <v>6</v>
      </c>
      <c r="F17" s="168">
        <v>0</v>
      </c>
      <c r="G17" s="165"/>
    </row>
    <row r="18" spans="1:11" x14ac:dyDescent="0.2">
      <c r="A18" s="139">
        <v>7</v>
      </c>
      <c r="B18" s="168">
        <v>0</v>
      </c>
      <c r="C18" s="168">
        <v>0</v>
      </c>
      <c r="E18" s="139">
        <v>7</v>
      </c>
      <c r="F18" s="168">
        <v>0</v>
      </c>
      <c r="G18" s="168">
        <v>0</v>
      </c>
    </row>
    <row r="19" spans="1:11" x14ac:dyDescent="0.2">
      <c r="A19" s="139">
        <v>11</v>
      </c>
      <c r="B19" s="168">
        <v>0</v>
      </c>
      <c r="C19" s="165"/>
      <c r="E19" s="139">
        <v>11</v>
      </c>
      <c r="F19" s="168">
        <v>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104</v>
      </c>
      <c r="C23" s="168">
        <v>10</v>
      </c>
      <c r="E23" s="139">
        <v>3</v>
      </c>
      <c r="F23" s="168">
        <v>105</v>
      </c>
      <c r="G23" s="168">
        <v>10</v>
      </c>
    </row>
    <row r="24" spans="1:11" x14ac:dyDescent="0.2">
      <c r="A24" s="139">
        <v>6</v>
      </c>
      <c r="B24" s="168">
        <v>0</v>
      </c>
      <c r="C24" s="165"/>
      <c r="E24" s="139">
        <v>6</v>
      </c>
      <c r="F24" s="168">
        <v>0</v>
      </c>
      <c r="G24" s="165"/>
    </row>
    <row r="25" spans="1:11" x14ac:dyDescent="0.2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 x14ac:dyDescent="0.2">
      <c r="A26" s="139">
        <v>11</v>
      </c>
      <c r="B26" s="168">
        <v>0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106</v>
      </c>
      <c r="C29" s="168">
        <v>10</v>
      </c>
      <c r="E29" s="139">
        <v>3</v>
      </c>
      <c r="F29" s="203">
        <f t="shared" ref="F29:G32" si="0">B10+F10+B16+F16+B23+F23+B29</f>
        <v>739</v>
      </c>
      <c r="G29" s="203">
        <f t="shared" si="0"/>
        <v>72</v>
      </c>
      <c r="I29" s="139">
        <v>3</v>
      </c>
      <c r="J29" s="203">
        <f t="shared" ref="J29:K31" si="1">F29*15</f>
        <v>11085</v>
      </c>
      <c r="K29" s="203">
        <f t="shared" si="1"/>
        <v>1080</v>
      </c>
    </row>
    <row r="30" spans="1:11" x14ac:dyDescent="0.2">
      <c r="A30" s="139">
        <v>6</v>
      </c>
      <c r="B30" s="168">
        <v>0</v>
      </c>
      <c r="C30" s="165"/>
      <c r="E30" s="139">
        <v>6</v>
      </c>
      <c r="F30" s="203">
        <f t="shared" si="0"/>
        <v>0</v>
      </c>
      <c r="G30" s="204">
        <f t="shared" si="0"/>
        <v>0</v>
      </c>
      <c r="I30" s="139">
        <v>6</v>
      </c>
      <c r="J30" s="203">
        <f t="shared" si="1"/>
        <v>0</v>
      </c>
      <c r="K30" s="204">
        <f t="shared" si="1"/>
        <v>0</v>
      </c>
    </row>
    <row r="31" spans="1:11" x14ac:dyDescent="0.2">
      <c r="A31" s="139">
        <v>7</v>
      </c>
      <c r="B31" s="168">
        <v>0</v>
      </c>
      <c r="C31" s="168">
        <v>0</v>
      </c>
      <c r="E31" s="139">
        <v>7</v>
      </c>
      <c r="F31" s="203">
        <f t="shared" si="0"/>
        <v>0</v>
      </c>
      <c r="G31" s="203">
        <f t="shared" si="0"/>
        <v>0</v>
      </c>
      <c r="I31" s="139">
        <v>7</v>
      </c>
      <c r="J31" s="203">
        <f t="shared" si="1"/>
        <v>0</v>
      </c>
      <c r="K31" s="203">
        <f t="shared" si="1"/>
        <v>0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si="0"/>
        <v>0</v>
      </c>
      <c r="G32" s="204">
        <f t="shared" si="0"/>
        <v>0</v>
      </c>
      <c r="I32" s="139">
        <v>11</v>
      </c>
      <c r="J32" s="203">
        <f>F32*15</f>
        <v>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659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</v>
      </c>
      <c r="D36" s="201">
        <f>D37+D38</f>
        <v>0</v>
      </c>
      <c r="E36" s="201">
        <f>E37+E38</f>
        <v>0</v>
      </c>
      <c r="G36" s="245" t="s">
        <v>225</v>
      </c>
      <c r="H36" s="245"/>
      <c r="I36" s="225">
        <v>61</v>
      </c>
    </row>
    <row r="37" spans="1:9" x14ac:dyDescent="0.2">
      <c r="A37" s="172" t="s">
        <v>200</v>
      </c>
      <c r="B37" s="173">
        <v>9.9000000000000005E-2</v>
      </c>
      <c r="C37" s="236">
        <v>0</v>
      </c>
      <c r="D37" s="173">
        <v>0</v>
      </c>
      <c r="E37" s="173">
        <v>0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0.38900000000000001</v>
      </c>
      <c r="C38" s="173">
        <v>0</v>
      </c>
      <c r="D38" s="173">
        <v>0</v>
      </c>
      <c r="E38" s="173">
        <v>0</v>
      </c>
      <c r="G38" s="245" t="s">
        <v>227</v>
      </c>
      <c r="H38" s="245"/>
      <c r="I38" s="225">
        <v>0</v>
      </c>
    </row>
    <row r="39" spans="1:9" x14ac:dyDescent="0.2">
      <c r="A39" s="172" t="s">
        <v>202</v>
      </c>
      <c r="B39" s="173">
        <v>0.47799999999999998</v>
      </c>
      <c r="C39" s="173">
        <v>0</v>
      </c>
      <c r="D39" s="173">
        <v>0</v>
      </c>
      <c r="E39" s="173">
        <v>0</v>
      </c>
      <c r="G39" s="245" t="s">
        <v>228</v>
      </c>
      <c r="H39" s="245"/>
      <c r="I39" s="225">
        <v>0</v>
      </c>
    </row>
    <row r="40" spans="1:9" x14ac:dyDescent="0.2">
      <c r="A40" s="172" t="s">
        <v>203</v>
      </c>
      <c r="B40" s="173">
        <v>2.5000000000000001E-2</v>
      </c>
      <c r="C40" s="173">
        <v>0</v>
      </c>
      <c r="D40" s="173">
        <v>0</v>
      </c>
      <c r="E40" s="173">
        <v>0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0</v>
      </c>
      <c r="D43" s="202">
        <f>SUM(D47:D50)</f>
        <v>0</v>
      </c>
      <c r="E43" s="202">
        <f>SUM(E47:E50)</f>
        <v>0</v>
      </c>
    </row>
    <row r="44" spans="1:9" x14ac:dyDescent="0.2">
      <c r="A44" s="233" t="s">
        <v>232</v>
      </c>
      <c r="B44" s="232">
        <v>64.400000000000006</v>
      </c>
      <c r="C44" s="232">
        <v>0</v>
      </c>
      <c r="D44" s="232">
        <v>0</v>
      </c>
      <c r="E44" s="232">
        <v>0</v>
      </c>
    </row>
    <row r="45" spans="1:9" x14ac:dyDescent="0.2">
      <c r="A45" s="233" t="s">
        <v>234</v>
      </c>
      <c r="B45" s="231">
        <f>J29+K29</f>
        <v>12165</v>
      </c>
      <c r="C45" s="231">
        <f>J30</f>
        <v>0</v>
      </c>
      <c r="D45" s="231">
        <f>J31</f>
        <v>0</v>
      </c>
      <c r="E45" s="231">
        <f>J32</f>
        <v>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0</v>
      </c>
      <c r="D47" s="173">
        <v>0</v>
      </c>
      <c r="E47" s="173">
        <v>0</v>
      </c>
    </row>
    <row r="48" spans="1:9" x14ac:dyDescent="0.2">
      <c r="A48" s="172" t="s">
        <v>205</v>
      </c>
      <c r="B48" s="173">
        <v>1E-3</v>
      </c>
      <c r="C48" s="173">
        <v>0</v>
      </c>
      <c r="D48" s="173">
        <v>0</v>
      </c>
      <c r="E48" s="173">
        <v>0</v>
      </c>
    </row>
    <row r="49" spans="1:5" x14ac:dyDescent="0.2">
      <c r="A49" s="172" t="s">
        <v>206</v>
      </c>
      <c r="B49" s="173">
        <v>2E-3</v>
      </c>
      <c r="C49" s="173">
        <v>0</v>
      </c>
      <c r="D49" s="173">
        <v>0</v>
      </c>
      <c r="E49" s="173">
        <v>0</v>
      </c>
    </row>
    <row r="50" spans="1:5" x14ac:dyDescent="0.2">
      <c r="A50" s="172" t="s">
        <v>207</v>
      </c>
      <c r="B50" s="173">
        <v>4.0000000000000001E-3</v>
      </c>
      <c r="C50" s="173">
        <v>0</v>
      </c>
      <c r="D50" s="173">
        <v>0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0</v>
      </c>
      <c r="D52" s="202">
        <f>SUM(D37:D42)+SUM(D47:D50)</f>
        <v>0</v>
      </c>
      <c r="E52" s="202">
        <f>SUM(E37:E42)+SUM(E47:E50)</f>
        <v>0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2025-06-09T14:35:10Z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