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7BE7F46D-A270-4FAC-8495-1ECADC901755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J7" i="6" l="1"/>
  <c r="I11" i="6"/>
  <c r="I71" i="6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F30" i="8"/>
  <c r="J30" i="8" s="1"/>
  <c r="C45" i="8" s="1"/>
  <c r="F29" i="8"/>
  <c r="J29" i="8" s="1"/>
  <c r="F31" i="8"/>
  <c r="J31" i="8" s="1"/>
  <c r="D45" i="8" l="1"/>
  <c r="E26" i="2"/>
  <c r="B45" i="8"/>
  <c r="E38" i="2"/>
  <c r="K39" i="2" s="1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B3" i="4"/>
  <c r="I4" i="8"/>
  <c r="P7" i="6" s="1"/>
  <c r="I2" i="8"/>
  <c r="Y23" i="5"/>
  <c r="Y15" i="5"/>
  <c r="O13" i="2" l="1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<sst xmlns="http://schemas.openxmlformats.org/spreadsheetml/2006/main" count="563" uniqueCount="236">
  <si>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</si>
  <si>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</si>
  <si>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</si>
  <si>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</si>
  <si>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</si>
  <si>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</si>
  <si>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</si>
  <si>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</si>
  <si>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</si>
  <si>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</si>
  <si>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</si>
  <si>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</si>
  <si>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</si>
  <si>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</si>
  <si>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</si>
  <si>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</si>
  <si>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</si>
  <si>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</si>
  <si>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</si>
  <si>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</si>
  <si>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</si>
  <si>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</si>
  <si>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</si>
  <si>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</si>
  <si>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</si>
  <si>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</si>
  <si>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</si>
  <si>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</si>
  <si>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</si>
  <si>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</si>
  <si>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</si>
  <si>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</si>
  <si>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</si>
  <si>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</si>
  <si>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</si>
  <si>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</si>
  <si>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</si>
  <si>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</si>
  <si>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</si>
  <si>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</si>
  <si>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</si>
  <si>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</si>
  <si>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</si>
  <si>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</si>
  <si>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</si>
  <si>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</si>
  <si>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</si>
  <si>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</si>
  <si>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</si>
  <si>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</si>
  <si>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</si>
  <si>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</si>
  <si>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</si>
  <si>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</si>
  <si>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</si>
  <si>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</si>
  <si>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</si>
  <si>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</si>
  <si>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</si>
  <si>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</si>
  <si>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</si>
  <si>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</si>
  <si>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</si>
  <si>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</si>
  <si>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</si>
  <si>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</si>
  <si>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</si>
  <si>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</si>
  <si>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</si>
  <si>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</si>
  <si>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</si>
  <si>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</si>
  <si>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</si>
  <si>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</si>
  <si>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</si>
  <si>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</si>
  <si>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</si>
  <si>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</si>
  <si>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</si>
  <si>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</si>
  <si>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</si>
  <si>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</si>
  <si>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</si>
  <si>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</si>
  <si>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</si>
  <si>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</si>
  <si>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</si>
  <si>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</si>
  <si>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</si>
  <si>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</si>
  <si>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</si>
  <si>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</si>
  <si>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</si>
  <si>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</si>
  <si>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</si>
  <si>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</si>
  <si>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</si>
  <si>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</si>
  <si>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</si>
  <si>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</si>
  <si>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</si>
  <si>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</si>
  <si>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</si>
  <si>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</si>
  <si>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</si>
  <si>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</si>
  <si>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</si>
  <si>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</si>
  <si>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</si>
  <si>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</si>
  <si>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</si>
  <si>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</si>
  <si>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</si>
  <si>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</si>
  <si>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</si>
  <si>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</si>
  <si>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</si>
  <si>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</si>
  <si>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</si>
  <si>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</si>
  <si>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</si>
  <si>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</si>
  <si>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</si>
  <si>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</si>
  <si>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</si>
  <si>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</si>
  <si>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</si>
  <si>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</si>
  <si>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</si>
  <si>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</si>
  <si>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</si>
  <si>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</si>
  <si>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</si>
  <si>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</si>
  <si>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</si>
  <si>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</si>
  <si>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</si>
  <si>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</si>
  <si>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</si>
  <si>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</si>
  <si>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</si>
  <si>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</si>
  <si>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</si>
  <si>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</si>
  <si>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</si>
  <si>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</si>
  <si>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</si>
  <si>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</si>
  <si>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</si>
  <si>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</si>
  <si>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</si>
  <si>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</si>
  <si>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</si>
  <si>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</si>
  <si>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</si>
  <si>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</si>
  <si>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</si>
  <si>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</si>
  <si>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</si>
  <si>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</si>
  <si>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</si>
  <si>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</si>
  <si>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</si>
  <si>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</si>
  <si>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</si>
  <si>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</si>
  <si>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</si>
  <si>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</si>
  <si>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</si>
  <si>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</si>
  <si>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</si>
  <si>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</si>
  <si>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</si>
  <si>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</si>
  <si>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</si>
  <si>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</si>
  <si>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</si>
  <si>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</si>
  <si>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</si>
  <si>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</si>
  <si>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</si>
  <si>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</si>
  <si>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</si>
  <si>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</si>
  <si>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</si>
  <si>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</si>
  <si>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</si>
  <si>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</si>
  <si>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</si>
  <si>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</si>
  <si>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</si>
  <si>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</si>
  <si>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</si>
  <si>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</si>
  <si>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</si>
  <si>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</si>
  <si>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</si>
  <si>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</si>
  <si>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</si>
  <si>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</si>
  <si>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</si>
  <si>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</si>
  <si>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</si>
  <si>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</si>
  <si>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</si>
  <si>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</si>
  <si>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</si>
  <si>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</si>
  <si>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</si>
  <si>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</si>
  <si>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</si>
  <si>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</si>
  <si>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</si>
  <si>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</si>
  <si>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</si>
  <si>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</si>
  <si>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Barn 10 White</t>
  </si>
  <si>
    <t>Barn 10 Brown</t>
  </si>
  <si>
    <t>Barn 10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</si>
  <si>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</si>
  <si>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</si>
  <si>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</si>
  <si>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</si>
  <si>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</si>
  <si>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</si>
  <si>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</si>
  <si>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</si>
  <si>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</si>
  <si>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</si>
  <si>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</si>
  <si>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</si>
  <si>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</si>
  <si>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</si>
  <si>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</si>
  <si>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</si>
  <si>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Sept 5/25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</si>
</sst>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I48" sqref="I48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36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45907.25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219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0</v>
      </c>
      <c r="I7" s="27">
        <v>0</v>
      </c>
      <c r="J7" s="26">
        <f>IFERROR(H7-I7,"")</f>
        <v>0</v>
      </c>
      <c r="K7" s="26">
        <f>IFERROR(($E$26/($H$27+$H$28)*$H$27)*R28,"")</f>
        <v>0</v>
      </c>
      <c r="L7" s="26">
        <f>IFERROR(($E$26/($H$27+$H$28)*$H$27)*S28,"")</f>
        <v>0</v>
      </c>
      <c r="M7" s="28">
        <f>IFERROR(K7+L7,"")</f>
        <v>0</v>
      </c>
      <c r="N7" s="29">
        <f>IFERROR(O7+P7+Q7+R7+S7+T7+U7+V7,"")</f>
        <v>0</v>
      </c>
      <c r="O7" s="26">
        <f t="shared" ref="O7:V7" si="0">IFERROR(($E$26/($H$27+$H$28)*$H$27)*J28,"")</f>
        <v>0</v>
      </c>
      <c r="P7" s="26">
        <f t="shared" si="0"/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</row>
    <row r="8" spans="1:22" x14ac:dyDescent="0.2">
      <c r="A8" s="3" t="s">
        <v>219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220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19952.653719997921</v>
      </c>
      <c r="I10" s="27">
        <v>0</v>
      </c>
      <c r="J10" s="26">
        <f>IFERROR(H10-I10,"")</f>
        <v>19952.653719997921</v>
      </c>
      <c r="K10" s="26">
        <f>IFERROR(($E$30/($H$31+$H$32)*$H$31)*R32,"")</f>
        <v>79.810614879991675</v>
      </c>
      <c r="L10" s="26">
        <f>IFERROR(($E$30/($H$31+$H$32)*$H$31)*S32,"")</f>
        <v>39.905307439995838</v>
      </c>
      <c r="M10" s="28">
        <f>IFERROR(K10+L10,"")</f>
        <v>119.71592231998751</v>
      </c>
      <c r="N10" s="29">
        <f>IFERROR(O10+P10+Q10+R10+S10+T10+U10+V10,"")</f>
        <v>19832.937797677932</v>
      </c>
      <c r="O10" s="26">
        <f t="shared" ref="O10:V10" si="2">IFERROR(($E$30/($H$31+$H$32)*$H$31)*J32,"")</f>
        <v>379.10042067996045</v>
      </c>
      <c r="P10" s="26">
        <f t="shared" si="2"/>
        <v>3970.5780902795859</v>
      </c>
      <c r="Q10" s="26">
        <f t="shared" si="2"/>
        <v>13707.47310563857</v>
      </c>
      <c r="R10" s="26">
        <f t="shared" si="2"/>
        <v>1735.8808736398187</v>
      </c>
      <c r="S10" s="26">
        <f t="shared" si="2"/>
        <v>0</v>
      </c>
      <c r="T10" s="26">
        <f t="shared" si="2"/>
        <v>0</v>
      </c>
      <c r="U10" s="26">
        <f t="shared" si="2"/>
        <v>39.905307439995838</v>
      </c>
      <c r="V10" s="26">
        <f t="shared" si="2"/>
        <v>0</v>
      </c>
    </row>
    <row r="11" spans="1:22" x14ac:dyDescent="0.2">
      <c r="A11" s="3" t="s">
        <v>220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2217.3462800020829</v>
      </c>
      <c r="I11" s="27">
        <v>0</v>
      </c>
      <c r="J11" s="26">
        <f>IFERROR(H11-I11,"")</f>
        <v>2217.3462800020829</v>
      </c>
      <c r="K11" s="26">
        <f>IFERROR(($E$30/($H$31+$H$32)*$H$32)*R32,"")</f>
        <v>8.8693851200083298</v>
      </c>
      <c r="L11" s="26">
        <f>IFERROR(($E$30/($H$31+$H$32)*$H$32)*S32,"")</f>
        <v>4.4346925600041649</v>
      </c>
      <c r="M11" s="28">
        <f>IFERROR(K11+L11,"")</f>
        <v>13.304077680012494</v>
      </c>
      <c r="N11" s="29">
        <f>IFERROR(O11+P11+Q11+R11+S11+T11+U11+V11,"")</f>
        <v>2204.0422023220704</v>
      </c>
      <c r="O11" s="26">
        <f t="shared" ref="O11:V11" si="3">IFERROR(($E$30/($H$31+$H$32)*$H$32)*J32,"")</f>
        <v>42.129579320039568</v>
      </c>
      <c r="P11" s="26">
        <f t="shared" si="3"/>
        <v>441.25190972041446</v>
      </c>
      <c r="Q11" s="26">
        <f t="shared" si="3"/>
        <v>1523.3168943614307</v>
      </c>
      <c r="R11" s="26">
        <f t="shared" si="3"/>
        <v>192.90912636018118</v>
      </c>
      <c r="S11" s="26">
        <f t="shared" si="3"/>
        <v>0</v>
      </c>
      <c r="T11" s="26">
        <f t="shared" si="3"/>
        <v>0</v>
      </c>
      <c r="U11" s="26">
        <f t="shared" si="3"/>
        <v>4.4346925600041649</v>
      </c>
      <c r="V11" s="26">
        <f t="shared" si="3"/>
        <v>0</v>
      </c>
    </row>
    <row r="13" spans="1:22" x14ac:dyDescent="0.2">
      <c r="A13" s="3" t="s">
        <v>221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17301.598601971091</v>
      </c>
      <c r="I13" s="27">
        <v>0</v>
      </c>
      <c r="J13" s="26">
        <f>IFERROR(H13-I13,"")</f>
        <v>17301.598601971091</v>
      </c>
      <c r="K13" s="26">
        <f>IFERROR(($E$34/($H$35+$H$36)*$H$35)*R36,"")</f>
        <v>69.206394407884375</v>
      </c>
      <c r="L13" s="26">
        <f>IFERROR(($E$34/($H$35+$H$36)*$H$35)*S36,"")</f>
        <v>17.301598601971094</v>
      </c>
      <c r="M13" s="28">
        <f>IFERROR(K13+L13,"")</f>
        <v>86.507993009855468</v>
      </c>
      <c r="N13" s="29">
        <f>IFERROR(O13+P13+Q13+R13+S13+T13+U13+V13,"")</f>
        <v>17215.090608961236</v>
      </c>
      <c r="O13" s="26">
        <f t="shared" ref="O13:V13" si="4">IFERROR(($E$34/($H$35+$H$36)*$H$35)*J36,"")</f>
        <v>415.23836644730625</v>
      </c>
      <c r="P13" s="26">
        <f t="shared" si="4"/>
        <v>3546.8277134040741</v>
      </c>
      <c r="Q13" s="26">
        <f t="shared" si="4"/>
        <v>12145.722218583707</v>
      </c>
      <c r="R13" s="26">
        <f t="shared" si="4"/>
        <v>1003.4927189143235</v>
      </c>
      <c r="S13" s="26">
        <f t="shared" si="4"/>
        <v>17.301598601971094</v>
      </c>
      <c r="T13" s="26">
        <f t="shared" si="4"/>
        <v>0</v>
      </c>
      <c r="U13" s="26">
        <f t="shared" si="4"/>
        <v>86.507993009855468</v>
      </c>
      <c r="V13" s="26">
        <f t="shared" si="4"/>
        <v>0</v>
      </c>
    </row>
    <row r="14" spans="1:22" x14ac:dyDescent="0.2">
      <c r="A14" s="3" t="s">
        <v>221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1163.4013980289051</v>
      </c>
      <c r="I14" s="27">
        <v>0</v>
      </c>
      <c r="J14" s="26">
        <f>IFERROR(H14-I14,"")</f>
        <v>1163.4013980289051</v>
      </c>
      <c r="K14" s="26">
        <f>IFERROR(($E$34/($H$35+$H$36)*$H$36)*R36,"")</f>
        <v>4.6536055921156203</v>
      </c>
      <c r="L14" s="26">
        <f>IFERROR(($E$34/($H$35+$H$36)*$H$36)*S36,"")</f>
        <v>1.1634013980289051</v>
      </c>
      <c r="M14" s="28">
        <f>IFERROR(K14+L14,"")</f>
        <v>5.8170069901445256</v>
      </c>
      <c r="N14" s="29">
        <f>IFERROR(O14+P14+Q14+R14+S14+T14+U14+V14,"")</f>
        <v>1157.5843910387605</v>
      </c>
      <c r="O14" s="26">
        <f t="shared" ref="O14:V14" si="5">IFERROR(($E$34/($H$35+$H$36)*$H$36)*J36,"")</f>
        <v>27.921633552693724</v>
      </c>
      <c r="P14" s="26">
        <f t="shared" si="5"/>
        <v>238.49728659592552</v>
      </c>
      <c r="Q14" s="26">
        <f t="shared" si="5"/>
        <v>816.70778141629137</v>
      </c>
      <c r="R14" s="26">
        <f t="shared" si="5"/>
        <v>67.477281085676495</v>
      </c>
      <c r="S14" s="26">
        <f t="shared" si="5"/>
        <v>1.1634013980289051</v>
      </c>
      <c r="T14" s="26">
        <f t="shared" si="5"/>
        <v>0</v>
      </c>
      <c r="U14" s="26">
        <f t="shared" si="5"/>
        <v>5.8170069901445256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223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11084.999999999998</v>
      </c>
      <c r="I16" s="27">
        <v>0</v>
      </c>
      <c r="J16" s="26">
        <f>IFERROR(H16-I16,"")</f>
        <v>11084.999999999998</v>
      </c>
      <c r="K16" s="26">
        <f>IFERROR(($E$38/($H$39)*$H$39)*R40,"")</f>
        <v>66.510000000000005</v>
      </c>
      <c r="L16" s="26">
        <f>IFERROR(($E$38/($H$39)*$H$39)*S40,"")</f>
        <v>22.17</v>
      </c>
      <c r="M16" s="28">
        <f>IFERROR(K16+L16,"")</f>
        <v>88.68</v>
      </c>
      <c r="N16" s="29">
        <f>IFERROR(O16+P16+Q16+R16+S16+T16+U16+V16,"")</f>
        <v>10996.319999999998</v>
      </c>
      <c r="O16" s="26">
        <f t="shared" ref="O16:V16" si="6">IFERROR(($E$38/($H$39)*$H$39)*J40,"")</f>
        <v>908.97</v>
      </c>
      <c r="P16" s="26">
        <f t="shared" si="6"/>
        <v>3525.03</v>
      </c>
      <c r="Q16" s="26">
        <f t="shared" si="6"/>
        <v>6163.26</v>
      </c>
      <c r="R16" s="26">
        <f t="shared" si="6"/>
        <v>354.72</v>
      </c>
      <c r="S16" s="26">
        <f t="shared" si="6"/>
        <v>11.085000000000001</v>
      </c>
      <c r="T16" s="26">
        <f t="shared" si="6"/>
        <v>0</v>
      </c>
      <c r="U16" s="26">
        <f t="shared" si="6"/>
        <v>33.255000000000003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51720</v>
      </c>
      <c r="I19" s="37">
        <f t="shared" si="7"/>
        <v>0</v>
      </c>
      <c r="J19" s="37">
        <f t="shared" si="7"/>
        <v>51720</v>
      </c>
      <c r="K19" s="37">
        <f t="shared" si="7"/>
        <v>229.05</v>
      </c>
      <c r="L19" s="37">
        <f t="shared" si="7"/>
        <v>84.974999999999994</v>
      </c>
      <c r="M19" s="37">
        <f t="shared" si="7"/>
        <v>314.02500000000003</v>
      </c>
      <c r="N19" s="37">
        <f t="shared" si="7"/>
        <v>51405.974999999999</v>
      </c>
      <c r="O19" s="37">
        <f t="shared" si="7"/>
        <v>1773.3600000000001</v>
      </c>
      <c r="P19" s="37">
        <f t="shared" si="7"/>
        <v>11722.185000000001</v>
      </c>
      <c r="Q19" s="37">
        <f t="shared" si="7"/>
        <v>34356.480000000003</v>
      </c>
      <c r="R19" s="37">
        <f t="shared" si="7"/>
        <v>3354.4800000000005</v>
      </c>
      <c r="S19" s="37">
        <f t="shared" si="7"/>
        <v>29.55</v>
      </c>
      <c r="T19" s="37">
        <f t="shared" si="7"/>
        <v>0</v>
      </c>
      <c r="U19" s="37">
        <f t="shared" si="7"/>
        <v>169.92000000000002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51720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19890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219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49262</v>
      </c>
      <c r="I27" s="26"/>
      <c r="J27" s="198">
        <f t="shared" ref="J27:S27" si="8">$E26*J28</f>
        <v>0</v>
      </c>
      <c r="K27" s="198">
        <f t="shared" si="8"/>
        <v>0</v>
      </c>
      <c r="L27" s="198">
        <f t="shared" si="8"/>
        <v>0</v>
      </c>
      <c r="M27" s="198">
        <f t="shared" si="8"/>
        <v>0</v>
      </c>
      <c r="N27" s="198">
        <f t="shared" si="8"/>
        <v>0</v>
      </c>
      <c r="O27" s="198">
        <f t="shared" si="8"/>
        <v>0</v>
      </c>
      <c r="P27" s="198">
        <f t="shared" si="8"/>
        <v>0</v>
      </c>
      <c r="Q27" s="198">
        <f t="shared" si="8"/>
        <v>0</v>
      </c>
      <c r="R27" s="198">
        <f t="shared" si="8"/>
        <v>0</v>
      </c>
      <c r="S27" s="198">
        <f t="shared" si="8"/>
        <v>0</v>
      </c>
      <c r="T27" s="199">
        <f>SUM(J27:S27)</f>
        <v>0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0</v>
      </c>
      <c r="K28" s="197">
        <f>Inputs!B38</f>
        <v>0</v>
      </c>
      <c r="L28" s="197">
        <f>Inputs!B39</f>
        <v>0</v>
      </c>
      <c r="M28" s="197">
        <f>Inputs!B40</f>
        <v>0</v>
      </c>
      <c r="N28" s="197">
        <f>Inputs!B41</f>
        <v>0</v>
      </c>
      <c r="O28" s="197">
        <v>0</v>
      </c>
      <c r="P28" s="197">
        <f>Inputs!B49</f>
        <v>0</v>
      </c>
      <c r="Q28" s="197">
        <f>Inputs!B42</f>
        <v>0</v>
      </c>
      <c r="R28" s="197">
        <f>Inputs!B48+Inputs!B50</f>
        <v>0</v>
      </c>
      <c r="S28" s="197">
        <f>Inputs!B47</f>
        <v>0</v>
      </c>
      <c r="T28" s="200">
        <f>SUM(J28:S28)</f>
        <v>0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22170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220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34572</v>
      </c>
      <c r="I31" s="30"/>
      <c r="J31" s="198">
        <f t="shared" ref="J31:S31" si="9">$E30*J32</f>
        <v>421.22999999999996</v>
      </c>
      <c r="K31" s="198">
        <f t="shared" si="9"/>
        <v>4411.83</v>
      </c>
      <c r="L31" s="198">
        <f t="shared" si="9"/>
        <v>15230.79</v>
      </c>
      <c r="M31" s="198">
        <f t="shared" si="9"/>
        <v>1928.79</v>
      </c>
      <c r="N31" s="198">
        <f t="shared" si="9"/>
        <v>0</v>
      </c>
      <c r="O31" s="198">
        <f t="shared" si="9"/>
        <v>0</v>
      </c>
      <c r="P31" s="198">
        <f t="shared" si="9"/>
        <v>44.34</v>
      </c>
      <c r="Q31" s="198">
        <f t="shared" si="9"/>
        <v>0</v>
      </c>
      <c r="R31" s="198">
        <f t="shared" si="9"/>
        <v>88.68</v>
      </c>
      <c r="S31" s="198">
        <f t="shared" si="9"/>
        <v>44.34</v>
      </c>
      <c r="T31" s="199">
        <f>SUM(J31:S31)</f>
        <v>22170</v>
      </c>
    </row>
    <row r="32" spans="1:22" x14ac:dyDescent="0.2">
      <c r="A32" s="3" t="s">
        <v>220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3842</v>
      </c>
      <c r="I32" s="30"/>
      <c r="J32" s="197">
        <f>Inputs!C37</f>
        <v>1.9E-2</v>
      </c>
      <c r="K32" s="197">
        <f>Inputs!C38</f>
        <v>0.19900000000000001</v>
      </c>
      <c r="L32" s="197">
        <f>Inputs!C39</f>
        <v>0.68700000000000006</v>
      </c>
      <c r="M32" s="197">
        <f>Inputs!C40</f>
        <v>8.6999999999999994E-2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2E-3</v>
      </c>
      <c r="T32" s="200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222</v>
      </c>
      <c r="B34" s="51"/>
      <c r="C34" s="51"/>
      <c r="D34" s="51"/>
      <c r="E34" s="208">
        <f>Inputs!J31+Inputs!K31</f>
        <v>18465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221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29758</v>
      </c>
      <c r="I35" s="30"/>
      <c r="J35" s="198">
        <f t="shared" ref="J35:S35" si="10">$E$34*J36</f>
        <v>443.16</v>
      </c>
      <c r="K35" s="198">
        <f t="shared" si="10"/>
        <v>3785.3249999999998</v>
      </c>
      <c r="L35" s="198">
        <f t="shared" si="10"/>
        <v>12962.429999999998</v>
      </c>
      <c r="M35" s="198">
        <f t="shared" si="10"/>
        <v>1070.97</v>
      </c>
      <c r="N35" s="198">
        <f t="shared" si="10"/>
        <v>18.465</v>
      </c>
      <c r="O35" s="198">
        <f t="shared" si="10"/>
        <v>0</v>
      </c>
      <c r="P35" s="198">
        <f t="shared" si="10"/>
        <v>92.325000000000003</v>
      </c>
      <c r="Q35" s="198">
        <f t="shared" si="10"/>
        <v>0</v>
      </c>
      <c r="R35" s="198">
        <f t="shared" si="10"/>
        <v>73.86</v>
      </c>
      <c r="S35" s="198">
        <f t="shared" si="10"/>
        <v>18.465</v>
      </c>
      <c r="T35" s="199">
        <f>SUM(J35:S35)</f>
        <v>18465</v>
      </c>
    </row>
    <row r="36" spans="1:20" x14ac:dyDescent="0.2">
      <c r="A36" s="3" t="s">
        <v>221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2001</v>
      </c>
      <c r="I36" s="30"/>
      <c r="J36" s="197">
        <f>Inputs!D37</f>
        <v>2.4E-2</v>
      </c>
      <c r="K36" s="197">
        <f>Inputs!D38</f>
        <v>0.20499999999999999</v>
      </c>
      <c r="L36" s="197">
        <f>Inputs!D39</f>
        <v>0.70199999999999996</v>
      </c>
      <c r="M36" s="197">
        <f>Inputs!D40</f>
        <v>5.8000000000000003E-2</v>
      </c>
      <c r="N36" s="197">
        <f>Inputs!D41</f>
        <v>1E-3</v>
      </c>
      <c r="O36" s="197">
        <v>0</v>
      </c>
      <c r="P36" s="197">
        <f>Inputs!D49</f>
        <v>5.0000000000000001E-3</v>
      </c>
      <c r="Q36" s="197">
        <f>Inputs!D42</f>
        <v>0</v>
      </c>
      <c r="R36" s="197">
        <f>Inputs!D50+Inputs!D48</f>
        <v>4.0000000000000001E-3</v>
      </c>
      <c r="S36" s="197">
        <f>Inputs!D47</f>
        <v>1E-3</v>
      </c>
      <c r="T36" s="200">
        <f>SUM(J36:S36)</f>
        <v>1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11085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223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18482</v>
      </c>
      <c r="I39" s="30"/>
      <c r="J39" s="198">
        <f t="shared" ref="J39:S39" si="11">$E38*J40</f>
        <v>908.97</v>
      </c>
      <c r="K39" s="198">
        <f t="shared" si="11"/>
        <v>3525.03</v>
      </c>
      <c r="L39" s="198">
        <f t="shared" si="11"/>
        <v>6163.26</v>
      </c>
      <c r="M39" s="198">
        <f t="shared" si="11"/>
        <v>354.72</v>
      </c>
      <c r="N39" s="198">
        <f t="shared" si="11"/>
        <v>11.085000000000001</v>
      </c>
      <c r="O39" s="198">
        <f t="shared" si="11"/>
        <v>0</v>
      </c>
      <c r="P39" s="198">
        <f t="shared" si="11"/>
        <v>33.255000000000003</v>
      </c>
      <c r="Q39" s="198">
        <f t="shared" si="11"/>
        <v>0</v>
      </c>
      <c r="R39" s="198">
        <f t="shared" si="11"/>
        <v>66.510000000000005</v>
      </c>
      <c r="S39" s="198">
        <f t="shared" si="11"/>
        <v>22.17</v>
      </c>
      <c r="T39" s="199">
        <f>SUM(J39:S39)</f>
        <v>11084.999999999998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8.2000000000000003E-2</v>
      </c>
      <c r="K40" s="197">
        <f>Inputs!E38</f>
        <v>0.318</v>
      </c>
      <c r="L40" s="197">
        <f>Inputs!E39</f>
        <v>0.55600000000000005</v>
      </c>
      <c r="M40" s="197">
        <f>Inputs!E40</f>
        <v>3.2000000000000001E-2</v>
      </c>
      <c r="N40" s="197">
        <f>Inputs!E41</f>
        <v>1E-3</v>
      </c>
      <c r="O40" s="197">
        <v>0</v>
      </c>
      <c r="P40" s="197">
        <f>Inputs!E49</f>
        <v>3.0000000000000001E-3</v>
      </c>
      <c r="Q40" s="197">
        <f>Inputs!E42</f>
        <v>0</v>
      </c>
      <c r="R40" s="197">
        <f>Inputs!E48+Inputs!E50</f>
        <v>6.0000000000000001E-3</v>
      </c>
      <c r="S40" s="197">
        <f>Inputs!E47</f>
        <v>2E-3</v>
      </c>
      <c r="T40" s="200">
        <f>SUM(J40:S40)</f>
        <v>1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C21" sqref="C21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45907.25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36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1440</v>
      </c>
      <c r="C13" s="220">
        <f>'Grade out Information'!X26</f>
        <v>21600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120</v>
      </c>
      <c r="C21" s="220">
        <f>'Grade out Information'!E11</f>
        <v>1800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1560</v>
      </c>
      <c r="C27" s="222">
        <f>SUM(C13:C26)</f>
        <v>23400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Q30" sqref="Q30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36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1800</v>
      </c>
      <c r="F11" s="217"/>
      <c r="G11" s="228">
        <f>SUM(C11:F11)</f>
        <v>1800</v>
      </c>
      <c r="H11" s="229">
        <f>G11/15</f>
        <v>120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226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</v>
      </c>
      <c r="L15" s="133">
        <f>X15*M15</f>
        <v>0</v>
      </c>
      <c r="M15" s="184">
        <f>Inputs!B39</f>
        <v>0</v>
      </c>
      <c r="N15" s="133">
        <f>X15*O15</f>
        <v>0</v>
      </c>
      <c r="O15" s="184">
        <f>Inputs!B40</f>
        <v>0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0</v>
      </c>
      <c r="X15" s="213">
        <f>Z15*15</f>
        <v>20700</v>
      </c>
      <c r="Y15" s="209">
        <f>K15+M15+O15+Q15+S15+U15+W15</f>
        <v>0</v>
      </c>
      <c r="Z15" s="226">
        <f>Inputs!I35</f>
        <v>1380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227</v>
      </c>
      <c r="C17" s="133"/>
      <c r="D17" s="133"/>
      <c r="E17" s="133"/>
      <c r="F17" s="133"/>
      <c r="G17" s="133"/>
      <c r="H17" s="133"/>
      <c r="I17" s="133">
        <f>J17+L17+N17+P17+R17+T17+V17</f>
        <v>0</v>
      </c>
      <c r="J17" s="133">
        <f>X17*K17</f>
        <v>0</v>
      </c>
      <c r="K17" s="184">
        <f>Inputs!C36</f>
        <v>0.218</v>
      </c>
      <c r="L17" s="133">
        <f>X17*M17</f>
        <v>0</v>
      </c>
      <c r="M17" s="184">
        <f>Inputs!C39</f>
        <v>0.68700000000000006</v>
      </c>
      <c r="N17" s="133">
        <f>X17*O17</f>
        <v>0</v>
      </c>
      <c r="O17" s="184">
        <f>Inputs!C40</f>
        <v>8.6999999999999994E-2</v>
      </c>
      <c r="P17" s="133">
        <f>X17*Q17</f>
        <v>0</v>
      </c>
      <c r="Q17" s="184">
        <f>Inputs!C41</f>
        <v>0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0</v>
      </c>
      <c r="W17" s="185">
        <f>Inputs!C43</f>
        <v>8.0000000000000002E-3</v>
      </c>
      <c r="X17" s="213">
        <f>Z17*15</f>
        <v>0</v>
      </c>
      <c r="Y17" s="209">
        <f>K17+M17+O17+Q17+S17+U17+W17</f>
        <v>1</v>
      </c>
      <c r="Z17" s="226">
        <f>Inputs!I36</f>
        <v>0</v>
      </c>
      <c r="AA17" s="3"/>
      <c r="AB17" s="133"/>
      <c r="AC17" s="3"/>
      <c r="AD17" s="133"/>
    </row>
    <row r="18" spans="1:30" ht="15" x14ac:dyDescent="0.25">
      <c r="A18" s="133"/>
      <c r="B18" s="133" t="s">
        <v>228</v>
      </c>
      <c r="C18" s="133"/>
      <c r="D18" s="133"/>
      <c r="E18" s="133"/>
      <c r="F18" s="133"/>
      <c r="G18" s="133"/>
      <c r="H18" s="133"/>
      <c r="I18" s="133">
        <f>J18+L18+N18+P18+R18+T18+V18</f>
        <v>900</v>
      </c>
      <c r="J18" s="133">
        <f>X18*K18</f>
        <v>196.2</v>
      </c>
      <c r="K18" s="184">
        <f>K17</f>
        <v>0.218</v>
      </c>
      <c r="L18" s="133">
        <f>X18*M18</f>
        <v>618.30000000000007</v>
      </c>
      <c r="M18" s="184">
        <f>M17</f>
        <v>0.68700000000000006</v>
      </c>
      <c r="N18" s="133">
        <f>X18*O18</f>
        <v>78.3</v>
      </c>
      <c r="O18" s="184">
        <f>O17</f>
        <v>8.6999999999999994E-2</v>
      </c>
      <c r="P18" s="133">
        <f>X18*Q18</f>
        <v>0</v>
      </c>
      <c r="Q18" s="184">
        <f>Q17</f>
        <v>0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7.2</v>
      </c>
      <c r="W18" s="185">
        <f>W17</f>
        <v>8.0000000000000002E-3</v>
      </c>
      <c r="X18" s="213">
        <f>Z18*15</f>
        <v>900</v>
      </c>
      <c r="Y18" s="209">
        <f>K18+M18+O18+Q18+S18+U18+W18</f>
        <v>1</v>
      </c>
      <c r="Z18" s="226">
        <f>Inputs!I37</f>
        <v>60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224</v>
      </c>
      <c r="C20" s="133"/>
      <c r="D20" s="133"/>
      <c r="E20" s="133"/>
      <c r="F20" s="133"/>
      <c r="G20" s="133"/>
      <c r="H20" s="133"/>
      <c r="I20" s="133">
        <f>J20+L20+N20+P20+R20+T20+V20</f>
        <v>0</v>
      </c>
      <c r="J20" s="133">
        <f>X20*K20</f>
        <v>0</v>
      </c>
      <c r="K20" s="184">
        <f>Inputs!D36</f>
        <v>0.22899999999999998</v>
      </c>
      <c r="L20" s="133">
        <f>X20*M20</f>
        <v>0</v>
      </c>
      <c r="M20" s="184">
        <f>Inputs!D39</f>
        <v>0.70199999999999996</v>
      </c>
      <c r="N20" s="133">
        <f>X20*O20</f>
        <v>0</v>
      </c>
      <c r="O20" s="184">
        <f>Inputs!D40</f>
        <v>5.8000000000000003E-2</v>
      </c>
      <c r="P20" s="133">
        <f>X20*Q20</f>
        <v>0</v>
      </c>
      <c r="Q20" s="184">
        <f>Inputs!D41</f>
        <v>1E-3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0</v>
      </c>
      <c r="W20" s="185">
        <f>Inputs!D43</f>
        <v>0.01</v>
      </c>
      <c r="X20" s="213">
        <f>Z20*15</f>
        <v>0</v>
      </c>
      <c r="Y20" s="209">
        <f>K20+M20+O20+Q20+S20+U20+W20</f>
        <v>1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225</v>
      </c>
      <c r="C21" s="133"/>
      <c r="D21" s="133"/>
      <c r="E21" s="133"/>
      <c r="F21" s="133"/>
      <c r="G21" s="133"/>
      <c r="H21" s="133"/>
      <c r="I21" s="133">
        <f>J21+L21+N21+P21+R21+T21+V21</f>
        <v>0</v>
      </c>
      <c r="J21" s="133">
        <f>X21*K21</f>
        <v>0</v>
      </c>
      <c r="K21" s="184">
        <f>K20</f>
        <v>0.22899999999999998</v>
      </c>
      <c r="L21" s="133">
        <f>X21*M21</f>
        <v>0</v>
      </c>
      <c r="M21" s="184">
        <f>M20</f>
        <v>0.70199999999999996</v>
      </c>
      <c r="N21" s="133">
        <f>X21*O21</f>
        <v>0</v>
      </c>
      <c r="O21" s="184">
        <f>O20</f>
        <v>5.8000000000000003E-2</v>
      </c>
      <c r="P21" s="133">
        <f>X21*Q21</f>
        <v>0</v>
      </c>
      <c r="Q21" s="184">
        <f>Q20</f>
        <v>1E-3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0</v>
      </c>
      <c r="W21" s="185">
        <f>W20</f>
        <v>0.01</v>
      </c>
      <c r="X21" s="213">
        <f>Z21*15</f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229</v>
      </c>
      <c r="C23" s="133"/>
      <c r="D23" s="133"/>
      <c r="E23" s="133"/>
      <c r="F23" s="133"/>
      <c r="G23" s="133"/>
      <c r="H23" s="133"/>
      <c r="I23" s="133">
        <f>J23+L23+N23+P23+R23+T23+V23</f>
        <v>0</v>
      </c>
      <c r="J23" s="133">
        <f>X23*K23</f>
        <v>0</v>
      </c>
      <c r="K23" s="184">
        <f>Inputs!E36</f>
        <v>0.4</v>
      </c>
      <c r="L23" s="133">
        <f>X23*M23</f>
        <v>0</v>
      </c>
      <c r="M23" s="184">
        <f>Inputs!E39</f>
        <v>0.55600000000000005</v>
      </c>
      <c r="N23" s="133">
        <f>X23*O23</f>
        <v>0</v>
      </c>
      <c r="O23" s="184">
        <f>Inputs!E40</f>
        <v>3.2000000000000001E-2</v>
      </c>
      <c r="P23" s="133">
        <f>X23*Q23</f>
        <v>0</v>
      </c>
      <c r="Q23" s="184">
        <f>Inputs!E41</f>
        <v>1E-3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0</v>
      </c>
      <c r="W23" s="218">
        <f>Inputs!E43</f>
        <v>1.0999999999999999E-2</v>
      </c>
      <c r="X23" s="213">
        <f>Z23*15</f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1800</v>
      </c>
      <c r="F26" s="139">
        <f>SUM(F11:F25)</f>
        <v>0</v>
      </c>
      <c r="G26" s="139">
        <f>G11+G12</f>
        <v>1800</v>
      </c>
      <c r="H26" s="139">
        <f>SUM(H11+H12)</f>
        <v>120</v>
      </c>
      <c r="I26" s="141"/>
      <c r="J26" s="139">
        <f>SUM(J15:J25)</f>
        <v>196.2</v>
      </c>
      <c r="K26" s="139"/>
      <c r="L26" s="139">
        <f>SUM(L15:L25)</f>
        <v>618.30000000000007</v>
      </c>
      <c r="M26" s="139"/>
      <c r="N26" s="139">
        <f>SUM(N15:N25)</f>
        <v>78.3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7.2</v>
      </c>
      <c r="W26" s="139"/>
      <c r="X26" s="139">
        <f>SUM(X15:X25)</f>
        <v>21600</v>
      </c>
      <c r="Y26" s="139"/>
      <c r="Z26" s="139">
        <f>SUM(Z15:Z25)</f>
        <v>1440</v>
      </c>
      <c r="AA26" s="141">
        <f>IF(Z33=0,0,Z33/(H33+Z33))</f>
        <v>0</v>
      </c>
      <c r="AB26" s="139">
        <f>G26+X26</f>
        <v>23400</v>
      </c>
      <c r="AC26" s="139">
        <f>H26+Z26</f>
        <v>1560</v>
      </c>
      <c r="AD26" s="141">
        <f>I26+AA26</f>
        <v>0</v>
      </c>
    </row>
    <row r="30" spans="1:30" x14ac:dyDescent="0.2">
      <c r="A30" s="3" t="s">
        <v>100</v>
      </c>
      <c r="B30">
        <f>J26</f>
        <v>196.2</v>
      </c>
    </row>
    <row r="31" spans="1:30" x14ac:dyDescent="0.2">
      <c r="A31" s="3" t="s">
        <v>101</v>
      </c>
      <c r="B31">
        <f>L26</f>
        <v>618.30000000000007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78.3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7.2</v>
      </c>
    </row>
    <row r="38" spans="1:13" x14ac:dyDescent="0.2">
      <c r="A38" s="3" t="s">
        <v>119</v>
      </c>
      <c r="B38">
        <f>SUM(B30:B36)</f>
        <v>900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H13" sqref="H13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219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49262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220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34572</v>
      </c>
    </row>
    <row r="6" spans="1:9" x14ac:dyDescent="0.2">
      <c r="A6" s="3" t="s">
        <v>220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3842</v>
      </c>
      <c r="I6" s="30"/>
    </row>
    <row r="7" spans="1:9" ht="15" x14ac:dyDescent="0.2">
      <c r="I7" s="58"/>
    </row>
    <row r="8" spans="1:9" x14ac:dyDescent="0.2">
      <c r="A8" s="3" t="s">
        <v>221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29758</v>
      </c>
      <c r="I8" s="25"/>
    </row>
    <row r="9" spans="1:9" x14ac:dyDescent="0.2">
      <c r="A9" s="3" t="s">
        <v>221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2001</v>
      </c>
    </row>
    <row r="10" spans="1:9" x14ac:dyDescent="0.2">
      <c r="H10" s="195"/>
      <c r="I10" s="30"/>
    </row>
    <row r="11" spans="1:9" ht="15" x14ac:dyDescent="0.2">
      <c r="A11" s="3" t="s">
        <v>223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18482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36" sqref="N36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36</v>
      </c>
      <c r="C7" s="151">
        <v>940974</v>
      </c>
      <c r="D7" s="188" t="s">
        <v>5</v>
      </c>
      <c r="E7" s="148">
        <v>60</v>
      </c>
      <c r="F7" s="188" t="s">
        <v>113</v>
      </c>
      <c r="G7" s="188"/>
      <c r="H7" s="191" t="s">
        <v>201</v>
      </c>
      <c r="I7" s="210">
        <f>IF(K7&gt;0,K7-J7,"NA")</f>
        <v>1251</v>
      </c>
      <c r="J7" s="189">
        <f>IF(H7="NEW",203, IF(H7="OLD",192,0))</f>
        <v>203</v>
      </c>
      <c r="K7" s="151">
        <v>1454</v>
      </c>
      <c r="L7" s="211">
        <f>IF(K7&gt;0,I7/E7,"NA")</f>
        <v>20.85</v>
      </c>
      <c r="M7" s="151">
        <v>135160</v>
      </c>
      <c r="N7" s="152" t="s">
        <v>235</v>
      </c>
      <c r="O7" s="157" t="s">
        <v>47</v>
      </c>
      <c r="P7" s="187">
        <f>IF(D7=Inputs!F$4,Inputs!I$4,IF(D7=Inputs!F$2,Inputs!I$2,IF(D7=Inputs!F$3,Inputs!I$3,IF(D7=Inputs!F$5,Inputs!I$5,"NA"))))</f>
        <v>22.464285714285715</v>
      </c>
    </row>
    <row r="8" spans="1:16" x14ac:dyDescent="0.25">
      <c r="A8" s="148">
        <v>2</v>
      </c>
      <c r="B8" s="189">
        <f>Inputs!C$2</f>
        <v>36</v>
      </c>
      <c r="C8" s="151">
        <v>940975</v>
      </c>
      <c r="D8" s="188" t="s">
        <v>5</v>
      </c>
      <c r="E8" s="148">
        <v>60</v>
      </c>
      <c r="F8" s="188" t="s">
        <v>113</v>
      </c>
      <c r="G8" s="188"/>
      <c r="H8" s="191" t="s">
        <v>201</v>
      </c>
      <c r="I8" s="210">
        <f t="shared" ref="I8:I70" si="0">IF(K8&gt;0,K8-J8,"NA")</f>
        <v>1141</v>
      </c>
      <c r="J8" s="189">
        <f>IF(H8="NEW",203, IF(H8="OLD",192,0))</f>
        <v>203</v>
      </c>
      <c r="K8" s="151">
        <v>1344</v>
      </c>
      <c r="L8" s="211">
        <f>IF(K8&gt;0,I8/E8,"NA")</f>
        <v>19.016666666666666</v>
      </c>
      <c r="M8" s="151">
        <v>135160</v>
      </c>
      <c r="N8" s="152" t="s">
        <v>235</v>
      </c>
      <c r="O8" s="157" t="s">
        <v>47</v>
      </c>
      <c r="P8" s="187">
        <f>IF(D8=Inputs!F$4,Inputs!I$4,IF(D8=Inputs!F$2,Inputs!I$2,IF(D8=Inputs!F$3,Inputs!I$3,IF(D8=Inputs!F$5,Inputs!I$5,"NA"))))</f>
        <v>22.464285714285715</v>
      </c>
    </row>
    <row r="9" spans="1:16" x14ac:dyDescent="0.25">
      <c r="A9" s="148">
        <v>3</v>
      </c>
      <c r="B9" s="189">
        <f>Inputs!C$2</f>
        <v>36</v>
      </c>
      <c r="C9" s="151">
        <v>940976</v>
      </c>
      <c r="D9" s="188" t="s">
        <v>5</v>
      </c>
      <c r="E9" s="148">
        <v>60</v>
      </c>
      <c r="F9" s="188" t="s">
        <v>113</v>
      </c>
      <c r="G9" s="188"/>
      <c r="H9" s="191" t="s">
        <v>201</v>
      </c>
      <c r="I9" s="210">
        <f t="shared" si="0"/>
        <v>1161</v>
      </c>
      <c r="J9" s="189">
        <f>IF(H9="NEW",203, IF(H9="OLD",192,0))</f>
        <v>203</v>
      </c>
      <c r="K9" s="151">
        <v>1364</v>
      </c>
      <c r="L9" s="211">
        <f t="shared" ref="L9:L72" si="1">IF(K9&gt;0,I9/E9,"NA")</f>
        <v>19.350000000000001</v>
      </c>
      <c r="M9" s="151">
        <v>135160</v>
      </c>
      <c r="N9" s="152" t="s">
        <v>235</v>
      </c>
      <c r="O9" s="157" t="s">
        <v>47</v>
      </c>
      <c r="P9" s="187">
        <f>IF(D9=Inputs!F$4,Inputs!I$4,IF(D9=Inputs!F$2,Inputs!I$2,IF(D9=Inputs!F$3,Inputs!I$3,IF(D9=Inputs!F$5,Inputs!I$5,"NA"))))</f>
        <v>22.464285714285715</v>
      </c>
    </row>
    <row r="10" spans="1:16" x14ac:dyDescent="0.25">
      <c r="A10" s="148">
        <v>4</v>
      </c>
      <c r="B10" s="189">
        <f>Inputs!C$2</f>
        <v>36</v>
      </c>
      <c r="C10" s="151">
        <v>940977</v>
      </c>
      <c r="D10" s="188" t="s">
        <v>6</v>
      </c>
      <c r="E10" s="148">
        <v>60</v>
      </c>
      <c r="F10" s="188"/>
      <c r="G10" s="188" t="s">
        <v>10</v>
      </c>
      <c r="H10" s="191" t="s">
        <v>201</v>
      </c>
      <c r="I10" s="210" t="str">
        <f t="shared" si="0"/>
        <v>NA</v>
      </c>
      <c r="J10" s="189">
        <f>IF(H10="NEW",203, IF(H10="OLD",192,0))</f>
        <v>203</v>
      </c>
      <c r="K10" s="151"/>
      <c r="L10" s="211" t="str">
        <f t="shared" si="1"/>
        <v>NA</v>
      </c>
      <c r="M10" s="151">
        <v>135160</v>
      </c>
      <c r="N10" s="152" t="s">
        <v>235</v>
      </c>
      <c r="O10" s="157" t="s">
        <v>10</v>
      </c>
      <c r="P10" s="187" t="str">
        <f>IF(D10=Inputs!F$4,Inputs!I$4,IF(D10=Inputs!F$2,Inputs!I$2,IF(D10=Inputs!F$3,Inputs!I$3,IF(D10=Inputs!F$5,Inputs!I$5,"NA"))))</f>
        <v>NA</v>
      </c>
    </row>
    <row r="11" spans="1:16" x14ac:dyDescent="0.25">
      <c r="A11" s="148">
        <v>5</v>
      </c>
      <c r="B11" s="189">
        <f>Inputs!C$2</f>
        <v>36</v>
      </c>
      <c r="C11" s="151">
        <v>940978</v>
      </c>
      <c r="D11" s="188" t="s">
        <v>5</v>
      </c>
      <c r="E11" s="148">
        <v>60</v>
      </c>
      <c r="F11" s="188" t="s">
        <v>113</v>
      </c>
      <c r="G11" s="188"/>
      <c r="H11" s="191" t="s">
        <v>201</v>
      </c>
      <c r="I11" s="210">
        <f>IF(K11&gt;0,K11-J11,"NA")</f>
        <v>1171</v>
      </c>
      <c r="J11" s="189">
        <f t="shared" ref="J11:J72" si="2">IF(H11="NEW",203, IF(H11="OLD",192,0))</f>
        <v>203</v>
      </c>
      <c r="K11" s="151">
        <v>1374</v>
      </c>
      <c r="L11" s="211">
        <f>IF(K11&gt;0,I11/E11,"NA")</f>
        <v>19.516666666666666</v>
      </c>
      <c r="M11" s="151">
        <v>135160</v>
      </c>
      <c r="N11" s="152" t="s">
        <v>235</v>
      </c>
      <c r="O11" s="157" t="s">
        <v>47</v>
      </c>
      <c r="P11" s="187">
        <f>IF(D11=Inputs!F$4,Inputs!I$4,IF(D11=Inputs!F$2,Inputs!I$2,IF(D11=Inputs!F$3,Inputs!I$3,IF(D11=Inputs!F$5,Inputs!I$5,"NA"))))</f>
        <v>22.464285714285715</v>
      </c>
    </row>
    <row r="12" spans="1:16" x14ac:dyDescent="0.25">
      <c r="A12" s="148">
        <v>6</v>
      </c>
      <c r="B12" s="189">
        <f>Inputs!C$2</f>
        <v>36</v>
      </c>
      <c r="C12" s="151">
        <v>940979</v>
      </c>
      <c r="D12" s="188" t="s">
        <v>5</v>
      </c>
      <c r="E12" s="148">
        <v>60</v>
      </c>
      <c r="F12" s="188" t="s">
        <v>113</v>
      </c>
      <c r="G12" s="188"/>
      <c r="H12" s="191" t="s">
        <v>201</v>
      </c>
      <c r="I12" s="210">
        <f t="shared" si="0"/>
        <v>1219</v>
      </c>
      <c r="J12" s="189">
        <f t="shared" si="2"/>
        <v>203</v>
      </c>
      <c r="K12" s="151">
        <v>1422</v>
      </c>
      <c r="L12" s="211">
        <f t="shared" si="1"/>
        <v>20.316666666666666</v>
      </c>
      <c r="M12" s="151">
        <v>135160</v>
      </c>
      <c r="N12" s="152" t="s">
        <v>235</v>
      </c>
      <c r="O12" s="157" t="s">
        <v>47</v>
      </c>
      <c r="P12" s="187">
        <f>IF(D12=Inputs!F$4,Inputs!I$4,IF(D12=Inputs!F$2,Inputs!I$2,IF(D12=Inputs!F$3,Inputs!I$3,IF(D12=Inputs!F$5,Inputs!I$5,"NA"))))</f>
        <v>22.464285714285715</v>
      </c>
    </row>
    <row r="13" spans="1:16" x14ac:dyDescent="0.25">
      <c r="A13" s="148">
        <v>7</v>
      </c>
      <c r="B13" s="189">
        <f>Inputs!C$2</f>
        <v>36</v>
      </c>
      <c r="C13" s="151">
        <v>940980</v>
      </c>
      <c r="D13" s="188" t="s">
        <v>6</v>
      </c>
      <c r="E13" s="148">
        <v>60</v>
      </c>
      <c r="F13" s="188"/>
      <c r="G13" s="188" t="s">
        <v>10</v>
      </c>
      <c r="H13" s="191" t="s">
        <v>201</v>
      </c>
      <c r="I13" s="210" t="str">
        <f t="shared" si="0"/>
        <v>NA</v>
      </c>
      <c r="J13" s="189">
        <f t="shared" si="2"/>
        <v>203</v>
      </c>
      <c r="K13" s="151"/>
      <c r="L13" s="211" t="str">
        <f t="shared" si="1"/>
        <v>NA</v>
      </c>
      <c r="M13" s="151">
        <v>135160</v>
      </c>
      <c r="N13" s="152" t="s">
        <v>235</v>
      </c>
      <c r="O13" s="157" t="s">
        <v>10</v>
      </c>
      <c r="P13" s="187" t="str">
        <f>IF(D13=Inputs!F$4,Inputs!I$4,IF(D13=Inputs!F$2,Inputs!I$2,IF(D13=Inputs!F$3,Inputs!I$3,IF(D13=Inputs!F$5,Inputs!I$5,"NA"))))</f>
        <v>NA</v>
      </c>
    </row>
    <row r="14" spans="1:16" x14ac:dyDescent="0.25">
      <c r="A14" s="148">
        <v>8</v>
      </c>
      <c r="B14" s="189">
        <f>Inputs!C$2</f>
        <v>36</v>
      </c>
      <c r="C14" s="151">
        <v>940981</v>
      </c>
      <c r="D14" s="188" t="s">
        <v>5</v>
      </c>
      <c r="E14" s="148">
        <v>60</v>
      </c>
      <c r="F14" s="188" t="s">
        <v>113</v>
      </c>
      <c r="G14" s="188"/>
      <c r="H14" s="191" t="s">
        <v>201</v>
      </c>
      <c r="I14" s="210">
        <f t="shared" si="0"/>
        <v>1197</v>
      </c>
      <c r="J14" s="189">
        <f t="shared" si="2"/>
        <v>203</v>
      </c>
      <c r="K14" s="151">
        <v>1400</v>
      </c>
      <c r="L14" s="211">
        <f t="shared" si="1"/>
        <v>19.95</v>
      </c>
      <c r="M14" s="151">
        <v>135160</v>
      </c>
      <c r="N14" s="152" t="s">
        <v>235</v>
      </c>
      <c r="O14" s="157" t="s">
        <v>47</v>
      </c>
      <c r="P14" s="187">
        <f>IF(D14=Inputs!F$4,Inputs!I$4,IF(D14=Inputs!F$2,Inputs!I$2,IF(D14=Inputs!F$3,Inputs!I$3,IF(D14=Inputs!F$5,Inputs!I$5,"NA"))))</f>
        <v>22.464285714285715</v>
      </c>
    </row>
    <row r="15" spans="1:16" x14ac:dyDescent="0.25">
      <c r="A15" s="148">
        <v>9</v>
      </c>
      <c r="B15" s="189">
        <f>Inputs!C$2</f>
        <v>36</v>
      </c>
      <c r="C15" s="151">
        <v>940982</v>
      </c>
      <c r="D15" s="188" t="s">
        <v>5</v>
      </c>
      <c r="E15" s="148">
        <v>60</v>
      </c>
      <c r="F15" s="188" t="s">
        <v>113</v>
      </c>
      <c r="G15" s="188"/>
      <c r="H15" s="191" t="s">
        <v>201</v>
      </c>
      <c r="I15" s="210">
        <f t="shared" si="0"/>
        <v>1195</v>
      </c>
      <c r="J15" s="189">
        <f t="shared" si="2"/>
        <v>203</v>
      </c>
      <c r="K15" s="151">
        <v>1398</v>
      </c>
      <c r="L15" s="211">
        <f t="shared" si="1"/>
        <v>19.916666666666668</v>
      </c>
      <c r="M15" s="151">
        <v>135160</v>
      </c>
      <c r="N15" s="152" t="s">
        <v>235</v>
      </c>
      <c r="O15" s="157" t="s">
        <v>47</v>
      </c>
      <c r="P15" s="187">
        <f>IF(D15=Inputs!F$4,Inputs!I$4,IF(D15=Inputs!F$2,Inputs!I$2,IF(D15=Inputs!F$3,Inputs!I$3,IF(D15=Inputs!F$5,Inputs!I$5,"NA"))))</f>
        <v>22.464285714285715</v>
      </c>
    </row>
    <row r="16" spans="1:16" x14ac:dyDescent="0.25">
      <c r="A16" s="148">
        <v>10</v>
      </c>
      <c r="B16" s="189">
        <f>Inputs!C$2</f>
        <v>36</v>
      </c>
      <c r="C16" s="151">
        <v>940983</v>
      </c>
      <c r="D16" s="188" t="s">
        <v>5</v>
      </c>
      <c r="E16" s="148">
        <v>60</v>
      </c>
      <c r="F16" s="188" t="s">
        <v>113</v>
      </c>
      <c r="G16" s="188"/>
      <c r="H16" s="191" t="s">
        <v>201</v>
      </c>
      <c r="I16" s="210">
        <f t="shared" si="0"/>
        <v>1191</v>
      </c>
      <c r="J16" s="189">
        <f t="shared" si="2"/>
        <v>203</v>
      </c>
      <c r="K16" s="151">
        <v>1394</v>
      </c>
      <c r="L16" s="211">
        <f t="shared" si="1"/>
        <v>19.850000000000001</v>
      </c>
      <c r="M16" s="151">
        <v>135160</v>
      </c>
      <c r="N16" s="152" t="s">
        <v>235</v>
      </c>
      <c r="O16" s="157" t="s">
        <v>47</v>
      </c>
      <c r="P16" s="187">
        <f>IF(D16=Inputs!F$4,Inputs!I$4,IF(D16=Inputs!F$2,Inputs!I$2,IF(D16=Inputs!F$3,Inputs!I$3,IF(D16=Inputs!F$5,Inputs!I$5,"NA"))))</f>
        <v>22.464285714285715</v>
      </c>
    </row>
    <row r="17" spans="1:16" x14ac:dyDescent="0.25">
      <c r="A17" s="148">
        <v>11</v>
      </c>
      <c r="B17" s="189">
        <f>Inputs!C$2</f>
        <v>36</v>
      </c>
      <c r="C17" s="151">
        <v>940984</v>
      </c>
      <c r="D17" s="188" t="s">
        <v>5</v>
      </c>
      <c r="E17" s="148">
        <v>60</v>
      </c>
      <c r="F17" s="188" t="s">
        <v>113</v>
      </c>
      <c r="G17" s="188"/>
      <c r="H17" s="191" t="s">
        <v>201</v>
      </c>
      <c r="I17" s="210">
        <f t="shared" si="0"/>
        <v>1189</v>
      </c>
      <c r="J17" s="189">
        <f t="shared" si="2"/>
        <v>203</v>
      </c>
      <c r="K17" s="151">
        <v>1392</v>
      </c>
      <c r="L17" s="211">
        <f t="shared" si="1"/>
        <v>19.816666666666666</v>
      </c>
      <c r="M17" s="151">
        <v>135160</v>
      </c>
      <c r="N17" s="152" t="s">
        <v>235</v>
      </c>
      <c r="O17" s="157" t="s">
        <v>47</v>
      </c>
      <c r="P17" s="187">
        <f>IF(D17=Inputs!F$4,Inputs!I$4,IF(D17=Inputs!F$2,Inputs!I$2,IF(D17=Inputs!F$3,Inputs!I$3,IF(D17=Inputs!F$5,Inputs!I$5,"NA"))))</f>
        <v>22.464285714285715</v>
      </c>
    </row>
    <row r="18" spans="1:16" x14ac:dyDescent="0.25">
      <c r="A18" s="148">
        <v>12</v>
      </c>
      <c r="B18" s="189">
        <f>Inputs!C$2</f>
        <v>36</v>
      </c>
      <c r="C18" s="151">
        <v>940985</v>
      </c>
      <c r="D18" s="188" t="s">
        <v>5</v>
      </c>
      <c r="E18" s="148">
        <v>60</v>
      </c>
      <c r="F18" s="188" t="s">
        <v>113</v>
      </c>
      <c r="G18" s="188"/>
      <c r="H18" s="191" t="s">
        <v>201</v>
      </c>
      <c r="I18" s="210">
        <f t="shared" si="0"/>
        <v>1205</v>
      </c>
      <c r="J18" s="189">
        <f t="shared" si="2"/>
        <v>203</v>
      </c>
      <c r="K18" s="151">
        <v>1408</v>
      </c>
      <c r="L18" s="211">
        <f t="shared" si="1"/>
        <v>20.083333333333332</v>
      </c>
      <c r="M18" s="151">
        <v>135160</v>
      </c>
      <c r="N18" s="152" t="s">
        <v>235</v>
      </c>
      <c r="O18" s="157" t="s">
        <v>47</v>
      </c>
      <c r="P18" s="187">
        <f>IF(D18=Inputs!F$4,Inputs!I$4,IF(D18=Inputs!F$2,Inputs!I$2,IF(D18=Inputs!F$3,Inputs!I$3,IF(D18=Inputs!F$5,Inputs!I$5,"NA"))))</f>
        <v>22.464285714285715</v>
      </c>
    </row>
    <row r="19" spans="1:16" x14ac:dyDescent="0.25">
      <c r="A19" s="148">
        <v>13</v>
      </c>
      <c r="B19" s="189">
        <f>Inputs!C$2</f>
        <v>36</v>
      </c>
      <c r="C19" s="151">
        <v>940986</v>
      </c>
      <c r="D19" s="188" t="s">
        <v>5</v>
      </c>
      <c r="E19" s="148">
        <v>60</v>
      </c>
      <c r="F19" s="188" t="s">
        <v>113</v>
      </c>
      <c r="G19" s="188"/>
      <c r="H19" s="191" t="s">
        <v>201</v>
      </c>
      <c r="I19" s="210">
        <f t="shared" si="0"/>
        <v>1189</v>
      </c>
      <c r="J19" s="189">
        <f t="shared" si="2"/>
        <v>203</v>
      </c>
      <c r="K19" s="151">
        <v>1392</v>
      </c>
      <c r="L19" s="211">
        <f t="shared" si="1"/>
        <v>19.816666666666666</v>
      </c>
      <c r="M19" s="151">
        <v>135160</v>
      </c>
      <c r="N19" s="152" t="s">
        <v>235</v>
      </c>
      <c r="O19" s="157" t="s">
        <v>47</v>
      </c>
      <c r="P19" s="187">
        <f>IF(D19=Inputs!F$4,Inputs!I$4,IF(D19=Inputs!F$2,Inputs!I$2,IF(D19=Inputs!F$3,Inputs!I$3,IF(D19=Inputs!F$5,Inputs!I$5,"NA"))))</f>
        <v>22.464285714285715</v>
      </c>
    </row>
    <row r="20" spans="1:16" x14ac:dyDescent="0.25">
      <c r="A20" s="148">
        <v>14</v>
      </c>
      <c r="B20" s="189">
        <f>Inputs!C$2</f>
        <v>36</v>
      </c>
      <c r="C20" s="151">
        <v>940987</v>
      </c>
      <c r="D20" s="188" t="s">
        <v>5</v>
      </c>
      <c r="E20" s="148">
        <v>60</v>
      </c>
      <c r="F20" s="188" t="s">
        <v>113</v>
      </c>
      <c r="G20" s="188"/>
      <c r="H20" s="191" t="s">
        <v>201</v>
      </c>
      <c r="I20" s="210">
        <f t="shared" si="0"/>
        <v>1207</v>
      </c>
      <c r="J20" s="189">
        <f t="shared" si="2"/>
        <v>203</v>
      </c>
      <c r="K20" s="151">
        <v>1410</v>
      </c>
      <c r="L20" s="211">
        <f t="shared" si="1"/>
        <v>20.116666666666667</v>
      </c>
      <c r="M20" s="151">
        <v>135160</v>
      </c>
      <c r="N20" s="152" t="s">
        <v>235</v>
      </c>
      <c r="O20" s="157" t="s">
        <v>47</v>
      </c>
      <c r="P20" s="187">
        <f>IF(D20=Inputs!F$4,Inputs!I$4,IF(D20=Inputs!F$2,Inputs!I$2,IF(D20=Inputs!F$3,Inputs!I$3,IF(D20=Inputs!F$5,Inputs!I$5,"NA"))))</f>
        <v>22.464285714285715</v>
      </c>
    </row>
    <row r="21" spans="1:16" x14ac:dyDescent="0.25">
      <c r="A21" s="148">
        <v>15</v>
      </c>
      <c r="B21" s="189">
        <f>Inputs!C$2</f>
        <v>36</v>
      </c>
      <c r="C21" s="151">
        <v>940988</v>
      </c>
      <c r="D21" s="188" t="s">
        <v>5</v>
      </c>
      <c r="E21" s="148">
        <v>60</v>
      </c>
      <c r="F21" s="188" t="s">
        <v>113</v>
      </c>
      <c r="G21" s="188"/>
      <c r="H21" s="191" t="s">
        <v>201</v>
      </c>
      <c r="I21" s="210">
        <f t="shared" si="0"/>
        <v>1217</v>
      </c>
      <c r="J21" s="189">
        <f t="shared" si="2"/>
        <v>203</v>
      </c>
      <c r="K21" s="151">
        <v>1420</v>
      </c>
      <c r="L21" s="211">
        <f t="shared" si="1"/>
        <v>20.283333333333335</v>
      </c>
      <c r="M21" s="151">
        <v>135160</v>
      </c>
      <c r="N21" s="152" t="s">
        <v>235</v>
      </c>
      <c r="O21" s="157" t="s">
        <v>47</v>
      </c>
      <c r="P21" s="187">
        <f>IF(D21=Inputs!F$4,Inputs!I$4,IF(D21=Inputs!F$2,Inputs!I$2,IF(D21=Inputs!F$3,Inputs!I$3,IF(D21=Inputs!F$5,Inputs!I$5,"NA"))))</f>
        <v>22.464285714285715</v>
      </c>
    </row>
    <row r="22" spans="1:16" x14ac:dyDescent="0.25">
      <c r="A22" s="148">
        <v>16</v>
      </c>
      <c r="B22" s="189">
        <f>Inputs!C$2</f>
        <v>36</v>
      </c>
      <c r="C22" s="151">
        <v>940989</v>
      </c>
      <c r="D22" s="188" t="s">
        <v>5</v>
      </c>
      <c r="E22" s="148">
        <v>60</v>
      </c>
      <c r="F22" s="188" t="s">
        <v>113</v>
      </c>
      <c r="G22" s="188"/>
      <c r="H22" s="191" t="s">
        <v>201</v>
      </c>
      <c r="I22" s="210">
        <f t="shared" si="0"/>
        <v>1315</v>
      </c>
      <c r="J22" s="189">
        <f t="shared" si="2"/>
        <v>203</v>
      </c>
      <c r="K22" s="235">
        <v>1518</v>
      </c>
      <c r="L22" s="211">
        <f t="shared" si="1"/>
        <v>21.916666666666668</v>
      </c>
      <c r="M22" s="151">
        <v>135160</v>
      </c>
      <c r="N22" s="152" t="s">
        <v>235</v>
      </c>
      <c r="O22" s="157" t="s">
        <v>47</v>
      </c>
      <c r="P22" s="187">
        <f>IF(D22=Inputs!F$4,Inputs!I$4,IF(D22=Inputs!F$2,Inputs!I$2,IF(D22=Inputs!F$3,Inputs!I$3,IF(D22=Inputs!F$5,Inputs!I$5,"NA"))))</f>
        <v>22.464285714285715</v>
      </c>
    </row>
    <row r="23" spans="1:16" x14ac:dyDescent="0.25">
      <c r="A23" s="148">
        <v>17</v>
      </c>
      <c r="B23" s="189">
        <f>Inputs!C$2</f>
        <v>36</v>
      </c>
      <c r="C23" s="151">
        <v>940990</v>
      </c>
      <c r="D23" s="188" t="s">
        <v>5</v>
      </c>
      <c r="E23" s="148">
        <v>60</v>
      </c>
      <c r="F23" s="188" t="s">
        <v>113</v>
      </c>
      <c r="G23" s="188"/>
      <c r="H23" s="191" t="s">
        <v>201</v>
      </c>
      <c r="I23" s="210">
        <f t="shared" si="0"/>
        <v>1223</v>
      </c>
      <c r="J23" s="189">
        <f t="shared" si="2"/>
        <v>203</v>
      </c>
      <c r="K23" s="151">
        <v>1426</v>
      </c>
      <c r="L23" s="211">
        <f t="shared" si="1"/>
        <v>20.383333333333333</v>
      </c>
      <c r="M23" s="151">
        <v>135160</v>
      </c>
      <c r="N23" s="152" t="s">
        <v>235</v>
      </c>
      <c r="O23" s="157" t="s">
        <v>47</v>
      </c>
      <c r="P23" s="187">
        <f>IF(D23=Inputs!F$4,Inputs!I$4,IF(D23=Inputs!F$2,Inputs!I$2,IF(D23=Inputs!F$3,Inputs!I$3,IF(D23=Inputs!F$5,Inputs!I$5,"NA"))))</f>
        <v>22.464285714285715</v>
      </c>
    </row>
    <row r="24" spans="1:16" x14ac:dyDescent="0.25">
      <c r="A24" s="148">
        <v>18</v>
      </c>
      <c r="B24" s="189">
        <f>Inputs!C$2</f>
        <v>36</v>
      </c>
      <c r="C24" s="151">
        <v>940991</v>
      </c>
      <c r="D24" s="188" t="s">
        <v>5</v>
      </c>
      <c r="E24" s="148">
        <v>60</v>
      </c>
      <c r="F24" s="188" t="s">
        <v>113</v>
      </c>
      <c r="G24" s="188"/>
      <c r="H24" s="191" t="s">
        <v>201</v>
      </c>
      <c r="I24" s="210">
        <f t="shared" si="0"/>
        <v>1219</v>
      </c>
      <c r="J24" s="189">
        <f t="shared" si="2"/>
        <v>203</v>
      </c>
      <c r="K24" s="151">
        <v>1422</v>
      </c>
      <c r="L24" s="211">
        <f t="shared" si="1"/>
        <v>20.316666666666666</v>
      </c>
      <c r="M24" s="151">
        <v>135160</v>
      </c>
      <c r="N24" s="152" t="s">
        <v>235</v>
      </c>
      <c r="O24" s="157" t="s">
        <v>47</v>
      </c>
      <c r="P24" s="187">
        <f>IF(D24=Inputs!F$4,Inputs!I$4,IF(D24=Inputs!F$2,Inputs!I$2,IF(D24=Inputs!F$3,Inputs!I$3,IF(D24=Inputs!F$5,Inputs!I$5,"NA"))))</f>
        <v>22.464285714285715</v>
      </c>
    </row>
    <row r="25" spans="1:16" x14ac:dyDescent="0.25">
      <c r="A25" s="148">
        <v>19</v>
      </c>
      <c r="B25" s="189">
        <f>Inputs!C$2</f>
        <v>36</v>
      </c>
      <c r="C25" s="151">
        <v>940992</v>
      </c>
      <c r="D25" s="188" t="s">
        <v>5</v>
      </c>
      <c r="E25" s="148">
        <v>60</v>
      </c>
      <c r="F25" s="188" t="s">
        <v>113</v>
      </c>
      <c r="G25" s="188"/>
      <c r="H25" s="191" t="s">
        <v>201</v>
      </c>
      <c r="I25" s="210">
        <f t="shared" si="0"/>
        <v>1225</v>
      </c>
      <c r="J25" s="189">
        <f t="shared" si="2"/>
        <v>203</v>
      </c>
      <c r="K25" s="151">
        <v>1428</v>
      </c>
      <c r="L25" s="211">
        <f t="shared" si="1"/>
        <v>20.416666666666668</v>
      </c>
      <c r="M25" s="151">
        <v>135160</v>
      </c>
      <c r="N25" s="152" t="s">
        <v>235</v>
      </c>
      <c r="O25" s="157" t="s">
        <v>47</v>
      </c>
      <c r="P25" s="187">
        <f>IF(D25=Inputs!F$4,Inputs!I$4,IF(D25=Inputs!F$2,Inputs!I$2,IF(D25=Inputs!F$3,Inputs!I$3,IF(D25=Inputs!F$5,Inputs!I$5,"NA"))))</f>
        <v>22.464285714285715</v>
      </c>
    </row>
    <row r="26" spans="1:16" x14ac:dyDescent="0.25">
      <c r="A26" s="148">
        <v>20</v>
      </c>
      <c r="B26" s="189">
        <f>Inputs!C$2</f>
        <v>36</v>
      </c>
      <c r="C26" s="151">
        <v>940993</v>
      </c>
      <c r="D26" s="188" t="s">
        <v>5</v>
      </c>
      <c r="E26" s="148">
        <v>60</v>
      </c>
      <c r="F26" s="188" t="s">
        <v>113</v>
      </c>
      <c r="G26" s="188"/>
      <c r="H26" s="191" t="s">
        <v>201</v>
      </c>
      <c r="I26" s="210">
        <f t="shared" si="0"/>
        <v>1225</v>
      </c>
      <c r="J26" s="189">
        <f t="shared" si="2"/>
        <v>203</v>
      </c>
      <c r="K26" s="151">
        <v>1428</v>
      </c>
      <c r="L26" s="211">
        <f t="shared" si="1"/>
        <v>20.416666666666668</v>
      </c>
      <c r="M26" s="151">
        <v>135160</v>
      </c>
      <c r="N26" s="152" t="s">
        <v>235</v>
      </c>
      <c r="O26" s="157" t="s">
        <v>47</v>
      </c>
      <c r="P26" s="187">
        <f>IF(D26=Inputs!F$4,Inputs!I$4,IF(D26=Inputs!F$2,Inputs!I$2,IF(D26=Inputs!F$3,Inputs!I$3,IF(D26=Inputs!F$5,Inputs!I$5,"NA"))))</f>
        <v>22.464285714285715</v>
      </c>
    </row>
    <row r="27" spans="1:16" x14ac:dyDescent="0.25">
      <c r="A27" s="148">
        <v>21</v>
      </c>
      <c r="B27" s="189">
        <f>Inputs!C$2</f>
        <v>36</v>
      </c>
      <c r="C27" s="151">
        <v>940994</v>
      </c>
      <c r="D27" s="188" t="s">
        <v>5</v>
      </c>
      <c r="E27" s="148">
        <v>60</v>
      </c>
      <c r="F27" s="188" t="s">
        <v>113</v>
      </c>
      <c r="G27" s="188"/>
      <c r="H27" s="191" t="s">
        <v>201</v>
      </c>
      <c r="I27" s="210">
        <f t="shared" si="0"/>
        <v>1259</v>
      </c>
      <c r="J27" s="189">
        <f t="shared" si="2"/>
        <v>203</v>
      </c>
      <c r="K27" s="151">
        <v>1462</v>
      </c>
      <c r="L27" s="211">
        <f t="shared" si="1"/>
        <v>20.983333333333334</v>
      </c>
      <c r="M27" s="151">
        <v>135160</v>
      </c>
      <c r="N27" s="152" t="s">
        <v>235</v>
      </c>
      <c r="O27" s="157" t="s">
        <v>47</v>
      </c>
      <c r="P27" s="187">
        <f>IF(D27=Inputs!F$4,Inputs!I$4,IF(D27=Inputs!F$2,Inputs!I$2,IF(D27=Inputs!F$3,Inputs!I$3,IF(D27=Inputs!F$5,Inputs!I$5,"NA"))))</f>
        <v>22.464285714285715</v>
      </c>
    </row>
    <row r="28" spans="1:16" x14ac:dyDescent="0.25">
      <c r="A28" s="148">
        <v>22</v>
      </c>
      <c r="B28" s="189">
        <f>Inputs!C$2</f>
        <v>36</v>
      </c>
      <c r="C28" s="151">
        <v>940995</v>
      </c>
      <c r="D28" s="188" t="s">
        <v>168</v>
      </c>
      <c r="E28" s="148">
        <v>60</v>
      </c>
      <c r="F28" s="188" t="s">
        <v>113</v>
      </c>
      <c r="G28" s="188"/>
      <c r="H28" s="191" t="s">
        <v>201</v>
      </c>
      <c r="I28" s="210">
        <f t="shared" si="0"/>
        <v>1449</v>
      </c>
      <c r="J28" s="189">
        <f t="shared" si="2"/>
        <v>203</v>
      </c>
      <c r="K28" s="151">
        <v>1652</v>
      </c>
      <c r="L28" s="211">
        <f t="shared" si="1"/>
        <v>24.15</v>
      </c>
      <c r="M28" s="151">
        <v>135160</v>
      </c>
      <c r="N28" s="152" t="s">
        <v>235</v>
      </c>
      <c r="O28" s="157" t="s">
        <v>48</v>
      </c>
      <c r="P28" s="187">
        <f>IF(D28=Inputs!F$4,Inputs!I$4,IF(D28=Inputs!F$2,Inputs!I$2,IF(D28=Inputs!F$3,Inputs!I$3,IF(D28=Inputs!F$5,Inputs!I$5,"NA"))))</f>
        <v>47.892857142857146</v>
      </c>
    </row>
    <row r="29" spans="1:16" x14ac:dyDescent="0.25">
      <c r="A29" s="148">
        <v>23</v>
      </c>
      <c r="B29" s="189">
        <f>Inputs!C$2</f>
        <v>36</v>
      </c>
      <c r="C29" s="151">
        <v>940996</v>
      </c>
      <c r="D29" s="188" t="s">
        <v>5</v>
      </c>
      <c r="E29" s="148">
        <v>60</v>
      </c>
      <c r="F29" s="188" t="s">
        <v>113</v>
      </c>
      <c r="G29" s="188"/>
      <c r="H29" s="191" t="s">
        <v>201</v>
      </c>
      <c r="I29" s="210">
        <f t="shared" si="0"/>
        <v>1243</v>
      </c>
      <c r="J29" s="189">
        <f t="shared" si="2"/>
        <v>203</v>
      </c>
      <c r="K29" s="151">
        <v>1446</v>
      </c>
      <c r="L29" s="211">
        <f t="shared" si="1"/>
        <v>20.716666666666665</v>
      </c>
      <c r="M29" s="151">
        <v>135160</v>
      </c>
      <c r="N29" s="152" t="s">
        <v>235</v>
      </c>
      <c r="O29" s="157" t="s">
        <v>47</v>
      </c>
      <c r="P29" s="187">
        <f>IF(D29=Inputs!F$4,Inputs!I$4,IF(D29=Inputs!F$2,Inputs!I$2,IF(D29=Inputs!F$3,Inputs!I$3,IF(D29=Inputs!F$5,Inputs!I$5,"NA"))))</f>
        <v>22.464285714285715</v>
      </c>
    </row>
    <row r="30" spans="1:16" x14ac:dyDescent="0.25">
      <c r="A30" s="148">
        <v>24</v>
      </c>
      <c r="B30" s="189">
        <f>Inputs!C$2</f>
        <v>36</v>
      </c>
      <c r="C30" s="151">
        <v>940997</v>
      </c>
      <c r="D30" s="188" t="s">
        <v>5</v>
      </c>
      <c r="E30" s="148">
        <v>60</v>
      </c>
      <c r="F30" s="188" t="s">
        <v>113</v>
      </c>
      <c r="G30" s="188"/>
      <c r="H30" s="191" t="s">
        <v>201</v>
      </c>
      <c r="I30" s="210">
        <f t="shared" si="0"/>
        <v>1233</v>
      </c>
      <c r="J30" s="189">
        <f t="shared" si="2"/>
        <v>203</v>
      </c>
      <c r="K30" s="151">
        <v>1436</v>
      </c>
      <c r="L30" s="211">
        <f t="shared" si="1"/>
        <v>20.55</v>
      </c>
      <c r="M30" s="151">
        <v>135160</v>
      </c>
      <c r="N30" s="152" t="s">
        <v>235</v>
      </c>
      <c r="O30" s="157" t="s">
        <v>47</v>
      </c>
      <c r="P30" s="187">
        <f>IF(D30=Inputs!F$4,Inputs!I$4,IF(D30=Inputs!F$2,Inputs!I$2,IF(D30=Inputs!F$3,Inputs!I$3,IF(D30=Inputs!F$5,Inputs!I$5,"NA"))))</f>
        <v>22.464285714285715</v>
      </c>
    </row>
    <row r="31" spans="1:16" x14ac:dyDescent="0.25">
      <c r="A31" s="148">
        <v>25</v>
      </c>
      <c r="B31" s="189">
        <f>Inputs!C$2</f>
        <v>36</v>
      </c>
      <c r="C31" s="151">
        <v>940998</v>
      </c>
      <c r="D31" s="188" t="s">
        <v>5</v>
      </c>
      <c r="E31" s="148">
        <v>60</v>
      </c>
      <c r="F31" s="188" t="s">
        <v>113</v>
      </c>
      <c r="G31" s="188"/>
      <c r="H31" s="191" t="s">
        <v>201</v>
      </c>
      <c r="I31" s="210">
        <f t="shared" si="0"/>
        <v>1257</v>
      </c>
      <c r="J31" s="189">
        <f t="shared" si="2"/>
        <v>203</v>
      </c>
      <c r="K31" s="151">
        <v>1460</v>
      </c>
      <c r="L31" s="211">
        <f t="shared" si="1"/>
        <v>20.95</v>
      </c>
      <c r="M31" s="151">
        <v>135160</v>
      </c>
      <c r="N31" s="152" t="s">
        <v>235</v>
      </c>
      <c r="O31" s="157" t="s">
        <v>47</v>
      </c>
      <c r="P31" s="187">
        <f>IF(D31=Inputs!F$4,Inputs!I$4,IF(D31=Inputs!F$2,Inputs!I$2,IF(D31=Inputs!F$3,Inputs!I$3,IF(D31=Inputs!F$5,Inputs!I$5,"NA"))))</f>
        <v>22.464285714285715</v>
      </c>
    </row>
    <row r="32" spans="1:16" x14ac:dyDescent="0.25">
      <c r="A32" s="148">
        <v>26</v>
      </c>
      <c r="B32" s="189">
        <f>Inputs!C$2</f>
        <v>36</v>
      </c>
      <c r="C32" s="151">
        <v>940999</v>
      </c>
      <c r="D32" s="188" t="s">
        <v>5</v>
      </c>
      <c r="E32" s="148">
        <v>60</v>
      </c>
      <c r="F32" s="188" t="s">
        <v>113</v>
      </c>
      <c r="G32" s="188"/>
      <c r="H32" s="191" t="s">
        <v>201</v>
      </c>
      <c r="I32" s="210">
        <f t="shared" si="0"/>
        <v>1257</v>
      </c>
      <c r="J32" s="189">
        <f t="shared" si="2"/>
        <v>203</v>
      </c>
      <c r="K32" s="151">
        <v>1460</v>
      </c>
      <c r="L32" s="211">
        <f t="shared" si="1"/>
        <v>20.95</v>
      </c>
      <c r="M32" s="151">
        <v>135160</v>
      </c>
      <c r="N32" s="152" t="s">
        <v>235</v>
      </c>
      <c r="O32" s="157" t="s">
        <v>47</v>
      </c>
      <c r="P32" s="187">
        <f>IF(D32=Inputs!F$4,Inputs!I$4,IF(D32=Inputs!F$2,Inputs!I$2,IF(D32=Inputs!F$3,Inputs!I$3,IF(D32=Inputs!F$5,Inputs!I$5,"NA"))))</f>
        <v>22.464285714285715</v>
      </c>
    </row>
    <row r="33" spans="1:16" x14ac:dyDescent="0.25">
      <c r="A33" s="148">
        <v>27</v>
      </c>
      <c r="B33" s="189">
        <f>Inputs!C$2</f>
        <v>36</v>
      </c>
      <c r="C33" s="151"/>
      <c r="D33" s="188"/>
      <c r="E33" s="148"/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IF(D33=Inputs!F$4,Inputs!I$4,IF(D33=Inputs!F$2,Inputs!I$2,IF(D33=Inputs!F$3,Inputs!I$3,IF(D33=Inputs!F$5,Inputs!I$5,"NA"))))</f>
        <v>NA</v>
      </c>
    </row>
    <row r="34" spans="1:16" x14ac:dyDescent="0.25">
      <c r="A34" s="148">
        <v>28</v>
      </c>
      <c r="B34" s="189">
        <f>Inputs!C$2</f>
        <v>36</v>
      </c>
      <c r="C34" s="151"/>
      <c r="D34" s="188"/>
      <c r="E34" s="148"/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IF(D34=Inputs!F$4,Inputs!I$4,IF(D34=Inputs!F$2,Inputs!I$2,IF(D34=Inputs!F$3,Inputs!I$3,IF(D34=Inputs!F$5,Inputs!I$5,"NA"))))</f>
        <v>NA</v>
      </c>
    </row>
    <row r="35" spans="1:16" x14ac:dyDescent="0.25">
      <c r="A35" s="148">
        <v>29</v>
      </c>
      <c r="B35" s="189">
        <f>Inputs!C$2</f>
        <v>36</v>
      </c>
      <c r="C35" s="151"/>
      <c r="D35" s="188"/>
      <c r="E35" s="148"/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IF(D35=Inputs!F$4,Inputs!I$4,IF(D35=Inputs!F$2,Inputs!I$2,IF(D35=Inputs!F$3,Inputs!I$3,IF(D35=Inputs!F$5,Inputs!I$5,"NA"))))</f>
        <v>NA</v>
      </c>
    </row>
    <row r="36" spans="1:16" x14ac:dyDescent="0.25">
      <c r="A36" s="148">
        <v>30</v>
      </c>
      <c r="B36" s="189">
        <f>Inputs!C$2</f>
        <v>36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IF(D36=Inputs!F$4,Inputs!I$4,IF(D36=Inputs!F$2,Inputs!I$2,IF(D36=Inputs!F$3,Inputs!I$3,IF(D36=Inputs!F$5,Inputs!I$5,"NA"))))</f>
        <v>NA</v>
      </c>
    </row>
    <row r="37" spans="1:16" x14ac:dyDescent="0.25">
      <c r="A37" s="148">
        <v>31</v>
      </c>
      <c r="B37" s="189">
        <f>Inputs!C$2</f>
        <v>36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IF(D37=Inputs!F$4,Inputs!I$4,IF(D37=Inputs!F$2,Inputs!I$2,IF(D37=Inputs!F$3,Inputs!I$3,IF(D37=Inputs!F$5,Inputs!I$5,"NA"))))</f>
        <v>NA</v>
      </c>
    </row>
    <row r="38" spans="1:16" x14ac:dyDescent="0.25">
      <c r="A38" s="148">
        <v>32</v>
      </c>
      <c r="B38" s="189">
        <f>Inputs!C$2</f>
        <v>36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IF(D38=Inputs!F$4,Inputs!I$4,IF(D38=Inputs!F$2,Inputs!I$2,IF(D38=Inputs!F$3,Inputs!I$3,IF(D38=Inputs!F$5,Inputs!I$5,"NA"))))</f>
        <v>NA</v>
      </c>
    </row>
    <row r="39" spans="1:16" x14ac:dyDescent="0.25">
      <c r="A39" s="148">
        <v>33</v>
      </c>
      <c r="B39" s="189">
        <f>Inputs!C$2</f>
        <v>36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36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36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36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36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36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36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36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36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36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36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36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36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36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36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36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36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36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36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36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36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36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36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36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36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36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36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36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36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36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36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36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36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36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36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36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36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36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36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36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36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36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36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36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K40" sqref="K40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36</v>
      </c>
      <c r="F2" s="166" t="s">
        <v>5</v>
      </c>
      <c r="G2" s="186">
        <v>45750</v>
      </c>
      <c r="I2" s="205">
        <f>(C$3-G2)/7</f>
        <v>22.464285714285715</v>
      </c>
      <c r="J2" s="230">
        <f>I2-19</f>
        <v>3.4642857142857153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45907.25</v>
      </c>
      <c r="D3" s="247"/>
      <c r="F3" s="166" t="s">
        <v>168</v>
      </c>
      <c r="G3" s="186">
        <v>45572</v>
      </c>
      <c r="I3" s="205">
        <f>(C$3-G3)/7</f>
        <v>47.892857142857146</v>
      </c>
      <c r="J3" s="230">
        <f>I3-19</f>
        <v>28.892857142857146</v>
      </c>
      <c r="K3" s="166" t="s">
        <v>202</v>
      </c>
      <c r="L3">
        <v>192</v>
      </c>
    </row>
    <row r="4" spans="1:12" x14ac:dyDescent="0.2">
      <c r="F4" s="166" t="s">
        <v>230</v>
      </c>
      <c r="G4" s="186">
        <v>45663</v>
      </c>
      <c r="I4" s="205">
        <f>(C$3-G4)/7</f>
        <v>34.892857142857146</v>
      </c>
      <c r="J4" s="230">
        <f>I4-19</f>
        <v>15.892857142857146</v>
      </c>
    </row>
    <row r="5" spans="1:12" x14ac:dyDescent="0.2">
      <c r="A5" s="166" t="s">
        <v>204</v>
      </c>
      <c r="B5" s="248" t="s">
        <v>215</v>
      </c>
      <c r="C5" s="248"/>
      <c r="F5" s="166" t="s">
        <v>4</v>
      </c>
      <c r="G5" s="186">
        <v>45449</v>
      </c>
      <c r="I5" s="205">
        <f>(C$3-G5)/7</f>
        <v>65.464285714285708</v>
      </c>
      <c r="J5" s="230">
        <f>I5-19</f>
        <v>46.464285714285708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240</v>
      </c>
      <c r="C10" s="165"/>
      <c r="E10" s="139">
        <v>6</v>
      </c>
      <c r="F10" s="168">
        <v>260</v>
      </c>
      <c r="G10" s="165"/>
    </row>
    <row r="11" spans="1:12" x14ac:dyDescent="0.2">
      <c r="A11" s="139">
        <v>7</v>
      </c>
      <c r="B11" s="168">
        <v>187</v>
      </c>
      <c r="C11" s="168">
        <v>20</v>
      </c>
      <c r="E11" s="139">
        <v>7</v>
      </c>
      <c r="F11" s="168">
        <v>197</v>
      </c>
      <c r="G11" s="168">
        <v>22</v>
      </c>
    </row>
    <row r="12" spans="1:12" x14ac:dyDescent="0.2">
      <c r="A12" s="139">
        <v>10</v>
      </c>
      <c r="B12" s="237">
        <v>156</v>
      </c>
      <c r="C12" s="168">
        <v>11</v>
      </c>
      <c r="E12" s="139">
        <v>10</v>
      </c>
      <c r="F12" s="168">
        <v>172</v>
      </c>
      <c r="G12" s="168">
        <v>12</v>
      </c>
    </row>
    <row r="13" spans="1:12" x14ac:dyDescent="0.2">
      <c r="A13" s="139">
        <v>11</v>
      </c>
      <c r="B13" s="168">
        <v>90</v>
      </c>
      <c r="C13" s="165"/>
      <c r="E13" s="139">
        <v>11</v>
      </c>
      <c r="F13" s="168">
        <v>110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155</v>
      </c>
      <c r="C16" s="165"/>
      <c r="E16" s="139">
        <v>6</v>
      </c>
      <c r="F16" s="168">
        <v>162</v>
      </c>
      <c r="G16" s="165"/>
    </row>
    <row r="17" spans="1:11" x14ac:dyDescent="0.2">
      <c r="A17" s="139">
        <v>7</v>
      </c>
      <c r="B17" s="168">
        <v>165</v>
      </c>
      <c r="C17" s="168">
        <v>24</v>
      </c>
      <c r="E17" s="139">
        <v>7</v>
      </c>
      <c r="F17" s="168">
        <v>194</v>
      </c>
      <c r="G17" s="168">
        <v>22</v>
      </c>
    </row>
    <row r="18" spans="1:11" x14ac:dyDescent="0.2">
      <c r="A18" s="139">
        <v>10</v>
      </c>
      <c r="B18" s="168">
        <v>161</v>
      </c>
      <c r="C18" s="168">
        <v>12</v>
      </c>
      <c r="E18" s="139">
        <v>10</v>
      </c>
      <c r="F18" s="168">
        <v>173</v>
      </c>
      <c r="G18" s="168">
        <v>12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105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162</v>
      </c>
      <c r="C23" s="165"/>
      <c r="E23" s="139">
        <v>6</v>
      </c>
      <c r="F23" s="168">
        <v>172</v>
      </c>
      <c r="G23" s="165"/>
    </row>
    <row r="24" spans="1:11" x14ac:dyDescent="0.2">
      <c r="A24" s="139">
        <v>7</v>
      </c>
      <c r="B24" s="168">
        <v>198</v>
      </c>
      <c r="C24" s="168">
        <v>22</v>
      </c>
      <c r="E24" s="139">
        <v>7</v>
      </c>
      <c r="F24" s="168">
        <v>198</v>
      </c>
      <c r="G24" s="168">
        <v>22</v>
      </c>
    </row>
    <row r="25" spans="1:11" x14ac:dyDescent="0.2">
      <c r="A25" s="139">
        <v>10</v>
      </c>
      <c r="B25" s="168">
        <v>171</v>
      </c>
      <c r="C25" s="168">
        <v>13</v>
      </c>
      <c r="E25" s="139">
        <v>10</v>
      </c>
      <c r="F25" s="168">
        <v>152</v>
      </c>
      <c r="G25" s="168">
        <v>12</v>
      </c>
    </row>
    <row r="26" spans="1:11" x14ac:dyDescent="0.2">
      <c r="A26" s="139">
        <v>11</v>
      </c>
      <c r="B26" s="168">
        <v>105</v>
      </c>
      <c r="C26" s="165"/>
      <c r="E26" s="139">
        <v>11</v>
      </c>
      <c r="F26" s="168">
        <v>104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175</v>
      </c>
      <c r="C29" s="165"/>
      <c r="E29" s="139">
        <v>6</v>
      </c>
      <c r="F29" s="203">
        <f t="shared" ref="F29:G31" si="0">B10+F10+B16+F16+B23+F23+B29</f>
        <v>1326</v>
      </c>
      <c r="G29" s="204">
        <f t="shared" si="0"/>
        <v>0</v>
      </c>
      <c r="I29" s="139">
        <v>6</v>
      </c>
      <c r="J29" s="203">
        <f t="shared" ref="J29:K31" si="1">F29*15</f>
        <v>19890</v>
      </c>
      <c r="K29" s="204">
        <f t="shared" si="1"/>
        <v>0</v>
      </c>
    </row>
    <row r="30" spans="1:11" x14ac:dyDescent="0.2">
      <c r="A30" s="139">
        <v>7</v>
      </c>
      <c r="B30" s="168">
        <v>185</v>
      </c>
      <c r="C30" s="168">
        <v>22</v>
      </c>
      <c r="E30" s="139">
        <v>7</v>
      </c>
      <c r="F30" s="203">
        <f t="shared" si="0"/>
        <v>1324</v>
      </c>
      <c r="G30" s="203">
        <f t="shared" si="0"/>
        <v>154</v>
      </c>
      <c r="I30" s="139">
        <v>7</v>
      </c>
      <c r="J30" s="203">
        <f t="shared" si="1"/>
        <v>19860</v>
      </c>
      <c r="K30" s="203">
        <f t="shared" si="1"/>
        <v>2310</v>
      </c>
    </row>
    <row r="31" spans="1:11" x14ac:dyDescent="0.2">
      <c r="A31" s="139">
        <v>10</v>
      </c>
      <c r="B31" s="168">
        <v>163</v>
      </c>
      <c r="C31" s="168">
        <v>11</v>
      </c>
      <c r="E31" s="139">
        <v>10</v>
      </c>
      <c r="F31" s="203">
        <f t="shared" si="0"/>
        <v>1148</v>
      </c>
      <c r="G31" s="203">
        <f t="shared" si="0"/>
        <v>83</v>
      </c>
      <c r="I31" s="139">
        <v>10</v>
      </c>
      <c r="J31" s="203">
        <f t="shared" si="1"/>
        <v>17220</v>
      </c>
      <c r="K31" s="203">
        <f t="shared" si="1"/>
        <v>1245</v>
      </c>
    </row>
    <row r="32" spans="1:11" x14ac:dyDescent="0.2">
      <c r="A32" s="139">
        <v>11</v>
      </c>
      <c r="B32" s="168">
        <v>108</v>
      </c>
      <c r="C32" s="165"/>
      <c r="E32" s="139">
        <v>11</v>
      </c>
      <c r="F32" s="203">
        <f t="shared" ref="F32:G32" si="2">B13+F13+B19+F19+B26+F26+B32</f>
        <v>739</v>
      </c>
      <c r="G32" s="204">
        <f t="shared" si="2"/>
        <v>0</v>
      </c>
      <c r="I32" s="139">
        <v>11</v>
      </c>
      <c r="J32" s="203">
        <f>F32*15</f>
        <v>11085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218</v>
      </c>
      <c r="E35" s="172" t="s">
        <v>169</v>
      </c>
      <c r="G35" s="245" t="s">
        <v>205</v>
      </c>
      <c r="H35" s="245"/>
      <c r="I35" s="225">
        <v>1380</v>
      </c>
    </row>
    <row r="36" spans="1:9" x14ac:dyDescent="0.2">
      <c r="A36" s="172" t="s">
        <v>100</v>
      </c>
      <c r="B36" s="201">
        <f>B37+B38</f>
        <v>0</v>
      </c>
      <c r="C36" s="201">
        <f>C37+C38</f>
        <v>0.218</v>
      </c>
      <c r="D36" s="201">
        <f>D37+D38</f>
        <v>0.22899999999999998</v>
      </c>
      <c r="E36" s="201">
        <f>E37+E38</f>
        <v>0.4</v>
      </c>
      <c r="G36" s="245" t="s">
        <v>206</v>
      </c>
      <c r="H36" s="245"/>
      <c r="I36" s="225">
        <v>0</v>
      </c>
    </row>
    <row r="37" spans="1:9" x14ac:dyDescent="0.2">
      <c r="A37" s="172" t="s">
        <v>184</v>
      </c>
      <c r="B37" s="236">
        <v>0</v>
      </c>
      <c r="C37" s="173">
        <v>1.9E-2</v>
      </c>
      <c r="D37" s="173">
        <v>2.4E-2</v>
      </c>
      <c r="E37" s="173">
        <v>8.2000000000000003E-2</v>
      </c>
      <c r="G37" s="245" t="s">
        <v>207</v>
      </c>
      <c r="H37" s="245"/>
      <c r="I37" s="225">
        <v>60</v>
      </c>
    </row>
    <row r="38" spans="1:9" x14ac:dyDescent="0.2">
      <c r="A38" s="172" t="s">
        <v>185</v>
      </c>
      <c r="B38" s="173">
        <v>0</v>
      </c>
      <c r="C38" s="173">
        <v>0.19900000000000001</v>
      </c>
      <c r="D38" s="173">
        <v>0.20499999999999999</v>
      </c>
      <c r="E38" s="173">
        <v>0.318</v>
      </c>
      <c r="G38" s="245" t="s">
        <v>216</v>
      </c>
      <c r="H38" s="245"/>
      <c r="I38" s="225">
        <v>0</v>
      </c>
    </row>
    <row r="39" spans="1:9" x14ac:dyDescent="0.2">
      <c r="A39" s="172" t="s">
        <v>186</v>
      </c>
      <c r="B39" s="173">
        <v>0</v>
      </c>
      <c r="C39" s="173">
        <v>0.68700000000000006</v>
      </c>
      <c r="D39" s="173">
        <v>0.70199999999999996</v>
      </c>
      <c r="E39" s="173">
        <v>0.55600000000000005</v>
      </c>
      <c r="G39" s="245" t="s">
        <v>217</v>
      </c>
      <c r="H39" s="245"/>
      <c r="I39" s="225">
        <v>0</v>
      </c>
    </row>
    <row r="40" spans="1:9" x14ac:dyDescent="0.2">
      <c r="A40" s="172" t="s">
        <v>187</v>
      </c>
      <c r="B40" s="173">
        <v>0</v>
      </c>
      <c r="C40" s="173">
        <v>8.6999999999999994E-2</v>
      </c>
      <c r="D40" s="173">
        <v>5.8000000000000003E-2</v>
      </c>
      <c r="E40" s="236">
        <v>3.2000000000000001E-2</v>
      </c>
      <c r="G40" s="245" t="s">
        <v>208</v>
      </c>
      <c r="H40" s="245"/>
      <c r="I40" s="225">
        <v>0</v>
      </c>
    </row>
    <row r="41" spans="1:9" x14ac:dyDescent="0.2">
      <c r="A41" s="172" t="s">
        <v>195</v>
      </c>
      <c r="B41" s="173">
        <v>0</v>
      </c>
      <c r="C41" s="173">
        <v>0</v>
      </c>
      <c r="D41" s="173">
        <v>1E-3</v>
      </c>
      <c r="E41" s="173">
        <v>1E-3</v>
      </c>
      <c r="G41" s="245" t="s">
        <v>210</v>
      </c>
      <c r="H41" s="245"/>
      <c r="I41" s="225">
        <v>120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0</v>
      </c>
      <c r="C43" s="202">
        <f>SUM(C47:C50)</f>
        <v>8.0000000000000002E-3</v>
      </c>
      <c r="D43" s="202">
        <f>SUM(D47:D50)</f>
        <v>0.01</v>
      </c>
      <c r="E43" s="202">
        <f>SUM(E47:E50)</f>
        <v>1.0999999999999999E-2</v>
      </c>
    </row>
    <row r="44" spans="1:9" x14ac:dyDescent="0.2">
      <c r="A44" s="233" t="s">
        <v>211</v>
      </c>
      <c r="B44" s="232">
        <v>0</v>
      </c>
      <c r="C44" s="232">
        <v>60.95</v>
      </c>
      <c r="D44" s="232">
        <v>61.13</v>
      </c>
      <c r="E44" s="232">
        <v>62.97</v>
      </c>
    </row>
    <row r="45" spans="1:9" x14ac:dyDescent="0.2">
      <c r="A45" s="233" t="s">
        <v>213</v>
      </c>
      <c r="B45" s="231">
        <f>J29</f>
        <v>19890</v>
      </c>
      <c r="C45" s="231">
        <f>J30</f>
        <v>19860</v>
      </c>
      <c r="D45" s="231">
        <f>J31+K31</f>
        <v>18465</v>
      </c>
      <c r="E45" s="231">
        <f>J32</f>
        <v>11085</v>
      </c>
    </row>
    <row r="46" spans="1:9" x14ac:dyDescent="0.2">
      <c r="A46" s="233" t="s">
        <v>212</v>
      </c>
      <c r="B46" s="232"/>
      <c r="C46" s="232"/>
      <c r="D46" s="232"/>
      <c r="E46" s="232"/>
    </row>
    <row r="47" spans="1:9" x14ac:dyDescent="0.2">
      <c r="A47" s="172" t="s">
        <v>188</v>
      </c>
      <c r="B47" s="173">
        <v>0</v>
      </c>
      <c r="C47" s="173">
        <v>2E-3</v>
      </c>
      <c r="D47" s="173">
        <v>1E-3</v>
      </c>
      <c r="E47" s="173">
        <v>2E-3</v>
      </c>
    </row>
    <row r="48" spans="1:9" x14ac:dyDescent="0.2">
      <c r="A48" s="172" t="s">
        <v>189</v>
      </c>
      <c r="B48" s="173">
        <v>0</v>
      </c>
      <c r="C48" s="173">
        <v>1E-3</v>
      </c>
      <c r="D48" s="173">
        <v>1E-3</v>
      </c>
      <c r="E48" s="173">
        <v>1E-3</v>
      </c>
    </row>
    <row r="49" spans="1:5" x14ac:dyDescent="0.2">
      <c r="A49" s="172" t="s">
        <v>190</v>
      </c>
      <c r="B49" s="173">
        <v>0</v>
      </c>
      <c r="C49" s="173">
        <v>2E-3</v>
      </c>
      <c r="D49" s="173">
        <v>5.0000000000000001E-3</v>
      </c>
      <c r="E49" s="173">
        <v>3.0000000000000001E-3</v>
      </c>
    </row>
    <row r="50" spans="1:5" x14ac:dyDescent="0.2">
      <c r="A50" s="172" t="s">
        <v>191</v>
      </c>
      <c r="B50" s="173">
        <v>0</v>
      </c>
      <c r="C50" s="173">
        <v>3.0000000000000001E-3</v>
      </c>
      <c r="D50" s="173">
        <v>3.0000000000000001E-3</v>
      </c>
      <c r="E50" s="173">
        <v>5.0000000000000001E-3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0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234</v>
      </c>
    </row>
    <row r="3" spans="1:2" x14ac:dyDescent="0.2">
      <c r="A3" s="4" t="s">
        <v>168</v>
      </c>
      <c r="B3" s="3" t="s">
        <v>231</v>
      </c>
    </row>
    <row r="4" spans="1:2" x14ac:dyDescent="0.2">
      <c r="A4" s="2" t="s">
        <v>230</v>
      </c>
      <c r="B4" s="3" t="s">
        <v>233</v>
      </c>
    </row>
    <row r="5" spans="1:2" x14ac:dyDescent="0.2">
      <c r="A5" s="4" t="s">
        <v>4</v>
      </c>
      <c r="B5" s="3" t="s">
        <v>232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2025-09-08T14:16:39Z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