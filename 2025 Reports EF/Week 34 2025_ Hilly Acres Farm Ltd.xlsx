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6C013E9-93BD-4FDE-B155-598EEBD7691F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<sst xmlns="http://schemas.openxmlformats.org/spreadsheetml/2006/main" count="434" uniqueCount="236">
  <si>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</si>
  <si>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</si>
  <si>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</si>
  <si>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</si>
  <si>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</si>
  <si>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</si>
  <si>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</si>
  <si>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</si>
  <si>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</si>
  <si>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</si>
  <si>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</si>
  <si>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</si>
  <si>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</si>
  <si>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</si>
  <si>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</si>
  <si>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</si>
  <si>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</si>
  <si>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</si>
  <si>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</si>
  <si>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</si>
  <si>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</si>
  <si>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</si>
  <si>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</si>
  <si>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</si>
  <si>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</si>
  <si>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</si>
  <si>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</si>
  <si>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</si>
  <si>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</si>
  <si>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</si>
  <si>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</si>
  <si>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</si>
  <si>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</si>
  <si>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</si>
  <si>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</si>
  <si>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</si>
  <si>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</si>
  <si>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</si>
  <si>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</si>
  <si>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</si>
  <si>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</si>
  <si>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</si>
  <si>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</si>
  <si>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</si>
  <si>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</si>
  <si>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</si>
  <si>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</si>
  <si>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</si>
  <si>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</si>
  <si>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</si>
  <si>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</si>
  <si>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</si>
  <si>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</si>
  <si>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</si>
  <si>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</si>
  <si>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</si>
  <si>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</si>
  <si>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</si>
  <si>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</si>
  <si>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</si>
  <si>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</si>
  <si>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</si>
  <si>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</si>
  <si>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</si>
  <si>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</si>
  <si>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</si>
  <si>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</si>
  <si>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</si>
  <si>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</si>
  <si>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</si>
  <si>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</si>
  <si>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</si>
  <si>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</si>
  <si>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</si>
  <si>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</si>
  <si>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</si>
  <si>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</si>
  <si>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</si>
  <si>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</si>
  <si>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</si>
  <si>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</si>
  <si>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</si>
  <si>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</si>
  <si>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</si>
  <si>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</si>
  <si>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</si>
  <si>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</si>
  <si>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</si>
  <si>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</si>
  <si>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</si>
  <si>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</si>
  <si>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</si>
  <si>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</si>
  <si>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</si>
  <si>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</si>
  <si>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</si>
  <si>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</si>
  <si>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</si>
  <si>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</si>
  <si>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</si>
  <si>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</si>
  <si>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</si>
  <si>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</si>
  <si>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</si>
  <si>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</si>
  <si>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</si>
  <si>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</si>
  <si>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</si>
  <si>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</si>
  <si>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</si>
  <si>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</si>
  <si>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</si>
  <si>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</si>
  <si>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</si>
  <si>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</si>
  <si>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</si>
  <si>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</si>
  <si>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</si>
  <si>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</si>
  <si>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</si>
  <si>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</si>
  <si>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</si>
  <si>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</si>
  <si>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</si>
  <si>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</si>
  <si>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</si>
  <si>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</si>
  <si>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</si>
  <si>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</si>
  <si>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</si>
  <si>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</si>
  <si>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</si>
  <si>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</si>
  <si>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</si>
  <si>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</si>
  <si>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</si>
  <si>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</si>
  <si>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</si>
  <si>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</si>
  <si>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</si>
  <si>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</si>
  <si>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</si>
  <si>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</si>
  <si>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</si>
  <si>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</si>
  <si>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</si>
  <si>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</si>
  <si>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</si>
  <si>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</si>
  <si>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</si>
  <si>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</si>
  <si>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</si>
  <si>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</si>
  <si>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</si>
  <si>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</si>
  <si>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</si>
  <si>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</si>
  <si>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</si>
  <si>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</si>
  <si>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</si>
  <si>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</si>
  <si>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</si>
  <si>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</si>
  <si>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</si>
  <si>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</si>
  <si>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</si>
  <si>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</si>
  <si>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</si>
  <si>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</si>
  <si>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</si>
  <si>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</si>
  <si>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</si>
  <si>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</si>
  <si>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</si>
  <si>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</si>
  <si>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</si>
  <si>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</si>
  <si>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</si>
  <si>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</si>
  <si>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</si>
  <si>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</si>
  <si>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</si>
  <si>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</si>
  <si>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</si>
  <si>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</si>
  <si>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</si>
  <si>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</si>
  <si>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</si>
  <si>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</si>
  <si>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</si>
  <si>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</si>
  <si>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</si>
  <si>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</si>
  <si>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</si>
  <si>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</si>
  <si>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</si>
  <si>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</si>
  <si>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</si>
  <si>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</si>
  <si>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</si>
  <si>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</si>
  <si>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</si>
  <si>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</si>
  <si>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</si>
  <si>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</si>
  <si>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</si>
  <si>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</si>
  <si>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</si>
  <si>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</si>
  <si>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</si>
  <si>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</si>
  <si>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</si>
  <si>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</si>
  <si>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</si>
  <si>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</si>
  <si>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</si>
  <si>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</si>
  <si>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</si>
  <si>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</si>
  <si>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</si>
  <si>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</si>
  <si>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</si>
  <si>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</si>
  <si>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</si>
  <si>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</si>
  <si>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</si>
  <si>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</si>
  <si>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</si>
  <si>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</si>
  <si>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</si>
  <si>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</si>
  <si>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</si>
  <si>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</si>
  <si>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</si>
  <si>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</si>
  <si>
    <t xml:space="preserve">Depopulated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</si>
</sst>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34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45893.25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 t="str">
        <f>IFERROR(M7+N7,"")</f>
        <v/>
      </c>
      <c r="I7" s="27">
        <v>0</v>
      </c>
      <c r="J7" s="26" t="str">
        <f>IFERROR(H7-I7,"")</f>
        <v/>
      </c>
      <c r="K7" s="26" t="str">
        <f>IFERROR(($E$26/($H$27+$H$28)*$H$27)*R28,"")</f>
        <v/>
      </c>
      <c r="L7" s="26" t="str">
        <f>IFERROR(($E$26/($H$27+$H$28)*$H$27)*S28,"")</f>
        <v/>
      </c>
      <c r="M7" s="28" t="str">
        <f>IFERROR(K7+L7,"")</f>
        <v/>
      </c>
      <c r="N7" s="29" t="str">
        <f>IFERROR(O7+P7+Q7+R7+S7+T7+U7+V7,"")</f>
        <v/>
      </c>
      <c r="O7" s="26" t="str">
        <f t="shared" ref="O7:V7" si="0">IFERROR(($E$26/($H$27+$H$28)*$H$27)*J28,"")</f>
        <v/>
      </c>
      <c r="P7" s="26" t="str">
        <f t="shared" si="0"/>
        <v/>
      </c>
      <c r="Q7" s="26" t="str">
        <f t="shared" si="0"/>
        <v/>
      </c>
      <c r="R7" s="26" t="str">
        <f t="shared" si="0"/>
        <v/>
      </c>
      <c r="S7" s="26" t="str">
        <f t="shared" si="0"/>
        <v/>
      </c>
      <c r="T7" s="26" t="str">
        <f t="shared" si="0"/>
        <v/>
      </c>
      <c r="U7" s="26" t="str">
        <f t="shared" si="0"/>
        <v/>
      </c>
      <c r="V7" s="26" t="str">
        <f t="shared" si="0"/>
        <v/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 t="str">
        <f>IFERROR(M8+N8,"")</f>
        <v/>
      </c>
      <c r="I8" s="27">
        <v>0</v>
      </c>
      <c r="J8" s="26" t="str">
        <f>IFERROR(H8-I8,"")</f>
        <v/>
      </c>
      <c r="K8" s="26" t="str">
        <f>IFERROR(($E$26/($H$27+$H$28)*$H$28)*R28,"")</f>
        <v/>
      </c>
      <c r="L8" s="26" t="str">
        <f>IFERROR(($E$26/($H$27+$H$28)*$H$28)*S28,"")</f>
        <v/>
      </c>
      <c r="M8" s="28" t="str">
        <f>IFERROR(K8+L8,"")</f>
        <v/>
      </c>
      <c r="N8" s="29" t="str">
        <f>IFERROR(O8+P8+Q8+R8+S8+T8+U8+V8,"")</f>
        <v/>
      </c>
      <c r="O8" s="26" t="str">
        <f t="shared" ref="O8:V8" si="1">IFERROR(($E$26/($H$27+$H$28)*$H$28)*J28,"")</f>
        <v/>
      </c>
      <c r="P8" s="26" t="str">
        <f t="shared" si="1"/>
        <v/>
      </c>
      <c r="Q8" s="26" t="str">
        <f t="shared" si="1"/>
        <v/>
      </c>
      <c r="R8" s="26" t="str">
        <f t="shared" si="1"/>
        <v/>
      </c>
      <c r="S8" s="26" t="str">
        <f t="shared" si="1"/>
        <v/>
      </c>
      <c r="T8" s="26" t="str">
        <f t="shared" si="1"/>
        <v/>
      </c>
      <c r="U8" s="26" t="str">
        <f t="shared" si="1"/>
        <v/>
      </c>
      <c r="V8" s="26" t="str">
        <f t="shared" si="1"/>
        <v/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20653.924834730107</v>
      </c>
      <c r="I10" s="27">
        <v>0</v>
      </c>
      <c r="J10" s="26">
        <f>IFERROR(H10-I10,"")</f>
        <v>20653.924834730107</v>
      </c>
      <c r="K10" s="26">
        <f>IFERROR(($E$30/($H$31+$H$32)*$H$31)*R32,"")</f>
        <v>82.615699338920422</v>
      </c>
      <c r="L10" s="26">
        <f>IFERROR(($E$30/($H$31+$H$32)*$H$31)*S32,"")</f>
        <v>41.307849669460211</v>
      </c>
      <c r="M10" s="28">
        <f>IFERROR(K10+L10,"")</f>
        <v>123.92354900838063</v>
      </c>
      <c r="N10" s="29">
        <f>IFERROR(O10+P10+Q10+R10+S10+T10+U10+V10,"")</f>
        <v>20530.001285721726</v>
      </c>
      <c r="O10" s="26">
        <f t="shared" ref="O10:V10" si="2">IFERROR(($E$30/($H$31+$H$32)*$H$31)*J32,"")</f>
        <v>371.77064702514184</v>
      </c>
      <c r="P10" s="26">
        <f t="shared" si="2"/>
        <v>4110.1310421112912</v>
      </c>
      <c r="Q10" s="26">
        <f t="shared" si="2"/>
        <v>14147.938511790122</v>
      </c>
      <c r="R10" s="26">
        <f t="shared" si="2"/>
        <v>1838.1993102909792</v>
      </c>
      <c r="S10" s="26">
        <f t="shared" si="2"/>
        <v>20.653924834730105</v>
      </c>
      <c r="T10" s="26">
        <f t="shared" si="2"/>
        <v>0</v>
      </c>
      <c r="U10" s="26">
        <f t="shared" si="2"/>
        <v>41.307849669460211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2296.0751652698978</v>
      </c>
      <c r="I11" s="27">
        <v>0</v>
      </c>
      <c r="J11" s="26">
        <f>IFERROR(H11-I11,"")</f>
        <v>2296.0751652698978</v>
      </c>
      <c r="K11" s="26">
        <f>IFERROR(($E$30/($H$31+$H$32)*$H$32)*R32,"")</f>
        <v>9.1843006610795914</v>
      </c>
      <c r="L11" s="26">
        <f>IFERROR(($E$30/($H$31+$H$32)*$H$32)*S32,"")</f>
        <v>4.5921503305397957</v>
      </c>
      <c r="M11" s="28">
        <f>IFERROR(K11+L11,"")</f>
        <v>13.776450991619388</v>
      </c>
      <c r="N11" s="29">
        <f>IFERROR(O11+P11+Q11+R11+S11+T11+U11+V11,"")</f>
        <v>2282.2987142782786</v>
      </c>
      <c r="O11" s="26">
        <f t="shared" ref="O11:V11" si="3">IFERROR(($E$30/($H$31+$H$32)*$H$32)*J32,"")</f>
        <v>41.329352974858153</v>
      </c>
      <c r="P11" s="26">
        <f t="shared" si="3"/>
        <v>456.91895788870966</v>
      </c>
      <c r="Q11" s="26">
        <f t="shared" si="3"/>
        <v>1572.8114882098801</v>
      </c>
      <c r="R11" s="26">
        <f t="shared" si="3"/>
        <v>204.35068970902088</v>
      </c>
      <c r="S11" s="26">
        <f t="shared" si="3"/>
        <v>2.2960751652698979</v>
      </c>
      <c r="T11" s="26">
        <f t="shared" si="3"/>
        <v>0</v>
      </c>
      <c r="U11" s="26">
        <f t="shared" si="3"/>
        <v>4.5921503305397957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18299.153812252091</v>
      </c>
      <c r="I13" s="27">
        <v>0</v>
      </c>
      <c r="J13" s="26">
        <f>IFERROR(H13-I13,"")</f>
        <v>18299.153812252091</v>
      </c>
      <c r="K13" s="26">
        <f>IFERROR(($E$34/($H$35+$H$36)*$H$35)*R36,"")</f>
        <v>73.19661524900836</v>
      </c>
      <c r="L13" s="26">
        <f>IFERROR(($E$34/($H$35+$H$36)*$H$35)*S36,"")</f>
        <v>18.29915381225209</v>
      </c>
      <c r="M13" s="28">
        <f>IFERROR(K13+L13,"")</f>
        <v>91.495769061260447</v>
      </c>
      <c r="N13" s="29">
        <f>IFERROR(O13+P13+Q13+R13+S13+T13+U13+V13,"")</f>
        <v>18207.65804319083</v>
      </c>
      <c r="O13" s="26">
        <f t="shared" ref="O13:V13" si="4">IFERROR(($E$34/($H$35+$H$36)*$H$35)*J36,"")</f>
        <v>457.47884530630228</v>
      </c>
      <c r="P13" s="26">
        <f t="shared" si="4"/>
        <v>3916.0189158219473</v>
      </c>
      <c r="Q13" s="26">
        <f t="shared" si="4"/>
        <v>12571.518669017187</v>
      </c>
      <c r="R13" s="26">
        <f t="shared" si="4"/>
        <v>1171.1458439841338</v>
      </c>
      <c r="S13" s="26">
        <f t="shared" si="4"/>
        <v>0</v>
      </c>
      <c r="T13" s="26">
        <f t="shared" si="4"/>
        <v>0</v>
      </c>
      <c r="U13" s="26">
        <f t="shared" si="4"/>
        <v>91.495769061260461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1230.8461877479067</v>
      </c>
      <c r="I14" s="27">
        <v>0</v>
      </c>
      <c r="J14" s="26">
        <f>IFERROR(H14-I14,"")</f>
        <v>1230.8461877479067</v>
      </c>
      <c r="K14" s="26">
        <f>IFERROR(($E$34/($H$35+$H$36)*$H$36)*R36,"")</f>
        <v>4.9233847509916258</v>
      </c>
      <c r="L14" s="26">
        <f>IFERROR(($E$34/($H$35+$H$36)*$H$36)*S36,"")</f>
        <v>1.2308461877479064</v>
      </c>
      <c r="M14" s="28">
        <f>IFERROR(K14+L14,"")</f>
        <v>6.1542309387395324</v>
      </c>
      <c r="N14" s="29">
        <f>IFERROR(O14+P14+Q14+R14+S14+T14+U14+V14,"")</f>
        <v>1224.6919568091671</v>
      </c>
      <c r="O14" s="26">
        <f t="shared" ref="O14:V14" si="5">IFERROR(($E$34/($H$35+$H$36)*$H$36)*J36,"")</f>
        <v>30.771154693697664</v>
      </c>
      <c r="P14" s="26">
        <f t="shared" si="5"/>
        <v>263.40108417805197</v>
      </c>
      <c r="Q14" s="26">
        <f t="shared" si="5"/>
        <v>845.59133098281177</v>
      </c>
      <c r="R14" s="26">
        <f t="shared" si="5"/>
        <v>78.774156015866012</v>
      </c>
      <c r="S14" s="26">
        <f t="shared" si="5"/>
        <v>0</v>
      </c>
      <c r="T14" s="26">
        <f t="shared" si="5"/>
        <v>0</v>
      </c>
      <c r="U14" s="26">
        <f t="shared" si="5"/>
        <v>6.1542309387395324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11775.000000000002</v>
      </c>
      <c r="I16" s="27">
        <v>0</v>
      </c>
      <c r="J16" s="26">
        <f>IFERROR(H16-I16,"")</f>
        <v>11775.000000000002</v>
      </c>
      <c r="K16" s="26">
        <f>IFERROR(($E$38/($H$39)*$H$39)*R40,"")</f>
        <v>70.650000000000006</v>
      </c>
      <c r="L16" s="26">
        <f>IFERROR(($E$38/($H$39)*$H$39)*S40,"")</f>
        <v>23.55</v>
      </c>
      <c r="M16" s="28">
        <f>IFERROR(K16+L16,"")</f>
        <v>94.2</v>
      </c>
      <c r="N16" s="29">
        <f>IFERROR(O16+P16+Q16+R16+S16+T16+U16+V16,"")</f>
        <v>11680.800000000001</v>
      </c>
      <c r="O16" s="26">
        <f t="shared" ref="O16:V16" si="6">IFERROR(($E$38/($H$39)*$H$39)*J40,"")</f>
        <v>565.20000000000005</v>
      </c>
      <c r="P16" s="26">
        <f t="shared" si="6"/>
        <v>3155.7000000000003</v>
      </c>
      <c r="Q16" s="26">
        <f t="shared" si="6"/>
        <v>6994.3499999999995</v>
      </c>
      <c r="R16" s="26">
        <f t="shared" si="6"/>
        <v>918.45</v>
      </c>
      <c r="S16" s="26">
        <f t="shared" si="6"/>
        <v>11.775</v>
      </c>
      <c r="T16" s="26">
        <f t="shared" si="6"/>
        <v>0</v>
      </c>
      <c r="U16" s="26">
        <f t="shared" si="6"/>
        <v>35.325000000000003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54255</v>
      </c>
      <c r="I19" s="37">
        <f t="shared" si="7"/>
        <v>0</v>
      </c>
      <c r="J19" s="37">
        <f t="shared" si="7"/>
        <v>54255</v>
      </c>
      <c r="K19" s="37">
        <f t="shared" si="7"/>
        <v>240.57</v>
      </c>
      <c r="L19" s="37">
        <f t="shared" si="7"/>
        <v>88.97999999999999</v>
      </c>
      <c r="M19" s="37">
        <f t="shared" si="7"/>
        <v>329.55</v>
      </c>
      <c r="N19" s="37">
        <f t="shared" si="7"/>
        <v>53925.450000000004</v>
      </c>
      <c r="O19" s="37">
        <f t="shared" si="7"/>
        <v>1466.5500000000002</v>
      </c>
      <c r="P19" s="37">
        <f t="shared" si="7"/>
        <v>11902.170000000002</v>
      </c>
      <c r="Q19" s="37">
        <f t="shared" si="7"/>
        <v>36132.21</v>
      </c>
      <c r="R19" s="37">
        <f t="shared" si="7"/>
        <v>4210.92</v>
      </c>
      <c r="S19" s="37">
        <f t="shared" si="7"/>
        <v>34.725000000000001</v>
      </c>
      <c r="T19" s="37">
        <f t="shared" si="7"/>
        <v>0</v>
      </c>
      <c r="U19" s="37">
        <f t="shared" si="7"/>
        <v>178.875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54255.000000000007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0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0</v>
      </c>
      <c r="I27" s="26"/>
      <c r="J27" s="198">
        <f t="shared" ref="J27:S27" si="8">$E26*J28</f>
        <v>0</v>
      </c>
      <c r="K27" s="198">
        <f t="shared" si="8"/>
        <v>0</v>
      </c>
      <c r="L27" s="198">
        <f t="shared" si="8"/>
        <v>0</v>
      </c>
      <c r="M27" s="198">
        <f t="shared" si="8"/>
        <v>0</v>
      </c>
      <c r="N27" s="198">
        <f t="shared" si="8"/>
        <v>0</v>
      </c>
      <c r="O27" s="198">
        <f t="shared" si="8"/>
        <v>0</v>
      </c>
      <c r="P27" s="198">
        <f t="shared" si="8"/>
        <v>0</v>
      </c>
      <c r="Q27" s="198">
        <f t="shared" si="8"/>
        <v>0</v>
      </c>
      <c r="R27" s="198">
        <f t="shared" si="8"/>
        <v>0</v>
      </c>
      <c r="S27" s="198">
        <f t="shared" si="8"/>
        <v>0</v>
      </c>
      <c r="T27" s="199">
        <f>SUM(J27:S27)</f>
        <v>0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0</v>
      </c>
      <c r="K28" s="197">
        <f>Inputs!B38</f>
        <v>0</v>
      </c>
      <c r="L28" s="197">
        <f>Inputs!B39</f>
        <v>0</v>
      </c>
      <c r="M28" s="197">
        <f>Inputs!B40</f>
        <v>0</v>
      </c>
      <c r="N28" s="197">
        <f>Inputs!B41</f>
        <v>0</v>
      </c>
      <c r="O28" s="197">
        <v>0</v>
      </c>
      <c r="P28" s="197">
        <f>Inputs!B49</f>
        <v>0</v>
      </c>
      <c r="Q28" s="197">
        <f>Inputs!B42</f>
        <v>0</v>
      </c>
      <c r="R28" s="197">
        <f>Inputs!B48+Inputs!B50</f>
        <v>0</v>
      </c>
      <c r="S28" s="197">
        <f>Inputs!B47</f>
        <v>0</v>
      </c>
      <c r="T28" s="200">
        <f>SUM(J28:S28)</f>
        <v>0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22950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34578</v>
      </c>
      <c r="I31" s="30"/>
      <c r="J31" s="198">
        <f t="shared" ref="J31:S31" si="9">$E30*J32</f>
        <v>413.09999999999997</v>
      </c>
      <c r="K31" s="198">
        <f t="shared" si="9"/>
        <v>4567.05</v>
      </c>
      <c r="L31" s="198">
        <f t="shared" si="9"/>
        <v>15720.750000000002</v>
      </c>
      <c r="M31" s="198">
        <f t="shared" si="9"/>
        <v>2042.55</v>
      </c>
      <c r="N31" s="198">
        <f t="shared" si="9"/>
        <v>22.95</v>
      </c>
      <c r="O31" s="198">
        <f t="shared" si="9"/>
        <v>0</v>
      </c>
      <c r="P31" s="198">
        <f t="shared" si="9"/>
        <v>45.9</v>
      </c>
      <c r="Q31" s="198">
        <f t="shared" si="9"/>
        <v>0</v>
      </c>
      <c r="R31" s="198">
        <f t="shared" si="9"/>
        <v>91.8</v>
      </c>
      <c r="S31" s="198">
        <f t="shared" si="9"/>
        <v>45.9</v>
      </c>
      <c r="T31" s="199">
        <f>SUM(J31:S31)</f>
        <v>22950.000000000004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3844</v>
      </c>
      <c r="I32" s="30"/>
      <c r="J32" s="197">
        <f>Inputs!C37</f>
        <v>1.7999999999999999E-2</v>
      </c>
      <c r="K32" s="197">
        <f>Inputs!C38</f>
        <v>0.19900000000000001</v>
      </c>
      <c r="L32" s="197">
        <f>Inputs!C39</f>
        <v>0.68500000000000005</v>
      </c>
      <c r="M32" s="197">
        <f>Inputs!C40</f>
        <v>8.8999999999999996E-2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19530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29764</v>
      </c>
      <c r="I35" s="30"/>
      <c r="J35" s="198">
        <f t="shared" ref="J35:S35" si="10">$E$34*J36</f>
        <v>488.25</v>
      </c>
      <c r="K35" s="198">
        <f t="shared" si="10"/>
        <v>4179.42</v>
      </c>
      <c r="L35" s="198">
        <f t="shared" si="10"/>
        <v>13417.11</v>
      </c>
      <c r="M35" s="198">
        <f t="shared" si="10"/>
        <v>1249.92</v>
      </c>
      <c r="N35" s="198">
        <f t="shared" si="10"/>
        <v>0</v>
      </c>
      <c r="O35" s="198">
        <f t="shared" si="10"/>
        <v>0</v>
      </c>
      <c r="P35" s="198">
        <f t="shared" si="10"/>
        <v>97.65</v>
      </c>
      <c r="Q35" s="198">
        <f t="shared" si="10"/>
        <v>0</v>
      </c>
      <c r="R35" s="198">
        <f t="shared" si="10"/>
        <v>78.12</v>
      </c>
      <c r="S35" s="198">
        <f t="shared" si="10"/>
        <v>19.53</v>
      </c>
      <c r="T35" s="199">
        <f>SUM(J35:S35)</f>
        <v>19529.999999999996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2002</v>
      </c>
      <c r="I36" s="30"/>
      <c r="J36" s="197">
        <f>Inputs!D37</f>
        <v>2.5000000000000001E-2</v>
      </c>
      <c r="K36" s="197">
        <f>Inputs!D38</f>
        <v>0.214</v>
      </c>
      <c r="L36" s="197">
        <f>Inputs!D39</f>
        <v>0.68700000000000006</v>
      </c>
      <c r="M36" s="197">
        <f>Inputs!D40</f>
        <v>6.4000000000000001E-2</v>
      </c>
      <c r="N36" s="197">
        <f>Inputs!D41</f>
        <v>0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11775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18488</v>
      </c>
      <c r="I39" s="30"/>
      <c r="J39" s="198">
        <f t="shared" ref="J39:S39" si="11">$E38*J40</f>
        <v>565.20000000000005</v>
      </c>
      <c r="K39" s="198">
        <f t="shared" si="11"/>
        <v>3155.7000000000003</v>
      </c>
      <c r="L39" s="198">
        <f t="shared" si="11"/>
        <v>6994.3499999999995</v>
      </c>
      <c r="M39" s="198">
        <f t="shared" si="11"/>
        <v>918.45</v>
      </c>
      <c r="N39" s="198">
        <f t="shared" si="11"/>
        <v>11.775</v>
      </c>
      <c r="O39" s="198">
        <f t="shared" si="11"/>
        <v>0</v>
      </c>
      <c r="P39" s="198">
        <f t="shared" si="11"/>
        <v>35.325000000000003</v>
      </c>
      <c r="Q39" s="198">
        <f t="shared" si="11"/>
        <v>0</v>
      </c>
      <c r="R39" s="198">
        <f t="shared" si="11"/>
        <v>70.650000000000006</v>
      </c>
      <c r="S39" s="198">
        <f t="shared" si="11"/>
        <v>23.55</v>
      </c>
      <c r="T39" s="199">
        <f>SUM(J39:S39)</f>
        <v>11775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4.8000000000000001E-2</v>
      </c>
      <c r="K40" s="197">
        <f>Inputs!E38</f>
        <v>0.26800000000000002</v>
      </c>
      <c r="L40" s="197">
        <f>Inputs!E39</f>
        <v>0.59399999999999997</v>
      </c>
      <c r="M40" s="197">
        <f>Inputs!E40</f>
        <v>7.8E-2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0.99999999999999989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C21" sqref="C21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45893.25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34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C32" sqref="C32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34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</v>
      </c>
      <c r="L15" s="133">
        <f>X15*M15</f>
        <v>0</v>
      </c>
      <c r="M15" s="184">
        <f>Inputs!B39</f>
        <v>0</v>
      </c>
      <c r="N15" s="133">
        <f>X15*O15</f>
        <v>0</v>
      </c>
      <c r="O15" s="184">
        <f>Inputs!B40</f>
        <v>0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0</v>
      </c>
      <c r="X15" s="213">
        <f>Z15*15</f>
        <v>0</v>
      </c>
      <c r="Y15" s="209">
        <f>K15+M15+O15+Q15+S15+U15+W15</f>
        <v>0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0.217</v>
      </c>
      <c r="L17" s="133">
        <f>X17*M17</f>
        <v>0</v>
      </c>
      <c r="M17" s="184">
        <f>Inputs!C39</f>
        <v>0.68500000000000005</v>
      </c>
      <c r="N17" s="133">
        <f>X17*O17</f>
        <v>0</v>
      </c>
      <c r="O17" s="184">
        <f>Inputs!C40</f>
        <v>8.8999999999999996E-2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0.217</v>
      </c>
      <c r="L18" s="133">
        <f>X18*M18</f>
        <v>0</v>
      </c>
      <c r="M18" s="184">
        <f>M17</f>
        <v>0.68500000000000005</v>
      </c>
      <c r="N18" s="133">
        <f>X18*O18</f>
        <v>0</v>
      </c>
      <c r="O18" s="184">
        <f>O17</f>
        <v>8.8999999999999996E-2</v>
      </c>
      <c r="P18" s="133">
        <f>X18*Q18</f>
        <v>0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8.0000000000000002E-3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0.23899999999999999</v>
      </c>
      <c r="L20" s="133">
        <f>X20*M20</f>
        <v>0</v>
      </c>
      <c r="M20" s="184">
        <f>Inputs!D39</f>
        <v>0.68700000000000006</v>
      </c>
      <c r="N20" s="133">
        <f>X20*O20</f>
        <v>0</v>
      </c>
      <c r="O20" s="184">
        <f>Inputs!D40</f>
        <v>6.4000000000000001E-2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0.01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0.23899999999999999</v>
      </c>
      <c r="L21" s="133">
        <f>X21*M21</f>
        <v>0</v>
      </c>
      <c r="M21" s="184">
        <f>M20</f>
        <v>0.68700000000000006</v>
      </c>
      <c r="N21" s="133">
        <f>X21*O21</f>
        <v>0</v>
      </c>
      <c r="O21" s="184">
        <f>O20</f>
        <v>6.4000000000000001E-2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0.01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0.316</v>
      </c>
      <c r="L23" s="133">
        <f>X23*M23</f>
        <v>0</v>
      </c>
      <c r="M23" s="184">
        <f>Inputs!E39</f>
        <v>0.59399999999999997</v>
      </c>
      <c r="N23" s="133">
        <f>X23*O23</f>
        <v>0</v>
      </c>
      <c r="O23" s="184">
        <f>Inputs!E40</f>
        <v>7.8E-2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0.99999999999999989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100</v>
      </c>
      <c r="B30">
        <f>J26</f>
        <v>0</v>
      </c>
    </row>
    <row r="31" spans="1:30" x14ac:dyDescent="0.2">
      <c r="A31" s="3" t="s">
        <v>101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0</v>
      </c>
    </row>
    <row r="38" spans="1:13" x14ac:dyDescent="0.2">
      <c r="A38" s="3" t="s">
        <v>119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C19" sqref="C19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0</v>
      </c>
      <c r="I3" s="25" t="s">
        <v>235</v>
      </c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34578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3844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29764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2002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18488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N7" sqref="N7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34</v>
      </c>
      <c r="C7" s="151"/>
      <c r="D7" s="188"/>
      <c r="E7" s="148">
        <v>60</v>
      </c>
      <c r="F7" s="188"/>
      <c r="G7" s="188"/>
      <c r="H7" s="191"/>
      <c r="I7" s="210" t="str">
        <f>IF(K7&gt;0,K7-J7,"NA")</f>
        <v>NA</v>
      </c>
      <c r="J7" s="189">
        <f>IF(H7="NEW",203, IF(H7="OLD",192,0))</f>
        <v>0</v>
      </c>
      <c r="K7" s="151"/>
      <c r="L7" s="211" t="str">
        <f>IF(K7&gt;0,I7/E7,"NA")</f>
        <v>NA</v>
      </c>
      <c r="M7" s="151"/>
      <c r="N7" s="152"/>
      <c r="O7" s="157"/>
      <c r="P7" s="187" t="str">
        <f>IF(D7=Inputs!F$4,Inputs!I$4,IF(D7=Inputs!F$2,Inputs!I$2,IF(D7=Inputs!F$3,Inputs!I$3,IF(D7=Inputs!F$5,Inputs!I$5,"NA"))))</f>
        <v>NA</v>
      </c>
    </row>
    <row r="8" spans="1:16" x14ac:dyDescent="0.25">
      <c r="A8" s="148">
        <v>2</v>
      </c>
      <c r="B8" s="189">
        <f>Inputs!C$2</f>
        <v>34</v>
      </c>
      <c r="C8" s="151"/>
      <c r="D8" s="188"/>
      <c r="E8" s="148">
        <v>60</v>
      </c>
      <c r="F8" s="188"/>
      <c r="G8" s="188"/>
      <c r="H8" s="191"/>
      <c r="I8" s="210" t="str">
        <f t="shared" ref="I8:I70" si="0">IF(K8&gt;0,K8-J8,"NA")</f>
        <v>NA</v>
      </c>
      <c r="J8" s="189">
        <f>IF(H8="NEW",203, IF(H8="OLD",192,0))</f>
        <v>0</v>
      </c>
      <c r="K8" s="151"/>
      <c r="L8" s="211" t="str">
        <f>IF(K8&gt;0,I8/E8,"NA")</f>
        <v>NA</v>
      </c>
      <c r="M8" s="151"/>
      <c r="N8" s="152"/>
      <c r="O8" s="157"/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34</v>
      </c>
      <c r="C9" s="151"/>
      <c r="D9" s="188"/>
      <c r="E9" s="148">
        <v>60</v>
      </c>
      <c r="F9" s="188"/>
      <c r="G9" s="188"/>
      <c r="H9" s="191"/>
      <c r="I9" s="210" t="str">
        <f t="shared" si="0"/>
        <v>NA</v>
      </c>
      <c r="J9" s="189">
        <f>IF(H9="NEW",203, IF(H9="OLD",192,0))</f>
        <v>0</v>
      </c>
      <c r="K9" s="151"/>
      <c r="L9" s="211" t="str">
        <f t="shared" ref="L9:L72" si="1">IF(K9&gt;0,I9/E9,"NA")</f>
        <v>NA</v>
      </c>
      <c r="M9" s="151"/>
      <c r="N9" s="152"/>
      <c r="O9" s="157"/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34</v>
      </c>
      <c r="C10" s="151"/>
      <c r="D10" s="188"/>
      <c r="E10" s="148">
        <v>60</v>
      </c>
      <c r="F10" s="188"/>
      <c r="G10" s="188"/>
      <c r="H10" s="191"/>
      <c r="I10" s="210" t="str">
        <f t="shared" si="0"/>
        <v>NA</v>
      </c>
      <c r="J10" s="189">
        <f>IF(H10="NEW",203, IF(H10="OLD",192,0))</f>
        <v>0</v>
      </c>
      <c r="K10" s="151"/>
      <c r="L10" s="211" t="str">
        <f t="shared" si="1"/>
        <v>NA</v>
      </c>
      <c r="M10" s="151"/>
      <c r="N10" s="152"/>
      <c r="O10" s="157"/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34</v>
      </c>
      <c r="C11" s="151"/>
      <c r="D11" s="188"/>
      <c r="E11" s="148">
        <v>60</v>
      </c>
      <c r="F11" s="188"/>
      <c r="G11" s="188"/>
      <c r="H11" s="191"/>
      <c r="I11" s="210" t="str">
        <f>IF(K11&gt;0,K11-J11,"NA")</f>
        <v>NA</v>
      </c>
      <c r="J11" s="189">
        <f t="shared" ref="J11:J72" si="2">IF(H11="NEW",203, IF(H11="OLD",192,0))</f>
        <v>0</v>
      </c>
      <c r="K11" s="151"/>
      <c r="L11" s="211" t="str">
        <f>IF(K11&gt;0,I11/E11,"NA")</f>
        <v>NA</v>
      </c>
      <c r="M11" s="151"/>
      <c r="N11" s="152"/>
      <c r="O11" s="157"/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34</v>
      </c>
      <c r="C12" s="151"/>
      <c r="D12" s="188"/>
      <c r="E12" s="148">
        <v>60</v>
      </c>
      <c r="F12" s="188"/>
      <c r="G12" s="188"/>
      <c r="H12" s="191"/>
      <c r="I12" s="210" t="str">
        <f t="shared" si="0"/>
        <v>NA</v>
      </c>
      <c r="J12" s="189">
        <f t="shared" si="2"/>
        <v>0</v>
      </c>
      <c r="K12" s="151"/>
      <c r="L12" s="211" t="str">
        <f t="shared" si="1"/>
        <v>NA</v>
      </c>
      <c r="M12" s="151"/>
      <c r="N12" s="152"/>
      <c r="O12" s="157"/>
      <c r="P12" s="187" t="str">
        <f>IF(D12=Inputs!F$4,Inputs!I$4,IF(D12=Inputs!F$2,Inputs!I$2,IF(D12=Inputs!F$3,Inputs!I$3,IF(D12=Inputs!F$5,Inputs!I$5,"NA"))))</f>
        <v>NA</v>
      </c>
    </row>
    <row r="13" spans="1:16" x14ac:dyDescent="0.25">
      <c r="A13" s="148">
        <v>7</v>
      </c>
      <c r="B13" s="189">
        <f>Inputs!C$2</f>
        <v>34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34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IF(D14=Inputs!F$4,Inputs!I$4,IF(D14=Inputs!F$2,Inputs!I$2,IF(D14=Inputs!F$3,Inputs!I$3,IF(D14=Inputs!F$5,Inputs!I$5,"NA"))))</f>
        <v>NA</v>
      </c>
    </row>
    <row r="15" spans="1:16" x14ac:dyDescent="0.25">
      <c r="A15" s="148">
        <v>9</v>
      </c>
      <c r="B15" s="189">
        <f>Inputs!C$2</f>
        <v>34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IF(D15=Inputs!F$4,Inputs!I$4,IF(D15=Inputs!F$2,Inputs!I$2,IF(D15=Inputs!F$3,Inputs!I$3,IF(D15=Inputs!F$5,Inputs!I$5,"NA"))))</f>
        <v>NA</v>
      </c>
    </row>
    <row r="16" spans="1:16" x14ac:dyDescent="0.25">
      <c r="A16" s="148">
        <v>10</v>
      </c>
      <c r="B16" s="189">
        <f>Inputs!C$2</f>
        <v>34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IF(D16=Inputs!F$4,Inputs!I$4,IF(D16=Inputs!F$2,Inputs!I$2,IF(D16=Inputs!F$3,Inputs!I$3,IF(D16=Inputs!F$5,Inputs!I$5,"NA"))))</f>
        <v>NA</v>
      </c>
    </row>
    <row r="17" spans="1:16" x14ac:dyDescent="0.25">
      <c r="A17" s="148">
        <v>11</v>
      </c>
      <c r="B17" s="189">
        <f>Inputs!C$2</f>
        <v>34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IF(D17=Inputs!F$4,Inputs!I$4,IF(D17=Inputs!F$2,Inputs!I$2,IF(D17=Inputs!F$3,Inputs!I$3,IF(D17=Inputs!F$5,Inputs!I$5,"NA"))))</f>
        <v>NA</v>
      </c>
    </row>
    <row r="18" spans="1:16" x14ac:dyDescent="0.25">
      <c r="A18" s="148">
        <v>12</v>
      </c>
      <c r="B18" s="189">
        <f>Inputs!C$2</f>
        <v>34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IF(D18=Inputs!F$4,Inputs!I$4,IF(D18=Inputs!F$2,Inputs!I$2,IF(D18=Inputs!F$3,Inputs!I$3,IF(D18=Inputs!F$5,Inputs!I$5,"NA"))))</f>
        <v>NA</v>
      </c>
    </row>
    <row r="19" spans="1:16" x14ac:dyDescent="0.25">
      <c r="A19" s="148">
        <v>13</v>
      </c>
      <c r="B19" s="189">
        <f>Inputs!C$2</f>
        <v>34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34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34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34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34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34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34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34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34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34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34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34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34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34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34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34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34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34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34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34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34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34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34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34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34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34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34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34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34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34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34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34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34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34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34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34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34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34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34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34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34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34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34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34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34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34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34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34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34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34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34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34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34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34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34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34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34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34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34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34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34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34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34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34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topLeftCell="A13" zoomScaleNormal="100" workbookViewId="0">
      <selection activeCell="I47" sqref="I47"/>
    </sheetView>
  </sheetViews>
  <sheetFormatPr defaultRowHeight="12.75" x14ac:dyDescent="0.2"/>
  <cols>
    <col min="1" max="1" width="10.42578125" customWidth="1"/>
    <col min="2" max="2" width="8.85546875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34</v>
      </c>
      <c r="F2" s="166" t="s">
        <v>5</v>
      </c>
      <c r="G2" s="186">
        <v>45390</v>
      </c>
      <c r="I2" s="205">
        <f>(C$3-G2)/7</f>
        <v>71.892857142857139</v>
      </c>
      <c r="J2" s="230">
        <f>I2-19</f>
        <v>52.892857142857139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45893.25</v>
      </c>
      <c r="D3" s="247"/>
      <c r="F3" s="166" t="s">
        <v>168</v>
      </c>
      <c r="G3" s="186">
        <v>45572</v>
      </c>
      <c r="I3" s="205">
        <f>(C$3-G3)/7</f>
        <v>45.892857142857146</v>
      </c>
      <c r="J3" s="230">
        <f>I3-19</f>
        <v>26.892857142857146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32.892857142857146</v>
      </c>
      <c r="J4" s="230">
        <f>I4-19</f>
        <v>13.892857142857146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63.464285714285715</v>
      </c>
      <c r="J5" s="230">
        <f>I5-19</f>
        <v>44.464285714285715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0</v>
      </c>
      <c r="C10" s="165"/>
      <c r="E10" s="139">
        <v>6</v>
      </c>
      <c r="F10" s="168">
        <v>0</v>
      </c>
      <c r="G10" s="165"/>
    </row>
    <row r="11" spans="1:12" x14ac:dyDescent="0.2">
      <c r="A11" s="139">
        <v>7</v>
      </c>
      <c r="B11" s="168">
        <v>187</v>
      </c>
      <c r="C11" s="168">
        <v>20</v>
      </c>
      <c r="E11" s="139">
        <v>7</v>
      </c>
      <c r="F11" s="168">
        <v>189</v>
      </c>
      <c r="G11" s="168">
        <v>22</v>
      </c>
    </row>
    <row r="12" spans="1:12" x14ac:dyDescent="0.2">
      <c r="A12" s="139">
        <v>10</v>
      </c>
      <c r="B12" s="237">
        <v>160</v>
      </c>
      <c r="C12" s="168">
        <v>14</v>
      </c>
      <c r="E12" s="139">
        <v>10</v>
      </c>
      <c r="F12" s="168">
        <v>168</v>
      </c>
      <c r="G12" s="168">
        <v>13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0</v>
      </c>
      <c r="C16" s="165"/>
      <c r="E16" s="139">
        <v>6</v>
      </c>
      <c r="F16" s="168">
        <v>0</v>
      </c>
      <c r="G16" s="165"/>
    </row>
    <row r="17" spans="1:11" x14ac:dyDescent="0.2">
      <c r="A17" s="139">
        <v>7</v>
      </c>
      <c r="B17" s="168">
        <v>199</v>
      </c>
      <c r="C17" s="168">
        <v>25</v>
      </c>
      <c r="E17" s="139">
        <v>7</v>
      </c>
      <c r="F17" s="168">
        <v>192</v>
      </c>
      <c r="G17" s="168">
        <v>23</v>
      </c>
    </row>
    <row r="18" spans="1:11" x14ac:dyDescent="0.2">
      <c r="A18" s="139">
        <v>10</v>
      </c>
      <c r="B18" s="168">
        <v>187</v>
      </c>
      <c r="C18" s="168">
        <v>17</v>
      </c>
      <c r="E18" s="139">
        <v>10</v>
      </c>
      <c r="F18" s="168">
        <v>172</v>
      </c>
      <c r="G18" s="168">
        <v>12</v>
      </c>
    </row>
    <row r="19" spans="1:11" x14ac:dyDescent="0.2">
      <c r="A19" s="139">
        <v>11</v>
      </c>
      <c r="B19" s="168">
        <v>117</v>
      </c>
      <c r="C19" s="165"/>
      <c r="E19" s="139">
        <v>11</v>
      </c>
      <c r="F19" s="168">
        <v>105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0</v>
      </c>
      <c r="C23" s="165"/>
      <c r="E23" s="139">
        <v>6</v>
      </c>
      <c r="F23" s="168">
        <v>0</v>
      </c>
      <c r="G23" s="165"/>
    </row>
    <row r="24" spans="1:11" x14ac:dyDescent="0.2">
      <c r="A24" s="139">
        <v>7</v>
      </c>
      <c r="B24" s="168">
        <v>206</v>
      </c>
      <c r="C24" s="168">
        <v>23</v>
      </c>
      <c r="E24" s="139">
        <v>7</v>
      </c>
      <c r="F24" s="168">
        <v>198</v>
      </c>
      <c r="G24" s="168">
        <v>22</v>
      </c>
    </row>
    <row r="25" spans="1:11" x14ac:dyDescent="0.2">
      <c r="A25" s="139">
        <v>10</v>
      </c>
      <c r="B25" s="168">
        <v>170</v>
      </c>
      <c r="C25" s="168">
        <v>13</v>
      </c>
      <c r="E25" s="139">
        <v>10</v>
      </c>
      <c r="F25" s="168">
        <v>180</v>
      </c>
      <c r="G25" s="168">
        <v>15</v>
      </c>
    </row>
    <row r="26" spans="1:11" x14ac:dyDescent="0.2">
      <c r="A26" s="139">
        <v>11</v>
      </c>
      <c r="B26" s="168">
        <v>120</v>
      </c>
      <c r="C26" s="165"/>
      <c r="E26" s="139">
        <v>11</v>
      </c>
      <c r="F26" s="168">
        <v>104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0</v>
      </c>
      <c r="C29" s="165"/>
      <c r="E29" s="139">
        <v>6</v>
      </c>
      <c r="F29" s="203">
        <f t="shared" ref="F29:G31" si="0">B10+F10+B16+F16+B23+F23+B29</f>
        <v>0</v>
      </c>
      <c r="G29" s="204">
        <f t="shared" si="0"/>
        <v>0</v>
      </c>
      <c r="I29" s="139">
        <v>6</v>
      </c>
      <c r="J29" s="203">
        <f t="shared" ref="J29:K31" si="1">F29*15</f>
        <v>0</v>
      </c>
      <c r="K29" s="204">
        <f t="shared" si="1"/>
        <v>0</v>
      </c>
    </row>
    <row r="30" spans="1:11" x14ac:dyDescent="0.2">
      <c r="A30" s="139">
        <v>7</v>
      </c>
      <c r="B30" s="168">
        <v>200</v>
      </c>
      <c r="C30" s="168">
        <v>24</v>
      </c>
      <c r="E30" s="139">
        <v>7</v>
      </c>
      <c r="F30" s="203">
        <f t="shared" si="0"/>
        <v>1371</v>
      </c>
      <c r="G30" s="203">
        <f t="shared" si="0"/>
        <v>159</v>
      </c>
      <c r="I30" s="139">
        <v>7</v>
      </c>
      <c r="J30" s="203">
        <f t="shared" si="1"/>
        <v>20565</v>
      </c>
      <c r="K30" s="203">
        <f t="shared" si="1"/>
        <v>2385</v>
      </c>
    </row>
    <row r="31" spans="1:11" x14ac:dyDescent="0.2">
      <c r="A31" s="139">
        <v>10</v>
      </c>
      <c r="B31" s="168">
        <v>168</v>
      </c>
      <c r="C31" s="168">
        <v>13</v>
      </c>
      <c r="E31" s="139">
        <v>10</v>
      </c>
      <c r="F31" s="203">
        <f t="shared" si="0"/>
        <v>1205</v>
      </c>
      <c r="G31" s="203">
        <f t="shared" si="0"/>
        <v>97</v>
      </c>
      <c r="I31" s="139">
        <v>10</v>
      </c>
      <c r="J31" s="203">
        <f t="shared" si="1"/>
        <v>18075</v>
      </c>
      <c r="K31" s="203">
        <f t="shared" si="1"/>
        <v>1455</v>
      </c>
    </row>
    <row r="32" spans="1:11" x14ac:dyDescent="0.2">
      <c r="A32" s="139">
        <v>11</v>
      </c>
      <c r="B32" s="168">
        <v>123</v>
      </c>
      <c r="C32" s="165"/>
      <c r="E32" s="139">
        <v>11</v>
      </c>
      <c r="F32" s="203">
        <f t="shared" ref="F32:G32" si="2">B13+F13+B19+F19+B26+F26+B32</f>
        <v>785</v>
      </c>
      <c r="G32" s="204">
        <f t="shared" si="2"/>
        <v>0</v>
      </c>
      <c r="I32" s="139">
        <v>11</v>
      </c>
      <c r="J32" s="203">
        <f>F32*15</f>
        <v>11775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0</v>
      </c>
    </row>
    <row r="36" spans="1:9" x14ac:dyDescent="0.2">
      <c r="A36" s="172" t="s">
        <v>100</v>
      </c>
      <c r="B36" s="201">
        <f>B37+B38</f>
        <v>0</v>
      </c>
      <c r="C36" s="201">
        <f>C37+C38</f>
        <v>0.217</v>
      </c>
      <c r="D36" s="201">
        <f>D37+D38</f>
        <v>0.23899999999999999</v>
      </c>
      <c r="E36" s="201">
        <f>E37+E38</f>
        <v>0.316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0</v>
      </c>
      <c r="C37" s="173">
        <v>1.7999999999999999E-2</v>
      </c>
      <c r="D37" s="173">
        <v>2.5000000000000001E-2</v>
      </c>
      <c r="E37" s="173">
        <v>4.8000000000000001E-2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</v>
      </c>
      <c r="C38" s="173">
        <v>0.19900000000000001</v>
      </c>
      <c r="D38" s="173">
        <v>0.214</v>
      </c>
      <c r="E38" s="173">
        <v>0.26800000000000002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</v>
      </c>
      <c r="C39" s="173">
        <v>0.68500000000000005</v>
      </c>
      <c r="D39" s="173">
        <v>0.68700000000000006</v>
      </c>
      <c r="E39" s="173">
        <v>0.59399999999999997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</v>
      </c>
      <c r="C40" s="173">
        <v>8.8999999999999996E-2</v>
      </c>
      <c r="D40" s="173">
        <v>6.4000000000000001E-2</v>
      </c>
      <c r="E40" s="173">
        <v>7.8E-2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0</v>
      </c>
      <c r="C41" s="173">
        <v>1E-3</v>
      </c>
      <c r="D41" s="173">
        <v>0</v>
      </c>
      <c r="E41" s="173">
        <v>1E-3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0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0</v>
      </c>
      <c r="C44" s="232">
        <v>61.03</v>
      </c>
      <c r="D44" s="232">
        <v>61.49</v>
      </c>
      <c r="E44" s="232">
        <v>62</v>
      </c>
    </row>
    <row r="45" spans="1:9" x14ac:dyDescent="0.2">
      <c r="A45" s="233" t="s">
        <v>213</v>
      </c>
      <c r="B45" s="231">
        <f>J29</f>
        <v>0</v>
      </c>
      <c r="C45" s="231">
        <f>J30</f>
        <v>20565</v>
      </c>
      <c r="D45" s="231">
        <f>J31+K31</f>
        <v>19530</v>
      </c>
      <c r="E45" s="231">
        <f>J32</f>
        <v>11775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0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0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0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0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0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0.99999999999999989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2025-08-25T16:41:58Z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