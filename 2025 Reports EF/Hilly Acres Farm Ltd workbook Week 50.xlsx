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05217CA5-5FC2-4143-BAED-BA43187CC3CD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AH43" i="8" l="1"/>
  <c r="F29" i="8"/>
  <c r="J29" i="8" s="1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26" i="6"/>
  <c r="R26" i="6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15" i="6" l="1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I39" i="6"/>
  <c r="Q39" i="6" s="1"/>
  <c r="R39" i="6" s="1"/>
  <c r="I40" i="6"/>
  <c r="Q40" i="6" s="1"/>
  <c r="R40" i="6" s="1"/>
  <c r="I41" i="6"/>
  <c r="Q41" i="6" s="1"/>
  <c r="R41" i="6" s="1"/>
  <c r="I42" i="6"/>
  <c r="Q42" i="6" s="1"/>
  <c r="R42" i="6" s="1"/>
  <c r="I43" i="6"/>
  <c r="Q43" i="6" s="1"/>
  <c r="R43" i="6" s="1"/>
  <c r="I44" i="6"/>
  <c r="Q44" i="6" s="1"/>
  <c r="R44" i="6" s="1"/>
  <c r="I45" i="6"/>
  <c r="Q45" i="6" s="1"/>
  <c r="R45" i="6" s="1"/>
  <c r="I46" i="6"/>
  <c r="Q46" i="6" s="1"/>
  <c r="R46" i="6" s="1"/>
  <c r="I47" i="6"/>
  <c r="Q47" i="6" s="1"/>
  <c r="R47" i="6" s="1"/>
  <c r="I48" i="6"/>
  <c r="Q48" i="6" s="1"/>
  <c r="R48" i="6" s="1"/>
  <c r="I49" i="6"/>
  <c r="Q49" i="6" s="1"/>
  <c r="R49" i="6" s="1"/>
  <c r="I50" i="6"/>
  <c r="Q50" i="6" s="1"/>
  <c r="R50" i="6" s="1"/>
  <c r="I51" i="6"/>
  <c r="Q51" i="6" s="1"/>
  <c r="R51" i="6" s="1"/>
  <c r="I52" i="6"/>
  <c r="Q52" i="6" s="1"/>
  <c r="R52" i="6" s="1"/>
  <c r="I53" i="6"/>
  <c r="Q53" i="6" s="1"/>
  <c r="R53" i="6" s="1"/>
  <c r="I54" i="6"/>
  <c r="Q54" i="6" s="1"/>
  <c r="R54" i="6" s="1"/>
  <c r="I55" i="6"/>
  <c r="Q55" i="6" s="1"/>
  <c r="R55" i="6" s="1"/>
  <c r="I56" i="6"/>
  <c r="Q56" i="6" s="1"/>
  <c r="R56" i="6" s="1"/>
  <c r="I57" i="6"/>
  <c r="Q57" i="6" s="1"/>
  <c r="R57" i="6" s="1"/>
  <c r="I58" i="6"/>
  <c r="Q58" i="6" s="1"/>
  <c r="R58" i="6" s="1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41" i="6"/>
  <c r="L43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C3" i="8"/>
  <c r="I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L52" i="6" l="1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V6" i="6" s="1"/>
  <c r="AH7" i="8" s="1"/>
  <c r="AF7" i="8" s="1"/>
  <c r="V52" i="6"/>
  <c r="AF53" i="8" s="1"/>
  <c r="V53" i="6"/>
  <c r="AH54" i="8" s="1"/>
  <c r="AF54" i="8" s="1"/>
  <c r="V26" i="6"/>
  <c r="AH27" i="8" s="1"/>
  <c r="AF27" i="8" s="1"/>
  <c r="V19" i="6"/>
  <c r="AH20" i="8" s="1"/>
  <c r="AF20" i="8" s="1"/>
  <c r="V47" i="6"/>
  <c r="V50" i="6"/>
  <c r="AH51" i="8" s="1"/>
  <c r="AF51" i="8" s="1"/>
  <c r="V18" i="6"/>
  <c r="AH19" i="8" s="1"/>
  <c r="AF19" i="8" s="1"/>
  <c r="V60" i="6"/>
  <c r="AH61" i="8" s="1"/>
  <c r="AF61" i="8" s="1"/>
  <c r="L34" i="6"/>
  <c r="J3" i="8"/>
  <c r="P20" i="6"/>
  <c r="P18" i="6"/>
  <c r="P19" i="6"/>
  <c r="L36" i="6"/>
  <c r="B3" i="4"/>
  <c r="L35" i="6"/>
  <c r="L37" i="6"/>
  <c r="I5" i="8"/>
  <c r="P9" i="6" s="1"/>
  <c r="V65" i="6" l="1"/>
  <c r="AH66" i="8" s="1"/>
  <c r="AF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V20" i="6"/>
  <c r="AF21" i="8" s="1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AF43" i="8" s="1"/>
  <c r="R43" i="8" s="1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V25" i="6"/>
  <c r="AH26" i="8" s="1"/>
  <c r="AF26" i="8" s="1"/>
  <c r="W72" i="6"/>
  <c r="Q73" i="8" s="1"/>
  <c r="I41" i="8" s="1"/>
  <c r="V4" i="6"/>
  <c r="AH5" i="8" s="1"/>
  <c r="AF5" i="8" s="1"/>
  <c r="V31" i="6"/>
  <c r="AF32" i="8" s="1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AF42" i="8" s="1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29" i="6"/>
  <c r="P30" i="6"/>
  <c r="Z42" i="8"/>
  <c r="X42" i="8"/>
  <c r="AB42" i="8"/>
  <c r="T42" i="8"/>
  <c r="R42" i="8"/>
  <c r="P42" i="8"/>
  <c r="V42" i="8"/>
  <c r="AD42" i="8"/>
  <c r="AB43" i="8"/>
  <c r="T43" i="8"/>
  <c r="Z43" i="8"/>
  <c r="AH60" i="8"/>
  <c r="AF60" i="8" s="1"/>
  <c r="V66" i="8"/>
  <c r="P66" i="8"/>
  <c r="R66" i="8"/>
  <c r="AB66" i="8"/>
  <c r="Z66" i="8"/>
  <c r="T66" i="8"/>
  <c r="X66" i="8"/>
  <c r="AD66" i="8"/>
  <c r="AH4" i="8"/>
  <c r="AF4" i="8" s="1"/>
  <c r="AD61" i="8"/>
  <c r="R61" i="8"/>
  <c r="V61" i="8"/>
  <c r="X61" i="8"/>
  <c r="P61" i="8"/>
  <c r="Z61" i="8"/>
  <c r="T61" i="8"/>
  <c r="AB61" i="8"/>
  <c r="AH48" i="8"/>
  <c r="AF48" i="8" s="1"/>
  <c r="Z40" i="8"/>
  <c r="V40" i="8"/>
  <c r="R40" i="8"/>
  <c r="P40" i="8"/>
  <c r="AB40" i="8"/>
  <c r="T40" i="8"/>
  <c r="E11" i="5"/>
  <c r="G11" i="5" s="1"/>
  <c r="Z51" i="8"/>
  <c r="AB51" i="8"/>
  <c r="AD51" i="8"/>
  <c r="P51" i="8"/>
  <c r="R51" i="8"/>
  <c r="T51" i="8"/>
  <c r="X51" i="8"/>
  <c r="V51" i="8"/>
  <c r="V54" i="8"/>
  <c r="R54" i="8"/>
  <c r="Z54" i="8"/>
  <c r="T54" i="8"/>
  <c r="P54" i="8"/>
  <c r="AB54" i="8"/>
  <c r="X54" i="8"/>
  <c r="AD54" i="8"/>
  <c r="AB53" i="8"/>
  <c r="Z53" i="8"/>
  <c r="X53" i="8"/>
  <c r="AD53" i="8"/>
  <c r="T53" i="8"/>
  <c r="V53" i="8"/>
  <c r="R53" i="8"/>
  <c r="P53" i="8"/>
  <c r="P8" i="6"/>
  <c r="P24" i="6"/>
  <c r="P28" i="6"/>
  <c r="P22" i="6"/>
  <c r="P21" i="6"/>
  <c r="P26" i="6"/>
  <c r="P23" i="6"/>
  <c r="P25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X40" i="8" l="1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X43" i="8"/>
  <c r="AB49" i="8"/>
  <c r="Z62" i="8"/>
  <c r="X65" i="8"/>
  <c r="T52" i="8"/>
  <c r="AB62" i="8"/>
  <c r="V43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AD43" i="8"/>
  <c r="Z52" i="8"/>
  <c r="R49" i="8"/>
  <c r="X49" i="8"/>
  <c r="AD65" i="8"/>
  <c r="X52" i="8"/>
  <c r="T62" i="8"/>
  <c r="V10" i="6"/>
  <c r="P43" i="8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R44" i="8" s="1"/>
  <c r="AF44" i="8"/>
  <c r="AH44" i="8" s="1"/>
  <c r="Z37" i="8"/>
  <c r="R48" i="8"/>
  <c r="R55" i="8" s="1"/>
  <c r="P48" i="8"/>
  <c r="AF55" i="8"/>
  <c r="AH55" i="8" s="1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H11" i="5"/>
  <c r="H26" i="5" s="1"/>
  <c r="G26" i="5"/>
  <c r="E26" i="2"/>
  <c r="E34" i="2"/>
  <c r="E30" i="2"/>
  <c r="G2" i="2"/>
  <c r="I4" i="8"/>
  <c r="I2" i="8"/>
  <c r="P10" i="6" s="1"/>
  <c r="P44" i="8" l="1"/>
  <c r="T44" i="8"/>
  <c r="N20" i="5" s="1"/>
  <c r="X44" i="8"/>
  <c r="AB44" i="8"/>
  <c r="Z44" i="8"/>
  <c r="X55" i="8"/>
  <c r="Y55" i="8" s="1"/>
  <c r="V44" i="8"/>
  <c r="W44" i="8" s="1"/>
  <c r="AD44" i="8"/>
  <c r="AD87" i="8" s="1"/>
  <c r="Z55" i="8"/>
  <c r="AA55" i="8" s="1"/>
  <c r="V55" i="8"/>
  <c r="P21" i="5" s="1"/>
  <c r="P55" i="8"/>
  <c r="J21" i="5" s="1"/>
  <c r="AB55" i="8"/>
  <c r="AB88" i="8" s="1"/>
  <c r="AD55" i="8"/>
  <c r="X21" i="5" s="1"/>
  <c r="T55" i="8"/>
  <c r="U55" i="8" s="1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L21" i="5"/>
  <c r="R88" i="8"/>
  <c r="S55" i="8"/>
  <c r="AA44" i="8"/>
  <c r="T20" i="5"/>
  <c r="Z87" i="8"/>
  <c r="I38" i="8"/>
  <c r="AH87" i="8"/>
  <c r="AF87" i="8" s="1"/>
  <c r="AB20" i="5"/>
  <c r="Z20" i="5" s="1"/>
  <c r="L20" i="5"/>
  <c r="R87" i="8"/>
  <c r="S44" i="8"/>
  <c r="AB23" i="5"/>
  <c r="Z23" i="5" s="1"/>
  <c r="I40" i="8"/>
  <c r="P87" i="8"/>
  <c r="Q44" i="8"/>
  <c r="J20" i="5"/>
  <c r="I39" i="8"/>
  <c r="AB21" i="5"/>
  <c r="Z21" i="5" s="1"/>
  <c r="AH88" i="8"/>
  <c r="AF88" i="8" s="1"/>
  <c r="R20" i="5"/>
  <c r="X87" i="8"/>
  <c r="Y44" i="8"/>
  <c r="AC44" i="8"/>
  <c r="V20" i="5"/>
  <c r="AB87" i="8"/>
  <c r="U44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T87" i="8" l="1"/>
  <c r="X88" i="8"/>
  <c r="P20" i="5"/>
  <c r="R21" i="5"/>
  <c r="Z88" i="8"/>
  <c r="Z89" i="8" s="1"/>
  <c r="T21" i="5"/>
  <c r="V87" i="8"/>
  <c r="W87" i="8" s="1"/>
  <c r="AE44" i="8"/>
  <c r="Q55" i="8"/>
  <c r="N21" i="5"/>
  <c r="O21" i="5" s="1"/>
  <c r="X20" i="5"/>
  <c r="W55" i="8"/>
  <c r="P88" i="8"/>
  <c r="Q88" i="8" s="1"/>
  <c r="V21" i="5"/>
  <c r="W21" i="5" s="1"/>
  <c r="V88" i="8"/>
  <c r="V89" i="8" s="1"/>
  <c r="AD88" i="8"/>
  <c r="AD89" i="8" s="1"/>
  <c r="T88" i="8"/>
  <c r="T89" i="8" s="1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M20" i="5"/>
  <c r="Q20" i="5"/>
  <c r="W20" i="5"/>
  <c r="AE67" i="8"/>
  <c r="R40" i="2" s="1"/>
  <c r="R39" i="2" s="1"/>
  <c r="N23" i="5"/>
  <c r="O23" i="5" s="1"/>
  <c r="Y20" i="5"/>
  <c r="O20" i="5"/>
  <c r="T23" i="5"/>
  <c r="U23" i="5" s="1"/>
  <c r="Y67" i="8"/>
  <c r="Q40" i="2" s="1"/>
  <c r="Q39" i="2" s="1"/>
  <c r="U21" i="5"/>
  <c r="Q23" i="5"/>
  <c r="S88" i="8"/>
  <c r="M21" i="5"/>
  <c r="S20" i="5"/>
  <c r="AE87" i="8"/>
  <c r="AB89" i="8"/>
  <c r="AC87" i="8"/>
  <c r="R89" i="8"/>
  <c r="S87" i="8"/>
  <c r="U87" i="8"/>
  <c r="S21" i="5"/>
  <c r="Q87" i="8"/>
  <c r="P89" i="8"/>
  <c r="S23" i="5"/>
  <c r="K23" i="5"/>
  <c r="AA87" i="8"/>
  <c r="AC88" i="8"/>
  <c r="K21" i="5"/>
  <c r="M23" i="5"/>
  <c r="Q21" i="5"/>
  <c r="X89" i="8"/>
  <c r="Y87" i="8"/>
  <c r="K20" i="5"/>
  <c r="I20" i="5"/>
  <c r="AG44" i="8"/>
  <c r="Y21" i="5"/>
  <c r="AF89" i="8"/>
  <c r="AH89" i="8" s="1"/>
  <c r="Y88" i="8"/>
  <c r="AA88" i="8"/>
  <c r="Y23" i="5"/>
  <c r="U20" i="5"/>
  <c r="T16" i="2"/>
  <c r="R16" i="2"/>
  <c r="O16" i="2"/>
  <c r="U16" i="2"/>
  <c r="L16" i="2"/>
  <c r="AE88" i="8" l="1"/>
  <c r="AG55" i="8"/>
  <c r="I21" i="5"/>
  <c r="W88" i="8"/>
  <c r="U88" i="8"/>
  <c r="Q16" i="2"/>
  <c r="V16" i="2"/>
  <c r="S16" i="2"/>
  <c r="K16" i="2"/>
  <c r="I23" i="5"/>
  <c r="AG67" i="8"/>
  <c r="Y89" i="8"/>
  <c r="Q36" i="2" s="1"/>
  <c r="Q35" i="2" s="1"/>
  <c r="U89" i="8"/>
  <c r="M36" i="2" s="1"/>
  <c r="M35" i="2" s="1"/>
  <c r="W89" i="8"/>
  <c r="N36" i="2" s="1"/>
  <c r="N35" i="2" s="1"/>
  <c r="S89" i="8"/>
  <c r="L36" i="2" s="1"/>
  <c r="L35" i="2" s="1"/>
  <c r="AA89" i="8"/>
  <c r="O36" i="2" s="1"/>
  <c r="O35" i="2" s="1"/>
  <c r="AC89" i="8"/>
  <c r="P36" i="2" s="1"/>
  <c r="P35" i="2" s="1"/>
  <c r="Q89" i="8"/>
  <c r="K36" i="2" s="1"/>
  <c r="AG87" i="8"/>
  <c r="AA20" i="5"/>
  <c r="AA21" i="5"/>
  <c r="K39" i="2"/>
  <c r="T39" i="2" s="1"/>
  <c r="T40" i="2"/>
  <c r="AG88" i="8"/>
  <c r="AA23" i="5"/>
  <c r="AE89" i="8"/>
  <c r="R36" i="2" s="1"/>
  <c r="R35" i="2" s="1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AG89" i="8" l="1"/>
  <c r="P13" i="2"/>
  <c r="T36" i="2"/>
  <c r="K35" i="2"/>
  <c r="T35" i="2" s="1"/>
  <c r="S13" i="2"/>
  <c r="L8" i="2"/>
  <c r="R14" i="2"/>
  <c r="T13" i="2"/>
  <c r="G32" i="4"/>
  <c r="G42" i="4" s="1"/>
  <c r="Q14" i="2"/>
  <c r="U14" i="2"/>
  <c r="V13" i="2"/>
  <c r="P14" i="2"/>
  <c r="B18" i="4"/>
  <c r="L7" i="2" l="1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I15" i="5"/>
  <c r="S15" i="5"/>
  <c r="S22" i="8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O18" i="5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K18" i="5" l="1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<sst xmlns="http://schemas.openxmlformats.org/spreadsheetml/2006/main" count="1095" uniqueCount="239">
  <si>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</si>
  <si>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</si>
  <si>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</si>
  <si>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</si>
  <si>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</si>
  <si>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</si>
  <si>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</si>
  <si>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</si>
  <si>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</si>
  <si>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</si>
  <si>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</si>
  <si>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</si>
  <si>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</si>
  <si>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</si>
  <si>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</si>
  <si>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</si>
  <si>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</si>
  <si>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</si>
  <si>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</si>
  <si>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</si>
  <si>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</si>
  <si>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</si>
  <si>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</si>
  <si>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</si>
  <si>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</si>
  <si>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</si>
  <si>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</si>
  <si>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</si>
  <si>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</si>
  <si>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</si>
  <si>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</si>
  <si>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</si>
  <si>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</si>
  <si>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</si>
  <si>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</si>
  <si>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</si>
  <si>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</si>
  <si>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</si>
  <si>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</si>
  <si>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</si>
  <si>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</si>
  <si>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</si>
  <si>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</si>
  <si>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</si>
  <si>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</si>
  <si>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</si>
  <si>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</si>
  <si>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</si>
  <si>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</si>
  <si>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</si>
  <si>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</si>
  <si>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</si>
  <si>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</si>
  <si>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</si>
  <si>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</si>
  <si>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</si>
  <si>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</si>
  <si>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</si>
  <si>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</si>
  <si>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</si>
  <si>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</si>
  <si>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</si>
  <si>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</si>
  <si>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</si>
  <si>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</si>
  <si>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</si>
  <si>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</si>
  <si>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</si>
  <si>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</si>
  <si>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</si>
  <si>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</si>
  <si>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</si>
  <si>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</si>
  <si>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</si>
  <si>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</si>
  <si>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</si>
  <si>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</si>
  <si>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</si>
  <si>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</si>
  <si>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</si>
  <si>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</si>
  <si>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</si>
  <si>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</si>
  <si>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</si>
  <si>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</si>
  <si>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</si>
  <si>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</si>
  <si>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</si>
  <si>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</si>
  <si>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</si>
  <si>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</si>
  <si>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</si>
  <si>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</si>
  <si>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</si>
  <si>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</si>
  <si>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</si>
  <si>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</si>
  <si>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</si>
  <si>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</si>
  <si>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</si>
  <si>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</si>
  <si>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</si>
  <si>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</si>
  <si>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</si>
  <si>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</si>
  <si>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</si>
  <si>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</si>
  <si>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</si>
  <si>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</si>
  <si>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</si>
  <si>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</si>
  <si>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</si>
  <si>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</si>
  <si>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</si>
  <si>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</si>
  <si>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</si>
  <si>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</si>
  <si>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</si>
  <si>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</si>
  <si>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</si>
  <si>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</si>
  <si>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</si>
  <si>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</si>
  <si>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</si>
  <si>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</si>
  <si>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</si>
  <si>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</si>
  <si>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</si>
  <si>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</si>
  <si>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</si>
  <si>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</si>
  <si>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</si>
  <si>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</si>
  <si>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</si>
  <si>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</si>
  <si>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</si>
  <si>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</si>
  <si>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</si>
  <si>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</si>
  <si>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</si>
  <si>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</si>
  <si>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</si>
  <si>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</si>
  <si>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</si>
  <si>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</si>
  <si>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</si>
  <si>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</si>
  <si>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</si>
  <si>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</si>
  <si>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</si>
  <si>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</si>
  <si>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</si>
  <si>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</si>
  <si>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</si>
  <si>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</si>
  <si>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</si>
  <si>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</si>
  <si>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</si>
  <si>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</si>
  <si>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</si>
  <si>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</si>
  <si>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</si>
  <si>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</si>
  <si>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</si>
  <si>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</si>
  <si>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</si>
  <si>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</si>
  <si>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</si>
  <si>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</si>
  <si>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</si>
  <si>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</si>
  <si>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</si>
  <si>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</si>
  <si>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</si>
  <si>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</si>
  <si>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</si>
  <si>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</si>
  <si>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</si>
  <si>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</si>
  <si>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</si>
  <si>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</si>
  <si>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</si>
  <si>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</si>
  <si>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</si>
  <si>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</si>
  <si>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</si>
  <si>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</si>
  <si>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</si>
  <si>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</si>
  <si>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</si>
  <si>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</si>
  <si>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</si>
  <si>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</si>
  <si>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</si>
  <si>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</si>
  <si>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</si>
  <si>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</si>
  <si>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</si>
  <si>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</si>
  <si>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</si>
  <si>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</si>
  <si>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</si>
  <si>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</si>
  <si>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</si>
  <si>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</si>
  <si>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</si>
  <si>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</si>
  <si>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</si>
  <si>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</si>
  <si>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</si>
  <si>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</si>
  <si>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</si>
  <si>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</si>
  <si>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</si>
  <si>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</si>
  <si>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</si>
  <si>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</si>
  <si>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</si>
  <si>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</si>
  <si>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</si>
  <si>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</si>
  <si>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</si>
  <si>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</si>
  <si>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</si>
  <si>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</si>
  <si>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</si>
  <si>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</si>
  <si>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</si>
  <si>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</si>
  <si>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</si>
  <si>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</si>
  <si>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</si>
  <si>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</si>
  <si>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</si>
  <si>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</si>
  <si>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</si>
  <si>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Dec 8/25</t>
  </si>
  <si>
    <t>Mix</t>
  </si>
  <si>
    <t>Dec 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</si>
</sst>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49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45998.25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32880</v>
      </c>
      <c r="I7" s="27">
        <v>0</v>
      </c>
      <c r="J7" s="26">
        <f>IFERROR(H7-I7,"")</f>
        <v>32880</v>
      </c>
      <c r="K7" s="26">
        <f>IFERROR(($E$26/($H$27+$H$28)*$H$27)*R28,"")</f>
        <v>531.19186127697458</v>
      </c>
      <c r="L7" s="26">
        <f>IFERROR(($E$26/($H$27+$H$28)*$H$27)*S28,"")</f>
        <v>0</v>
      </c>
      <c r="M7" s="28">
        <f>IFERROR(K7+L7,"")</f>
        <v>531.19186127697458</v>
      </c>
      <c r="N7" s="29">
        <f>IFERROR(O7+P7+Q7+R7+S7+T7+U7+V7,"")</f>
        <v>32348.808138723027</v>
      </c>
      <c r="O7" s="26">
        <f t="shared" ref="O7:V7" si="0">IFERROR(($E$26/($H$27+$H$28)*$H$27)*J28,"")</f>
        <v>0</v>
      </c>
      <c r="P7" s="26">
        <f t="shared" si="0"/>
        <v>12033.005309886605</v>
      </c>
      <c r="Q7" s="26">
        <f t="shared" si="0"/>
        <v>16353.529552878666</v>
      </c>
      <c r="R7" s="26">
        <f t="shared" si="0"/>
        <v>2777.3985828367377</v>
      </c>
      <c r="S7" s="26">
        <f t="shared" si="0"/>
        <v>48.487807789027194</v>
      </c>
      <c r="T7" s="26">
        <f t="shared" si="0"/>
        <v>185.74173828668134</v>
      </c>
      <c r="U7" s="26">
        <f t="shared" si="0"/>
        <v>944.24864925507632</v>
      </c>
      <c r="V7" s="26">
        <f t="shared" si="0"/>
        <v>6.3964977902326261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20252.002932397758</v>
      </c>
      <c r="I10" s="27">
        <v>0</v>
      </c>
      <c r="J10" s="26">
        <f>IFERROR(H10-I10,"")</f>
        <v>20252.002932397758</v>
      </c>
      <c r="K10" s="26">
        <f>IFERROR(($E$30/($H$31+$H$32)*$H$31)*R32,"")</f>
        <v>310.26881539599458</v>
      </c>
      <c r="L10" s="26">
        <f>IFERROR(($E$30/($H$31+$H$32)*$H$31)*S32,"")</f>
        <v>0</v>
      </c>
      <c r="M10" s="28">
        <f>IFERROR(K10+L10,"")</f>
        <v>310.26881539599458</v>
      </c>
      <c r="N10" s="29">
        <f>IFERROR(O10+P10+Q10+R10+S10+T10+U10+V10,"")</f>
        <v>19941.734117001764</v>
      </c>
      <c r="O10" s="26">
        <f t="shared" ref="O10:V10" si="2">IFERROR(($E$30/($H$31+$H$32)*$H$31)*J32,"")</f>
        <v>0</v>
      </c>
      <c r="P10" s="26">
        <f t="shared" si="2"/>
        <v>6852.0665711232359</v>
      </c>
      <c r="Q10" s="26">
        <f t="shared" si="2"/>
        <v>10396.739162453781</v>
      </c>
      <c r="R10" s="26">
        <f t="shared" si="2"/>
        <v>1995.1095919897512</v>
      </c>
      <c r="S10" s="26">
        <f t="shared" si="2"/>
        <v>36.303905866311744</v>
      </c>
      <c r="T10" s="26">
        <f t="shared" si="2"/>
        <v>107.38015974859395</v>
      </c>
      <c r="U10" s="26">
        <f t="shared" si="2"/>
        <v>550.17114853500618</v>
      </c>
      <c r="V10" s="26">
        <f t="shared" si="2"/>
        <v>3.9635772850826103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2247.9970676022413</v>
      </c>
      <c r="I11" s="27">
        <v>0</v>
      </c>
      <c r="J11" s="26">
        <f>IFERROR(H11-I11,"")</f>
        <v>2247.9970676022413</v>
      </c>
      <c r="K11" s="26">
        <f>IFERROR(($E$30/($H$31+$H$32)*$H$32)*R32,"")</f>
        <v>34.440217567953795</v>
      </c>
      <c r="L11" s="26">
        <f>IFERROR(($E$30/($H$31+$H$32)*$H$32)*S32,"")</f>
        <v>0</v>
      </c>
      <c r="M11" s="28">
        <f>IFERROR(K11+L11,"")</f>
        <v>34.440217567953795</v>
      </c>
      <c r="N11" s="29">
        <f>IFERROR(O11+P11+Q11+R11+S11+T11+U11+V11,"")</f>
        <v>2213.5568500342874</v>
      </c>
      <c r="O11" s="26">
        <f t="shared" ref="O11:V11" si="3">IFERROR(($E$30/($H$31+$H$32)*$H$32)*J32,"")</f>
        <v>0</v>
      </c>
      <c r="P11" s="26">
        <f t="shared" si="3"/>
        <v>760.58776064361712</v>
      </c>
      <c r="Q11" s="26">
        <f t="shared" si="3"/>
        <v>1154.0507488487879</v>
      </c>
      <c r="R11" s="26">
        <f t="shared" si="3"/>
        <v>221.45960215931382</v>
      </c>
      <c r="S11" s="26">
        <f t="shared" si="3"/>
        <v>4.0297779040620636</v>
      </c>
      <c r="T11" s="26">
        <f t="shared" si="3"/>
        <v>11.91932891967638</v>
      </c>
      <c r="U11" s="26">
        <f t="shared" si="3"/>
        <v>61.069669637837677</v>
      </c>
      <c r="V11" s="26">
        <f t="shared" si="3"/>
        <v>0.43996192099235681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16224.465973385595</v>
      </c>
      <c r="I13" s="27">
        <v>0</v>
      </c>
      <c r="J13" s="26">
        <f>IFERROR(H13-I13,"")</f>
        <v>16224.465973385595</v>
      </c>
      <c r="K13" s="26">
        <f>IFERROR(($E$34/($H$35+$H$36)*$H$35)*R36,"")</f>
        <v>246.30724146543179</v>
      </c>
      <c r="L13" s="26">
        <f>IFERROR(($E$34/($H$35+$H$36)*$H$35)*S36,"")</f>
        <v>0</v>
      </c>
      <c r="M13" s="28">
        <f>IFERROR(K13+L13,"")</f>
        <v>246.30724146543179</v>
      </c>
      <c r="N13" s="29">
        <f>IFERROR(O13+P13+Q13+R13+S13+T13+U13+V13,"")</f>
        <v>15978.158731920163</v>
      </c>
      <c r="O13" s="26">
        <f t="shared" ref="O13:V13" si="4">IFERROR(($E$34/($H$35+$H$36)*$H$35)*J36,"")</f>
        <v>0</v>
      </c>
      <c r="P13" s="26">
        <f t="shared" si="4"/>
        <v>5414.683056857285</v>
      </c>
      <c r="Q13" s="26">
        <f t="shared" si="4"/>
        <v>8372.389495245161</v>
      </c>
      <c r="R13" s="26">
        <f t="shared" si="4"/>
        <v>1636.314581387817</v>
      </c>
      <c r="S13" s="26">
        <f t="shared" si="4"/>
        <v>29.943785585294982</v>
      </c>
      <c r="T13" s="26">
        <f t="shared" si="4"/>
        <v>85.087364487791092</v>
      </c>
      <c r="U13" s="26">
        <f t="shared" si="4"/>
        <v>436.56194219357974</v>
      </c>
      <c r="V13" s="26">
        <f t="shared" si="4"/>
        <v>3.1785061632323783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1085.5340266144074</v>
      </c>
      <c r="I14" s="27">
        <v>0</v>
      </c>
      <c r="J14" s="26">
        <f>IFERROR(H14-I14,"")</f>
        <v>1085.5340266144074</v>
      </c>
      <c r="K14" s="26">
        <f>IFERROR(($E$34/($H$35+$H$36)*$H$36)*R36,"")</f>
        <v>16.479734497940061</v>
      </c>
      <c r="L14" s="26">
        <f>IFERROR(($E$34/($H$35+$H$36)*$H$36)*S36,"")</f>
        <v>0</v>
      </c>
      <c r="M14" s="28">
        <f>IFERROR(K14+L14,"")</f>
        <v>16.479734497940061</v>
      </c>
      <c r="N14" s="29">
        <f>IFERROR(O14+P14+Q14+R14+S14+T14+U14+V14,"")</f>
        <v>1069.0542921164672</v>
      </c>
      <c r="O14" s="26">
        <f t="shared" ref="O14:V14" si="5">IFERROR(($E$34/($H$35+$H$36)*$H$36)*J36,"")</f>
        <v>0</v>
      </c>
      <c r="P14" s="26">
        <f t="shared" si="5"/>
        <v>362.28142801082032</v>
      </c>
      <c r="Q14" s="26">
        <f t="shared" si="5"/>
        <v>560.17336386087072</v>
      </c>
      <c r="R14" s="26">
        <f t="shared" si="5"/>
        <v>109.4812710172134</v>
      </c>
      <c r="S14" s="26">
        <f t="shared" si="5"/>
        <v>2.0034556571417816</v>
      </c>
      <c r="T14" s="26">
        <f t="shared" si="5"/>
        <v>5.6929596042146677</v>
      </c>
      <c r="U14" s="26">
        <f t="shared" si="5"/>
        <v>29.209148933061147</v>
      </c>
      <c r="V14" s="26">
        <f t="shared" si="5"/>
        <v>0.21266503314514684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12870</v>
      </c>
      <c r="I16" s="27">
        <v>0</v>
      </c>
      <c r="J16" s="26">
        <f>IFERROR(H16-I16,"")</f>
        <v>12870</v>
      </c>
      <c r="K16" s="26">
        <f>IFERROR(($E$38/($H$39)*$H$39)*R40,"")</f>
        <v>114.91582506907307</v>
      </c>
      <c r="L16" s="26">
        <f>IFERROR(($E$38/($H$39)*$H$39)*S40,"")</f>
        <v>0</v>
      </c>
      <c r="M16" s="28">
        <f>IFERROR(K16+L16,"")</f>
        <v>114.91582506907307</v>
      </c>
      <c r="N16" s="29">
        <f>IFERROR(O16+P16+Q16+R16+S16+T16+U16+V16,"")</f>
        <v>12755.084174930927</v>
      </c>
      <c r="O16" s="26">
        <f t="shared" ref="O16:V16" si="6">IFERROR(($E$38/($H$39)*$H$39)*J40,"")</f>
        <v>0</v>
      </c>
      <c r="P16" s="26">
        <f t="shared" si="6"/>
        <v>1183.6438548553631</v>
      </c>
      <c r="Q16" s="26">
        <f t="shared" si="6"/>
        <v>6882.9342855886216</v>
      </c>
      <c r="R16" s="26">
        <f t="shared" si="6"/>
        <v>4309.2191533506893</v>
      </c>
      <c r="S16" s="26">
        <f t="shared" si="6"/>
        <v>185.94262697082831</v>
      </c>
      <c r="T16" s="26">
        <f t="shared" si="6"/>
        <v>44.872524455147918</v>
      </c>
      <c r="U16" s="26">
        <f t="shared" si="6"/>
        <v>144.64583943028686</v>
      </c>
      <c r="V16" s="26">
        <f t="shared" si="6"/>
        <v>3.8258902799897658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85560</v>
      </c>
      <c r="I19" s="37">
        <f t="shared" si="7"/>
        <v>0</v>
      </c>
      <c r="J19" s="37">
        <f t="shared" si="7"/>
        <v>85560</v>
      </c>
      <c r="K19" s="37">
        <f t="shared" si="7"/>
        <v>1253.603695273368</v>
      </c>
      <c r="L19" s="37">
        <f t="shared" si="7"/>
        <v>0</v>
      </c>
      <c r="M19" s="37">
        <f t="shared" si="7"/>
        <v>1253.603695273368</v>
      </c>
      <c r="N19" s="37">
        <f t="shared" si="7"/>
        <v>84306.396304726644</v>
      </c>
      <c r="O19" s="37">
        <f t="shared" si="7"/>
        <v>0</v>
      </c>
      <c r="P19" s="37">
        <f t="shared" si="7"/>
        <v>26606.267981376928</v>
      </c>
      <c r="Q19" s="37">
        <f t="shared" si="7"/>
        <v>43719.816608875888</v>
      </c>
      <c r="R19" s="37">
        <f t="shared" si="7"/>
        <v>11048.982782741523</v>
      </c>
      <c r="S19" s="37">
        <f t="shared" si="7"/>
        <v>306.71135977266607</v>
      </c>
      <c r="T19" s="37">
        <f t="shared" si="7"/>
        <v>440.69407550210536</v>
      </c>
      <c r="U19" s="37">
        <f t="shared" si="7"/>
        <v>2165.9063979848484</v>
      </c>
      <c r="V19" s="37">
        <f t="shared" si="7"/>
        <v>18.017098472674881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85560.000000000015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32880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49009</v>
      </c>
      <c r="I27" s="26"/>
      <c r="J27" s="195"/>
      <c r="K27" s="195">
        <f t="shared" ref="K27:R27" si="8">$E26*K28</f>
        <v>12033.005309886605</v>
      </c>
      <c r="L27" s="195">
        <f t="shared" si="8"/>
        <v>16353.529552878666</v>
      </c>
      <c r="M27" s="195">
        <f t="shared" si="8"/>
        <v>2777.3985828367377</v>
      </c>
      <c r="N27" s="195">
        <f t="shared" si="8"/>
        <v>48.487807789027194</v>
      </c>
      <c r="O27" s="195">
        <f t="shared" si="8"/>
        <v>185.74173828668134</v>
      </c>
      <c r="P27" s="195">
        <f t="shared" si="8"/>
        <v>944.24864925507632</v>
      </c>
      <c r="Q27" s="195">
        <f t="shared" si="8"/>
        <v>6.3964977902326261</v>
      </c>
      <c r="R27" s="195">
        <f t="shared" si="8"/>
        <v>531.19186127697458</v>
      </c>
      <c r="S27" s="195"/>
      <c r="T27" s="196">
        <f>SUM(J27:S27)</f>
        <v>32880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22500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34378</v>
      </c>
      <c r="I31" s="30"/>
      <c r="J31" s="195"/>
      <c r="K31" s="195">
        <f t="shared" ref="K31:R31" si="9">$E30*K32</f>
        <v>7612.6543317668538</v>
      </c>
      <c r="L31" s="195">
        <f t="shared" si="9"/>
        <v>11550.789911302571</v>
      </c>
      <c r="M31" s="195">
        <f t="shared" si="9"/>
        <v>2216.569194149065</v>
      </c>
      <c r="N31" s="195">
        <f t="shared" si="9"/>
        <v>40.33368377037381</v>
      </c>
      <c r="O31" s="195">
        <f t="shared" si="9"/>
        <v>119.29948866827034</v>
      </c>
      <c r="P31" s="195">
        <f t="shared" si="9"/>
        <v>611.24081817284389</v>
      </c>
      <c r="Q31" s="195">
        <f t="shared" si="9"/>
        <v>4.4035392060749672</v>
      </c>
      <c r="R31" s="195">
        <f t="shared" si="9"/>
        <v>344.7090329639484</v>
      </c>
      <c r="S31" s="195"/>
      <c r="T31" s="196">
        <f>SUM(J31:S31)</f>
        <v>22500.000000000004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3816</v>
      </c>
      <c r="I32" s="30"/>
      <c r="J32" s="194"/>
      <c r="K32" s="194">
        <f>Inputs!Q82</f>
        <v>0.33834019252297126</v>
      </c>
      <c r="L32" s="194">
        <f>Inputs!S82</f>
        <v>0.51336844050233643</v>
      </c>
      <c r="M32" s="194">
        <f>Inputs!U82</f>
        <v>9.8514186406625112E-2</v>
      </c>
      <c r="N32" s="194">
        <f>Inputs!W82</f>
        <v>1.7926081675721693E-3</v>
      </c>
      <c r="O32" s="194">
        <f>Inputs!AA82</f>
        <v>5.3021994963675708E-3</v>
      </c>
      <c r="P32" s="194">
        <f>Inputs!AC82</f>
        <v>2.7166258585459728E-2</v>
      </c>
      <c r="Q32" s="194">
        <f>Inputs!Y82</f>
        <v>1.9571285360333188E-4</v>
      </c>
      <c r="R32" s="194">
        <f>Inputs!AE82</f>
        <v>1.5320401465064373E-2</v>
      </c>
      <c r="S32" s="194"/>
      <c r="T32" s="197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17310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29653</v>
      </c>
      <c r="I35" s="30"/>
      <c r="J35" s="195"/>
      <c r="K35" s="195">
        <f t="shared" ref="K35:R35" si="10">$E$34*K36</f>
        <v>5776.9644848681064</v>
      </c>
      <c r="L35" s="195">
        <f t="shared" si="10"/>
        <v>8932.5628591060322</v>
      </c>
      <c r="M35" s="195">
        <f t="shared" si="10"/>
        <v>1745.7958524050307</v>
      </c>
      <c r="N35" s="195">
        <f t="shared" si="10"/>
        <v>31.947241242436768</v>
      </c>
      <c r="O35" s="195">
        <f t="shared" si="10"/>
        <v>90.78032409200577</v>
      </c>
      <c r="P35" s="195">
        <f t="shared" si="10"/>
        <v>465.7710911266409</v>
      </c>
      <c r="Q35" s="195">
        <f t="shared" si="10"/>
        <v>3.3911711963775257</v>
      </c>
      <c r="R35" s="195">
        <f t="shared" si="10"/>
        <v>262.78697596337184</v>
      </c>
      <c r="S35" s="195"/>
      <c r="T35" s="196">
        <f>SUM(J35:S35)</f>
        <v>17310.000000000004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1984</v>
      </c>
      <c r="I36" s="30"/>
      <c r="J36" s="194"/>
      <c r="K36" s="194">
        <f>Inputs!Q89</f>
        <v>0.33373567214720429</v>
      </c>
      <c r="L36" s="194">
        <f>Inputs!S89</f>
        <v>0.51603482721583083</v>
      </c>
      <c r="M36" s="194">
        <f>Inputs!U89</f>
        <v>0.10085475750462337</v>
      </c>
      <c r="N36" s="194">
        <f>Inputs!W89</f>
        <v>1.8455945258484556E-3</v>
      </c>
      <c r="O36" s="194">
        <f>Inputs!AA89</f>
        <v>5.2443861404971558E-3</v>
      </c>
      <c r="P36" s="194">
        <f>Inputs!AC89</f>
        <v>2.6907630914306233E-2</v>
      </c>
      <c r="Q36" s="194">
        <f>Inputs!Y89</f>
        <v>1.9590821469540876E-4</v>
      </c>
      <c r="R36" s="194">
        <f>Inputs!AE89</f>
        <v>1.5181223336994331E-2</v>
      </c>
      <c r="S36" s="194"/>
      <c r="T36" s="197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12870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24778</v>
      </c>
      <c r="I39" s="30"/>
      <c r="J39" s="195"/>
      <c r="K39" s="195">
        <f t="shared" ref="K39:R39" si="11">$E38*K40</f>
        <v>1183.6438548553631</v>
      </c>
      <c r="L39" s="195">
        <f t="shared" si="11"/>
        <v>6882.9342855886216</v>
      </c>
      <c r="M39" s="195">
        <f t="shared" si="11"/>
        <v>4309.2191533506893</v>
      </c>
      <c r="N39" s="195">
        <f t="shared" si="11"/>
        <v>185.94262697082831</v>
      </c>
      <c r="O39" s="195">
        <f t="shared" si="11"/>
        <v>44.872524455147918</v>
      </c>
      <c r="P39" s="195">
        <f t="shared" si="11"/>
        <v>144.64583943028686</v>
      </c>
      <c r="Q39" s="195">
        <f t="shared" si="11"/>
        <v>3.8258902799897658</v>
      </c>
      <c r="R39" s="195">
        <f t="shared" si="11"/>
        <v>114.91582506907307</v>
      </c>
      <c r="S39" s="195"/>
      <c r="T39" s="196">
        <f>SUM(J39:S39)</f>
        <v>12870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9.1969219491481208E-2</v>
      </c>
      <c r="L40" s="194">
        <f>Inputs!S67</f>
        <v>0.5348045287947647</v>
      </c>
      <c r="M40" s="194">
        <f>Inputs!U67</f>
        <v>0.33482666304201159</v>
      </c>
      <c r="N40" s="194">
        <f>Inputs!W67</f>
        <v>1.4447756563389922E-2</v>
      </c>
      <c r="O40" s="194">
        <f>Inputs!AA67</f>
        <v>3.4865986367636301E-3</v>
      </c>
      <c r="P40" s="194">
        <f>Inputs!AC67</f>
        <v>1.1238992962726251E-2</v>
      </c>
      <c r="Q40" s="194">
        <f>Inputs!Y67</f>
        <v>2.9727197202717684E-4</v>
      </c>
      <c r="R40" s="194">
        <f>Inputs!AE67</f>
        <v>8.9289685368355142E-3</v>
      </c>
      <c r="S40" s="194"/>
      <c r="T40" s="197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45998.25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49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2820</v>
      </c>
      <c r="C13" s="214">
        <f>'Grade out Information'!Z26</f>
        <v>42300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300</v>
      </c>
      <c r="C21" s="214">
        <f>'Grade out Information'!E11</f>
        <v>4500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3120</v>
      </c>
      <c r="C27" s="216">
        <f>SUM(C13:C26)</f>
        <v>46800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6" sqref="H2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49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4500</v>
      </c>
      <c r="F11" s="220">
        <f>Inputs!R73*15</f>
        <v>0</v>
      </c>
      <c r="G11" s="221">
        <f>SUM(C11:F11)</f>
        <v>4500</v>
      </c>
      <c r="H11" s="222">
        <f>G11/15</f>
        <v>300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3541.8403071594548</v>
      </c>
      <c r="J15" s="229">
        <f>Inputs!P11</f>
        <v>1317.4823331992634</v>
      </c>
      <c r="K15" s="233">
        <f>J15/Z15</f>
        <v>0.36596731477757316</v>
      </c>
      <c r="L15" s="229">
        <f>Inputs!R11</f>
        <v>1790.5324327969342</v>
      </c>
      <c r="M15" s="233">
        <f>L15/Z15</f>
        <v>0.49737012022137062</v>
      </c>
      <c r="N15" s="229">
        <f>Inputs!T11</f>
        <v>304.09473534708803</v>
      </c>
      <c r="O15" s="233">
        <f>N15/Z15</f>
        <v>8.4470759818635568E-2</v>
      </c>
      <c r="P15" s="229">
        <f>Inputs!V11</f>
        <v>5.3088840644920285</v>
      </c>
      <c r="Q15" s="233">
        <f>P15/Z15</f>
        <v>1.4746900179144523E-3</v>
      </c>
      <c r="R15" s="229">
        <f>Inputs!X11</f>
        <v>0.70034647338313416</v>
      </c>
      <c r="S15" s="233">
        <f>R15/Z15</f>
        <v>1.9454068705087061E-4</v>
      </c>
      <c r="T15" s="234">
        <f>Inputs!Z11</f>
        <v>20.336686673724234</v>
      </c>
      <c r="U15" s="235">
        <f>T15/Z15</f>
        <v>5.6490796315900654E-3</v>
      </c>
      <c r="V15" s="229">
        <f>Inputs!AB11</f>
        <v>103.38488860457039</v>
      </c>
      <c r="W15" s="233">
        <f>V15/Z15</f>
        <v>2.8718024612380665E-2</v>
      </c>
      <c r="X15" s="229">
        <f>Inputs!AD11</f>
        <v>58.159692840544665</v>
      </c>
      <c r="Y15" s="182">
        <f>X15/Z15</f>
        <v>1.6155470233484629E-2</v>
      </c>
      <c r="Z15" s="207">
        <f>AB15*15</f>
        <v>3600</v>
      </c>
      <c r="AA15" s="204">
        <f>K15+M15+O15+Q15+S15+U15+W15+Y15</f>
        <v>1.0000000000000002</v>
      </c>
      <c r="AB15" s="219">
        <f>Inputs!AH11</f>
        <v>240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3547.1012404005023</v>
      </c>
      <c r="J17" s="229">
        <f>Inputs!P22</f>
        <v>1143.4314629952714</v>
      </c>
      <c r="K17" s="233">
        <f t="shared" ref="K17:K18" si="0">J17/Z17</f>
        <v>0.31761985083201982</v>
      </c>
      <c r="L17" s="229">
        <f>Inputs!R22</f>
        <v>1891.3218505670188</v>
      </c>
      <c r="M17" s="233">
        <f t="shared" ref="M17:M18" si="1">L17/Z17</f>
        <v>0.52536718071306077</v>
      </c>
      <c r="N17" s="229">
        <f>Inputs!T22</f>
        <v>392.56832285142218</v>
      </c>
      <c r="O17" s="233">
        <f t="shared" ref="O17:O18" si="2">N17/Z17</f>
        <v>0.10904675634761728</v>
      </c>
      <c r="P17" s="229">
        <f>Inputs!V22</f>
        <v>7.3117684073356459</v>
      </c>
      <c r="Q17" s="233">
        <f t="shared" ref="Q17:Q18" si="3">P17/Z17</f>
        <v>2.0310467798154573E-3</v>
      </c>
      <c r="R17" s="229">
        <f>Inputs!X22</f>
        <v>0.70773112266364036</v>
      </c>
      <c r="S17" s="233">
        <f t="shared" ref="S17:S18" si="4">R17/Z17</f>
        <v>1.9659197851767788E-4</v>
      </c>
      <c r="T17" s="234">
        <f>Inputs!Z22</f>
        <v>18.15134182182252</v>
      </c>
      <c r="U17" s="235">
        <f>T17/Z17</f>
        <v>5.0420393949506996E-3</v>
      </c>
      <c r="V17" s="229">
        <f>Inputs!AB22</f>
        <v>93.608762634968471</v>
      </c>
      <c r="W17" s="233">
        <f t="shared" ref="W17:W18" si="5">V17/Z17</f>
        <v>2.6002434065269021E-2</v>
      </c>
      <c r="X17" s="229">
        <f>Inputs!AD22</f>
        <v>52.898759599497055</v>
      </c>
      <c r="Y17" s="182">
        <f t="shared" ref="Y17:Y18" si="6">X17/Z17</f>
        <v>1.4694099888749182E-2</v>
      </c>
      <c r="Z17" s="207">
        <f>AB17*15</f>
        <v>3600</v>
      </c>
      <c r="AA17" s="254">
        <f>K17+M17+O17+Q17+S17+U17+W17+Y17</f>
        <v>0.99999999999999989</v>
      </c>
      <c r="AB17" s="219">
        <f>Inputs!AH22</f>
        <v>240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2656.3802303695916</v>
      </c>
      <c r="J18" s="229">
        <f>Inputs!P33</f>
        <v>988.11174989944755</v>
      </c>
      <c r="K18" s="233">
        <f t="shared" si="0"/>
        <v>0.36596731477757316</v>
      </c>
      <c r="L18" s="229">
        <f>Inputs!R33</f>
        <v>1342.8993245977006</v>
      </c>
      <c r="M18" s="233">
        <f t="shared" si="1"/>
        <v>0.49737012022137056</v>
      </c>
      <c r="N18" s="229">
        <f>Inputs!T33</f>
        <v>228.07105151031604</v>
      </c>
      <c r="O18" s="233">
        <f t="shared" si="2"/>
        <v>8.4470759818635568E-2</v>
      </c>
      <c r="P18" s="229">
        <f>Inputs!V33</f>
        <v>3.9816630483690214</v>
      </c>
      <c r="Q18" s="233">
        <f t="shared" si="3"/>
        <v>1.4746900179144523E-3</v>
      </c>
      <c r="R18" s="229">
        <f>Inputs!X33</f>
        <v>0.52525985503735062</v>
      </c>
      <c r="S18" s="233">
        <f t="shared" si="4"/>
        <v>1.9454068705087061E-4</v>
      </c>
      <c r="T18" s="234">
        <f>Inputs!Z33</f>
        <v>15.252515005293176</v>
      </c>
      <c r="U18" s="235">
        <f>T18/Z18</f>
        <v>5.6490796315900654E-3</v>
      </c>
      <c r="V18" s="229">
        <f>Inputs!AB33</f>
        <v>77.538666453427794</v>
      </c>
      <c r="W18" s="233">
        <f t="shared" si="5"/>
        <v>2.8718024612380665E-2</v>
      </c>
      <c r="X18" s="229">
        <f>Inputs!AD33</f>
        <v>43.619769630408499</v>
      </c>
      <c r="Y18" s="182">
        <f t="shared" si="6"/>
        <v>1.6155470233484629E-2</v>
      </c>
      <c r="Z18" s="207">
        <f>AB18*15</f>
        <v>2700</v>
      </c>
      <c r="AA18" s="254">
        <f>K18+M18+O18+Q18+S18+U18+W18+Y18</f>
        <v>1.0000000000000002</v>
      </c>
      <c r="AB18" s="219">
        <f>Inputs!AH33</f>
        <v>180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5139.8771919740493</v>
      </c>
      <c r="J20" s="229">
        <f>Inputs!P44</f>
        <v>1771.1086869757382</v>
      </c>
      <c r="K20" s="233">
        <f t="shared" ref="K20:K21" si="7">J20/Z20</f>
        <v>0.33929285191106096</v>
      </c>
      <c r="L20" s="229">
        <f>Inputs!R44</f>
        <v>2676.9035617716227</v>
      </c>
      <c r="M20" s="233">
        <f t="shared" ref="M20:M21" si="8">L20/Z20</f>
        <v>0.51281677428575145</v>
      </c>
      <c r="N20" s="229">
        <f>Inputs!T44</f>
        <v>511.71623625674499</v>
      </c>
      <c r="O20" s="233">
        <f t="shared" ref="O20:O21" si="9">N20/Z20</f>
        <v>9.8029930317384092E-2</v>
      </c>
      <c r="P20" s="229">
        <f>Inputs!V44</f>
        <v>9.3001893677883345</v>
      </c>
      <c r="Q20" s="233">
        <f t="shared" ref="Q20:Q21" si="10">P20/Z20</f>
        <v>1.781645472756386E-3</v>
      </c>
      <c r="R20" s="229">
        <f>Inputs!X44</f>
        <v>1.0214101058299494</v>
      </c>
      <c r="S20" s="233">
        <f t="shared" ref="S20:S21" si="11">R20/Z20</f>
        <v>1.956724340670401E-4</v>
      </c>
      <c r="T20" s="234">
        <f>Inputs!Z44</f>
        <v>27.739919795378771</v>
      </c>
      <c r="U20" s="235">
        <f t="shared" ref="U20:U21" si="12">T20/Z20</f>
        <v>5.3141608803407604E-3</v>
      </c>
      <c r="V20" s="229">
        <f>Inputs!AB44</f>
        <v>142.08718770094552</v>
      </c>
      <c r="W20" s="233">
        <f t="shared" ref="W20:W21" si="13">V20/Z20</f>
        <v>2.7219767758801822E-2</v>
      </c>
      <c r="X20" s="229">
        <f>Inputs!AD44</f>
        <v>80.12280802595167</v>
      </c>
      <c r="Y20" s="182">
        <f t="shared" ref="Y20:Y21" si="14">X20/Z20</f>
        <v>1.5349196939837485E-2</v>
      </c>
      <c r="Z20" s="207">
        <f>AB20*15</f>
        <v>5220</v>
      </c>
      <c r="AA20" s="254">
        <f>K20+M20+O20+Q20+S20+U20+W20+Y20</f>
        <v>1</v>
      </c>
      <c r="AB20" s="219">
        <f>Inputs!AH44</f>
        <v>348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178.14420200618233</v>
      </c>
      <c r="J21" s="229">
        <f>Inputs!P55</f>
        <v>31.063942619164795</v>
      </c>
      <c r="K21" s="233">
        <f t="shared" si="7"/>
        <v>0.17257745899535998</v>
      </c>
      <c r="L21" s="229">
        <f>Inputs!R55</f>
        <v>109.68450519386369</v>
      </c>
      <c r="M21" s="233">
        <f t="shared" si="8"/>
        <v>0.60935836218813155</v>
      </c>
      <c r="N21" s="229">
        <f>Inputs!T55</f>
        <v>32.899454268221234</v>
      </c>
      <c r="O21" s="233">
        <f t="shared" si="9"/>
        <v>0.18277474593456242</v>
      </c>
      <c r="P21" s="229">
        <f>Inputs!V55</f>
        <v>0.66602107179332493</v>
      </c>
      <c r="Q21" s="233">
        <f t="shared" si="10"/>
        <v>3.7001170655184719E-3</v>
      </c>
      <c r="R21" s="229">
        <f>Inputs!X55</f>
        <v>3.6494253525257953E-2</v>
      </c>
      <c r="S21" s="233">
        <f t="shared" si="11"/>
        <v>2.0274585291809972E-4</v>
      </c>
      <c r="T21" s="234">
        <f>Inputs!Z55</f>
        <v>0.57976536330586903</v>
      </c>
      <c r="U21" s="235">
        <f t="shared" si="12"/>
        <v>3.2209186850326059E-3</v>
      </c>
      <c r="V21" s="229">
        <f>Inputs!AB55</f>
        <v>3.2140192363081344</v>
      </c>
      <c r="W21" s="233">
        <f t="shared" si="13"/>
        <v>1.785566242393408E-2</v>
      </c>
      <c r="X21" s="229">
        <f>Inputs!AD55</f>
        <v>1.8557979938177109</v>
      </c>
      <c r="Y21" s="182">
        <f t="shared" si="14"/>
        <v>1.0309988854542838E-2</v>
      </c>
      <c r="Z21" s="207">
        <f>AB21*15</f>
        <v>180</v>
      </c>
      <c r="AA21" s="254">
        <f>K21+M21+O21+Q21+S21+U21+W21+Y21</f>
        <v>1</v>
      </c>
      <c r="AB21" s="219">
        <f>Inputs!AH55</f>
        <v>12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26758.917849505444</v>
      </c>
      <c r="J23" s="229">
        <f>Inputs!P67</f>
        <v>2483.1689262699924</v>
      </c>
      <c r="K23" s="233">
        <f>J23/Z23</f>
        <v>9.1969219491481208E-2</v>
      </c>
      <c r="L23" s="229">
        <f>Inputs!R67</f>
        <v>14439.722277458646</v>
      </c>
      <c r="M23" s="233">
        <f>L23/Z23</f>
        <v>0.5348045287947647</v>
      </c>
      <c r="N23" s="229">
        <f>Inputs!T67</f>
        <v>9040.3199021343135</v>
      </c>
      <c r="O23" s="233">
        <f>N23/Z23</f>
        <v>0.33482666304201159</v>
      </c>
      <c r="P23" s="229">
        <f>Inputs!V67</f>
        <v>390.08942721152789</v>
      </c>
      <c r="Q23" s="233">
        <f>P23/Z23</f>
        <v>1.4447756563389922E-2</v>
      </c>
      <c r="R23" s="229">
        <f>Inputs!X67</f>
        <v>8.0263432447337753</v>
      </c>
      <c r="S23" s="233">
        <f>R23/Z23</f>
        <v>2.9727197202717684E-4</v>
      </c>
      <c r="T23" s="234">
        <f>Inputs!Z67</f>
        <v>94.138163192618009</v>
      </c>
      <c r="U23" s="235">
        <f>T23/Z23</f>
        <v>3.4865986367636301E-3</v>
      </c>
      <c r="V23" s="229">
        <f>Inputs!AB67</f>
        <v>303.45280999360875</v>
      </c>
      <c r="W23" s="237">
        <f>V23/Z23</f>
        <v>1.1238992962726251E-2</v>
      </c>
      <c r="X23" s="229">
        <f>Inputs!AD67</f>
        <v>241.0821504945589</v>
      </c>
      <c r="Y23" s="212">
        <f>X23/Z23</f>
        <v>8.9289685368355142E-3</v>
      </c>
      <c r="Z23" s="207">
        <f>AB23*15</f>
        <v>27000</v>
      </c>
      <c r="AA23" s="204">
        <f>K23+M23+O23+Q23+S23+U23+W23+Y23</f>
        <v>1</v>
      </c>
      <c r="AB23" s="219">
        <f>Inputs!AH67</f>
        <v>1800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4500</v>
      </c>
      <c r="F26" s="139">
        <f>SUM(F11:F25)</f>
        <v>0</v>
      </c>
      <c r="G26" s="139">
        <f>G11+G12</f>
        <v>4500</v>
      </c>
      <c r="H26" s="139">
        <f>SUM(H11+H12)</f>
        <v>300</v>
      </c>
      <c r="I26" s="231"/>
      <c r="J26" s="232">
        <f>SUM(J15:J25)</f>
        <v>7734.3671019588783</v>
      </c>
      <c r="K26" s="232"/>
      <c r="L26" s="232">
        <f>SUM(L15:L25)</f>
        <v>22251.063952385786</v>
      </c>
      <c r="M26" s="232"/>
      <c r="N26" s="232">
        <f>SUM(N15:N25)</f>
        <v>10509.669702368106</v>
      </c>
      <c r="O26" s="232"/>
      <c r="P26" s="232">
        <f>SUM(P15:P25)</f>
        <v>416.65795317130625</v>
      </c>
      <c r="Q26" s="232"/>
      <c r="R26" s="232">
        <f>SUM(R15:R25)</f>
        <v>11.017585055173107</v>
      </c>
      <c r="S26" s="232"/>
      <c r="T26" s="232">
        <f>SUM(T15:T25)</f>
        <v>176.19839185214258</v>
      </c>
      <c r="U26" s="232"/>
      <c r="V26" s="232">
        <f>SUM(V15:V25)</f>
        <v>723.28633462382913</v>
      </c>
      <c r="W26" s="232"/>
      <c r="X26" s="232">
        <f>SUM(X15:X25)</f>
        <v>477.73897858477847</v>
      </c>
      <c r="Y26" s="139"/>
      <c r="Z26" s="139">
        <f>SUM(Z15:Z25)</f>
        <v>42300</v>
      </c>
      <c r="AA26" s="139"/>
      <c r="AB26" s="139">
        <f>SUM(AB15:AB25)</f>
        <v>2820</v>
      </c>
      <c r="AC26" s="141">
        <f>IF(AB33=0,0,AB33/(H33+AB33))</f>
        <v>0</v>
      </c>
      <c r="AD26" s="139">
        <f>G26+Z26</f>
        <v>46800</v>
      </c>
      <c r="AE26" s="139">
        <f>H26+AB26</f>
        <v>3120</v>
      </c>
      <c r="AF26" s="141">
        <f>I26+AC26</f>
        <v>0</v>
      </c>
    </row>
    <row r="30" spans="1:32" x14ac:dyDescent="0.2">
      <c r="A30" s="3" t="s">
        <v>100</v>
      </c>
      <c r="B30">
        <f>J26</f>
        <v>7734.3671019588783</v>
      </c>
    </row>
    <row r="31" spans="1:32" x14ac:dyDescent="0.2">
      <c r="A31" s="3" t="s">
        <v>101</v>
      </c>
      <c r="B31">
        <f>L26</f>
        <v>22251.063952385786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10509.669702368106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416.65795317130625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11.017585055173107</v>
      </c>
    </row>
    <row r="35" spans="1:13" x14ac:dyDescent="0.2">
      <c r="A35" s="3" t="s">
        <v>105</v>
      </c>
      <c r="B35">
        <f>T26</f>
        <v>176.19839185214258</v>
      </c>
    </row>
    <row r="36" spans="1:13" x14ac:dyDescent="0.2">
      <c r="A36" s="3" t="s">
        <v>215</v>
      </c>
      <c r="B36">
        <f>V26</f>
        <v>723.28633462382913</v>
      </c>
    </row>
    <row r="37" spans="1:13" x14ac:dyDescent="0.2">
      <c r="A37" s="3" t="s">
        <v>226</v>
      </c>
      <c r="B37" s="162">
        <f>X26</f>
        <v>477.73897858477847</v>
      </c>
    </row>
    <row r="39" spans="1:13" x14ac:dyDescent="0.2">
      <c r="A39" s="3" t="s">
        <v>118</v>
      </c>
      <c r="B39">
        <f>SUM(B30:B37)</f>
        <v>42300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8" sqref="B18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49009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34378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3816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29653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1984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24778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63" sqref="G6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234</v>
      </c>
      <c r="R1" s="142" t="s">
        <v>235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49</v>
      </c>
      <c r="C7" s="151">
        <v>1262884</v>
      </c>
      <c r="D7" s="185" t="s">
        <v>6</v>
      </c>
      <c r="E7" s="148">
        <v>60</v>
      </c>
      <c r="F7" s="185"/>
      <c r="G7" s="185" t="s">
        <v>10</v>
      </c>
      <c r="H7" s="188" t="s">
        <v>184</v>
      </c>
      <c r="I7" s="205" t="str">
        <f t="shared" ref="I7:I38" si="0">IF(K7&gt;0,K7-J7,"NA")</f>
        <v>NA</v>
      </c>
      <c r="J7" s="186">
        <f t="shared" ref="J7:J38" si="1">IF(H7="NEW",203, IF(H7="OLD",192,0))</f>
        <v>203</v>
      </c>
      <c r="K7" s="151"/>
      <c r="L7" s="206" t="str">
        <f t="shared" ref="L7:L38" si="2">IF(K7&gt;0,I7/E7,"NA")</f>
        <v>NA</v>
      </c>
      <c r="M7" s="151">
        <v>135264</v>
      </c>
      <c r="N7" s="152" t="s">
        <v>236</v>
      </c>
      <c r="O7" s="157" t="s">
        <v>10</v>
      </c>
      <c r="P7" s="184" t="str">
        <f>IF(D7=Inputs!F$4,Inputs!I$4,IF(D7=Inputs!F$2,Inputs!I$2,IF(D7=Inputs!F$3,Inputs!I$3,IF(D7=Inputs!F$5,Inputs!I$5,"NA"))))</f>
        <v>NA</v>
      </c>
      <c r="Q7" s="255" t="e">
        <f>IF(ROUNDDOWN(I7/60,0)&gt;24, 24, ROUNDDOWN(I7/60,0))</f>
        <v>#VALUE!</v>
      </c>
      <c r="R7" s="142">
        <f>IF(O7="MED",72,(IF(D7="7169-E6",3,0)+IF(D7="7168-E7",14,0)+IF(D7="7169-E10",36,0)+IF(D7="7168-E11",59,0))+IF(O7="Brown",11,0)+(Q7-18))</f>
        <v>72</v>
      </c>
      <c r="U7" s="142" t="s">
        <v>221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49</v>
      </c>
      <c r="C8" s="151">
        <v>1262885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1335</v>
      </c>
      <c r="J8" s="186">
        <f t="shared" si="1"/>
        <v>203</v>
      </c>
      <c r="K8" s="151">
        <v>1538</v>
      </c>
      <c r="L8" s="206">
        <f t="shared" si="2"/>
        <v>22.25</v>
      </c>
      <c r="M8" s="151">
        <v>135264</v>
      </c>
      <c r="N8" s="152" t="s">
        <v>236</v>
      </c>
      <c r="O8" s="157" t="s">
        <v>47</v>
      </c>
      <c r="P8" s="184">
        <f>IF(D8=Inputs!F$4,Inputs!I$4,IF(D8=Inputs!F$2,Inputs!I$2,IF(D8=Inputs!F$3,Inputs!I$3,IF(D8=Inputs!F$5,Inputs!I$5,"NA"))))</f>
        <v>26.607142857142858</v>
      </c>
      <c r="Q8" s="255">
        <f t="shared" ref="Q8:Q71" si="3">IF(ROUNDDOWN(I8/60,0)&gt;24, 24, ROUNDDOWN(I8/60,0))</f>
        <v>22</v>
      </c>
      <c r="R8" s="142">
        <f>IF(O8="MED",72,(IF(D8="7169-E6",3,0)+IF(D8="7168-E7",14,0)+IF(D8="7169-E10",36,0)+IF(D8="7168-E11",59,0))+IF(O8="Brown",11,0)+(Q8-18))</f>
        <v>63</v>
      </c>
      <c r="U8" s="142" t="s">
        <v>222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49</v>
      </c>
      <c r="C9" s="151">
        <v>1262886</v>
      </c>
      <c r="D9" s="185" t="s">
        <v>4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1373</v>
      </c>
      <c r="J9" s="186">
        <f t="shared" si="1"/>
        <v>203</v>
      </c>
      <c r="K9" s="151">
        <v>1576</v>
      </c>
      <c r="L9" s="206">
        <f t="shared" si="2"/>
        <v>22.883333333333333</v>
      </c>
      <c r="M9" s="151">
        <v>135264</v>
      </c>
      <c r="N9" s="152" t="s">
        <v>236</v>
      </c>
      <c r="O9" s="157" t="s">
        <v>47</v>
      </c>
      <c r="P9" s="184">
        <f>IF(D9=Inputs!F$4,Inputs!I$4,IF(D9=Inputs!F$2,Inputs!I$2,IF(D9=Inputs!F$3,Inputs!I$3,IF(D9=Inputs!F$5,Inputs!I$5,"NA"))))</f>
        <v>26.607142857142858</v>
      </c>
      <c r="Q9" s="255">
        <f t="shared" si="3"/>
        <v>22</v>
      </c>
      <c r="R9" s="142">
        <f t="shared" ref="R9:R31" si="4">IF(O9="MED",72,(IF(D9="7169-E6",3,0)+IF(D9="7168-E7",14,0)+IF(D9="7169-E10",36,0)+IF(D9="7168-E11",59,0))+IF(O9="Brown",11,0)+(Q9-18))</f>
        <v>63</v>
      </c>
      <c r="U9" s="142" t="s">
        <v>223</v>
      </c>
      <c r="V9" s="142">
        <f>COUNTIF(R$7:R$82,9)*60</f>
        <v>240</v>
      </c>
    </row>
    <row r="10" spans="1:22" x14ac:dyDescent="0.25">
      <c r="A10" s="148">
        <v>11</v>
      </c>
      <c r="B10" s="186">
        <f>Inputs!C$2</f>
        <v>49</v>
      </c>
      <c r="C10" s="151">
        <v>1262887</v>
      </c>
      <c r="D10" s="185" t="s">
        <v>4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1351</v>
      </c>
      <c r="J10" s="186">
        <f t="shared" si="1"/>
        <v>203</v>
      </c>
      <c r="K10" s="151">
        <v>1554</v>
      </c>
      <c r="L10" s="206">
        <f t="shared" si="2"/>
        <v>22.516666666666666</v>
      </c>
      <c r="M10" s="151">
        <v>135264</v>
      </c>
      <c r="N10" s="152" t="s">
        <v>236</v>
      </c>
      <c r="O10" s="157" t="s">
        <v>47</v>
      </c>
      <c r="P10" s="184">
        <f>IF(D10=Inputs!F$4,Inputs!I$4,IF(D10=Inputs!F$2,Inputs!I$2,IF(D10=Inputs!F$3,Inputs!I$3,IF(D10=Inputs!F$5,Inputs!I$5,"NA"))))</f>
        <v>26.607142857142858</v>
      </c>
      <c r="Q10" s="255">
        <f t="shared" si="3"/>
        <v>22</v>
      </c>
      <c r="R10" s="142">
        <f t="shared" si="4"/>
        <v>63</v>
      </c>
      <c r="U10" s="142" t="s">
        <v>50</v>
      </c>
      <c r="V10" s="142">
        <f>SUM(V3:V9)</f>
        <v>240</v>
      </c>
    </row>
    <row r="11" spans="1:22" x14ac:dyDescent="0.25">
      <c r="A11" s="148">
        <v>13</v>
      </c>
      <c r="B11" s="186">
        <f>Inputs!C$2</f>
        <v>49</v>
      </c>
      <c r="C11" s="151">
        <v>1262888</v>
      </c>
      <c r="D11" s="185" t="s">
        <v>4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1393</v>
      </c>
      <c r="J11" s="186">
        <f t="shared" si="1"/>
        <v>203</v>
      </c>
      <c r="K11" s="151">
        <v>1596</v>
      </c>
      <c r="L11" s="206">
        <f t="shared" si="2"/>
        <v>23.216666666666665</v>
      </c>
      <c r="M11" s="151">
        <v>135264</v>
      </c>
      <c r="N11" s="152" t="s">
        <v>236</v>
      </c>
      <c r="O11" s="157" t="s">
        <v>47</v>
      </c>
      <c r="P11" s="184">
        <f>IF(D11=Inputs!F$4,Inputs!I$4,IF(D11=Inputs!F$2,Inputs!I$2,IF(D11=Inputs!F$3,Inputs!I$3,IF(D11=Inputs!F$5,Inputs!I$5,"NA"))))</f>
        <v>26.607142857142858</v>
      </c>
      <c r="Q11" s="255">
        <f>IF(ROUNDDOWN(I11/60,0)&gt;24, 24, ROUNDDOWN(I11/60,0))</f>
        <v>23</v>
      </c>
      <c r="R11" s="142">
        <f t="shared" si="4"/>
        <v>64</v>
      </c>
    </row>
    <row r="12" spans="1:22" x14ac:dyDescent="0.25">
      <c r="A12" s="148">
        <v>29</v>
      </c>
      <c r="B12" s="186">
        <f>Inputs!C$2</f>
        <v>49</v>
      </c>
      <c r="C12" s="151">
        <v>1262889</v>
      </c>
      <c r="D12" s="185" t="s">
        <v>6</v>
      </c>
      <c r="E12" s="148">
        <v>60</v>
      </c>
      <c r="F12" s="185"/>
      <c r="G12" s="185" t="s">
        <v>10</v>
      </c>
      <c r="H12" s="188" t="s">
        <v>184</v>
      </c>
      <c r="I12" s="205" t="str">
        <f t="shared" si="0"/>
        <v>NA</v>
      </c>
      <c r="J12" s="186">
        <f t="shared" si="1"/>
        <v>203</v>
      </c>
      <c r="K12" s="151"/>
      <c r="L12" s="206" t="str">
        <f t="shared" si="2"/>
        <v>NA</v>
      </c>
      <c r="M12" s="151">
        <v>135264</v>
      </c>
      <c r="N12" s="152" t="s">
        <v>236</v>
      </c>
      <c r="O12" s="157" t="s">
        <v>10</v>
      </c>
      <c r="P12" s="184" t="str">
        <f>IF(D12=Inputs!F$4,Inputs!I$4,IF(D12=Inputs!F$2,Inputs!I$2,IF(D12=Inputs!F$3,Inputs!I$3,IF(D12=Inputs!F$5,Inputs!I$5,"NA"))))</f>
        <v>NA</v>
      </c>
      <c r="Q12" s="255" t="e">
        <f t="shared" si="3"/>
        <v>#VALUE!</v>
      </c>
      <c r="R12" s="142">
        <f t="shared" si="4"/>
        <v>72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49</v>
      </c>
      <c r="C13" s="151">
        <v>1262890</v>
      </c>
      <c r="D13" s="185" t="s">
        <v>4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1363</v>
      </c>
      <c r="J13" s="186">
        <f t="shared" si="1"/>
        <v>203</v>
      </c>
      <c r="K13" s="151">
        <v>1566</v>
      </c>
      <c r="L13" s="206">
        <f t="shared" si="2"/>
        <v>22.716666666666665</v>
      </c>
      <c r="M13" s="151">
        <v>135264</v>
      </c>
      <c r="N13" s="152" t="s">
        <v>236</v>
      </c>
      <c r="O13" s="157" t="s">
        <v>47</v>
      </c>
      <c r="P13" s="184">
        <f>IF(D13=Inputs!F$4,Inputs!I$4,IF(D13=Inputs!F$2,Inputs!I$2,IF(D13=Inputs!F$3,Inputs!I$3,IF(D13=Inputs!F$5,Inputs!I$5,"NA"))))</f>
        <v>26.607142857142858</v>
      </c>
      <c r="Q13" s="255">
        <f t="shared" si="3"/>
        <v>22</v>
      </c>
      <c r="R13" s="142">
        <f t="shared" si="4"/>
        <v>63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49</v>
      </c>
      <c r="C14" s="151">
        <v>1262891</v>
      </c>
      <c r="D14" s="185" t="s">
        <v>4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1369</v>
      </c>
      <c r="J14" s="186">
        <f t="shared" si="1"/>
        <v>203</v>
      </c>
      <c r="K14" s="151">
        <v>1572</v>
      </c>
      <c r="L14" s="206">
        <f t="shared" si="2"/>
        <v>22.816666666666666</v>
      </c>
      <c r="M14" s="151">
        <v>135264</v>
      </c>
      <c r="N14" s="152" t="s">
        <v>236</v>
      </c>
      <c r="O14" s="157" t="s">
        <v>47</v>
      </c>
      <c r="P14" s="184">
        <f>IF(D14=Inputs!F$4,Inputs!I$4,IF(D14=Inputs!F$2,Inputs!I$2,IF(D14=Inputs!F$3,Inputs!I$3,IF(D14=Inputs!F$5,Inputs!I$5,"NA"))))</f>
        <v>26.607142857142858</v>
      </c>
      <c r="Q14" s="255">
        <f t="shared" si="3"/>
        <v>22</v>
      </c>
      <c r="R14" s="142">
        <f t="shared" si="4"/>
        <v>63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49</v>
      </c>
      <c r="C15" s="151">
        <v>1262892</v>
      </c>
      <c r="D15" s="185" t="s">
        <v>4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1357</v>
      </c>
      <c r="J15" s="186">
        <f t="shared" si="1"/>
        <v>203</v>
      </c>
      <c r="K15" s="151">
        <v>1560</v>
      </c>
      <c r="L15" s="206">
        <f t="shared" si="2"/>
        <v>22.616666666666667</v>
      </c>
      <c r="M15" s="151">
        <v>135264</v>
      </c>
      <c r="N15" s="152" t="s">
        <v>236</v>
      </c>
      <c r="O15" s="157" t="s">
        <v>47</v>
      </c>
      <c r="P15" s="184">
        <f>IF(D15=Inputs!F$4,Inputs!I$4,IF(D15=Inputs!F$2,Inputs!I$2,IF(D15=Inputs!F$3,Inputs!I$3,IF(D15=Inputs!F$5,Inputs!I$5,"NA"))))</f>
        <v>26.607142857142858</v>
      </c>
      <c r="Q15" s="255">
        <f t="shared" si="3"/>
        <v>22</v>
      </c>
      <c r="R15" s="142">
        <f t="shared" si="4"/>
        <v>63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49</v>
      </c>
      <c r="C16" s="151">
        <v>1262893</v>
      </c>
      <c r="D16" s="185" t="s">
        <v>4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1377</v>
      </c>
      <c r="J16" s="186">
        <f t="shared" si="1"/>
        <v>203</v>
      </c>
      <c r="K16" s="151">
        <v>1580</v>
      </c>
      <c r="L16" s="206">
        <f t="shared" si="2"/>
        <v>22.95</v>
      </c>
      <c r="M16" s="151">
        <v>135264</v>
      </c>
      <c r="N16" s="152" t="s">
        <v>236</v>
      </c>
      <c r="O16" s="157" t="s">
        <v>47</v>
      </c>
      <c r="P16" s="184">
        <f>IF(D16=Inputs!F$4,Inputs!I$4,IF(D16=Inputs!F$2,Inputs!I$2,IF(D16=Inputs!F$3,Inputs!I$3,IF(D16=Inputs!F$5,Inputs!I$5,"NA"))))</f>
        <v>26.607142857142858</v>
      </c>
      <c r="Q16" s="255">
        <f t="shared" si="3"/>
        <v>22</v>
      </c>
      <c r="R16" s="142">
        <f t="shared" si="4"/>
        <v>63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49</v>
      </c>
      <c r="C17" s="151">
        <v>1262894</v>
      </c>
      <c r="D17" s="185" t="s">
        <v>4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1373</v>
      </c>
      <c r="J17" s="186">
        <f t="shared" si="1"/>
        <v>203</v>
      </c>
      <c r="K17" s="151">
        <v>1576</v>
      </c>
      <c r="L17" s="206">
        <f t="shared" si="2"/>
        <v>22.883333333333333</v>
      </c>
      <c r="M17" s="151">
        <v>135264</v>
      </c>
      <c r="N17" s="152" t="s">
        <v>236</v>
      </c>
      <c r="O17" s="157" t="s">
        <v>47</v>
      </c>
      <c r="P17" s="184">
        <f>IF(D17=Inputs!F$4,Inputs!I$4,IF(D17=Inputs!F$2,Inputs!I$2,IF(D17=Inputs!F$3,Inputs!I$3,IF(D17=Inputs!F$5,Inputs!I$5,"NA"))))</f>
        <v>26.607142857142858</v>
      </c>
      <c r="Q17" s="255">
        <f t="shared" si="3"/>
        <v>22</v>
      </c>
      <c r="R17" s="142">
        <f t="shared" si="4"/>
        <v>63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49</v>
      </c>
      <c r="C18" s="151">
        <v>1262895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1503</v>
      </c>
      <c r="J18" s="186">
        <f t="shared" si="1"/>
        <v>203</v>
      </c>
      <c r="K18" s="151">
        <v>1706</v>
      </c>
      <c r="L18" s="206">
        <f t="shared" si="2"/>
        <v>25.05</v>
      </c>
      <c r="M18" s="151">
        <v>135264</v>
      </c>
      <c r="N18" s="152" t="s">
        <v>236</v>
      </c>
      <c r="O18" s="157" t="s">
        <v>48</v>
      </c>
      <c r="P18" s="184">
        <f>IF(D18=Inputs!F$4,Inputs!I$4,IF(D18=Inputs!F$2,Inputs!I$2,IF(D18=Inputs!F$3,Inputs!I$3,IF(D18=Inputs!F$5,Inputs!I$5,"NA"))))</f>
        <v>60.892857142857146</v>
      </c>
      <c r="Q18" s="255">
        <f t="shared" si="3"/>
        <v>24</v>
      </c>
      <c r="R18" s="142">
        <f t="shared" si="4"/>
        <v>31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49</v>
      </c>
      <c r="C19" s="151">
        <v>1262896</v>
      </c>
      <c r="D19" s="185" t="s">
        <v>4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1377</v>
      </c>
      <c r="J19" s="186">
        <f t="shared" si="1"/>
        <v>203</v>
      </c>
      <c r="K19" s="151">
        <v>1580</v>
      </c>
      <c r="L19" s="206">
        <f t="shared" si="2"/>
        <v>22.95</v>
      </c>
      <c r="M19" s="151">
        <v>135264</v>
      </c>
      <c r="N19" s="152" t="s">
        <v>236</v>
      </c>
      <c r="O19" s="157" t="s">
        <v>47</v>
      </c>
      <c r="P19" s="184">
        <f>IF(D19=Inputs!F$4,Inputs!I$4,IF(D19=Inputs!F$2,Inputs!I$2,IF(D19=Inputs!F$3,Inputs!I$3,IF(D19=Inputs!F$5,Inputs!I$5,"NA"))))</f>
        <v>26.607142857142858</v>
      </c>
      <c r="Q19" s="255">
        <f t="shared" si="3"/>
        <v>22</v>
      </c>
      <c r="R19" s="142">
        <f t="shared" si="4"/>
        <v>63</v>
      </c>
      <c r="U19" s="142" t="s">
        <v>222</v>
      </c>
      <c r="V19" s="142">
        <f>COUNTIF(R$7:R$82,19)*60</f>
        <v>60</v>
      </c>
    </row>
    <row r="20" spans="1:22" x14ac:dyDescent="0.25">
      <c r="A20" s="148">
        <v>21</v>
      </c>
      <c r="B20" s="186">
        <f>Inputs!C$2</f>
        <v>49</v>
      </c>
      <c r="C20" s="151">
        <v>1262897</v>
      </c>
      <c r="D20" s="185" t="s">
        <v>4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1383</v>
      </c>
      <c r="J20" s="186">
        <f t="shared" si="1"/>
        <v>203</v>
      </c>
      <c r="K20" s="151">
        <v>1586</v>
      </c>
      <c r="L20" s="206">
        <f t="shared" si="2"/>
        <v>23.05</v>
      </c>
      <c r="M20" s="151">
        <v>135264</v>
      </c>
      <c r="N20" s="152" t="s">
        <v>236</v>
      </c>
      <c r="O20" s="157" t="s">
        <v>47</v>
      </c>
      <c r="P20" s="184">
        <f>IF(D20=Inputs!F$4,Inputs!I$4,IF(D20=Inputs!F$2,Inputs!I$2,IF(D20=Inputs!F$3,Inputs!I$3,IF(D20=Inputs!F$5,Inputs!I$5,"NA"))))</f>
        <v>26.607142857142858</v>
      </c>
      <c r="Q20" s="255">
        <f t="shared" si="3"/>
        <v>23</v>
      </c>
      <c r="R20" s="142">
        <f t="shared" si="4"/>
        <v>64</v>
      </c>
      <c r="U20" s="142" t="s">
        <v>223</v>
      </c>
      <c r="V20" s="142">
        <f>COUNTIF(R$7:R$82,20)*60</f>
        <v>180</v>
      </c>
    </row>
    <row r="21" spans="1:22" x14ac:dyDescent="0.25">
      <c r="A21" s="148">
        <v>8</v>
      </c>
      <c r="B21" s="186">
        <f>Inputs!C$2</f>
        <v>49</v>
      </c>
      <c r="C21" s="151">
        <v>1262898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1379</v>
      </c>
      <c r="J21" s="186">
        <f t="shared" si="1"/>
        <v>203</v>
      </c>
      <c r="K21" s="151">
        <v>1582</v>
      </c>
      <c r="L21" s="206">
        <f t="shared" si="2"/>
        <v>22.983333333333334</v>
      </c>
      <c r="M21" s="151">
        <v>135264</v>
      </c>
      <c r="N21" s="152" t="s">
        <v>236</v>
      </c>
      <c r="O21" s="157" t="s">
        <v>47</v>
      </c>
      <c r="P21" s="184">
        <f>IF(D21=Inputs!F$4,Inputs!I$4,IF(D21=Inputs!F$2,Inputs!I$2,IF(D21=Inputs!F$3,Inputs!I$3,IF(D21=Inputs!F$5,Inputs!I$5,"NA"))))</f>
        <v>26.607142857142858</v>
      </c>
      <c r="Q21" s="255">
        <f t="shared" si="3"/>
        <v>22</v>
      </c>
      <c r="R21" s="142">
        <f t="shared" si="4"/>
        <v>63</v>
      </c>
      <c r="U21" s="142" t="s">
        <v>50</v>
      </c>
      <c r="V21" s="142">
        <f>SUM(V14:V20)</f>
        <v>240</v>
      </c>
    </row>
    <row r="22" spans="1:22" x14ac:dyDescent="0.25">
      <c r="A22" s="148">
        <v>22</v>
      </c>
      <c r="B22" s="186">
        <f>Inputs!C$2</f>
        <v>49</v>
      </c>
      <c r="C22" s="151">
        <v>1262899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1361</v>
      </c>
      <c r="J22" s="186">
        <f t="shared" si="1"/>
        <v>203</v>
      </c>
      <c r="K22" s="225">
        <v>1564</v>
      </c>
      <c r="L22" s="206">
        <f t="shared" si="2"/>
        <v>22.683333333333334</v>
      </c>
      <c r="M22" s="151">
        <v>135264</v>
      </c>
      <c r="N22" s="152" t="s">
        <v>236</v>
      </c>
      <c r="O22" s="157" t="s">
        <v>47</v>
      </c>
      <c r="P22" s="184">
        <f>IF(D22=Inputs!F$4,Inputs!I$4,IF(D22=Inputs!F$2,Inputs!I$2,IF(D22=Inputs!F$3,Inputs!I$3,IF(D22=Inputs!F$5,Inputs!I$5,"NA"))))</f>
        <v>26.607142857142858</v>
      </c>
      <c r="Q22" s="255">
        <f t="shared" si="3"/>
        <v>22</v>
      </c>
      <c r="R22" s="142">
        <f t="shared" si="4"/>
        <v>63</v>
      </c>
    </row>
    <row r="23" spans="1:22" x14ac:dyDescent="0.25">
      <c r="A23" s="148">
        <v>23</v>
      </c>
      <c r="B23" s="186">
        <f>Inputs!C$2</f>
        <v>49</v>
      </c>
      <c r="C23" s="151">
        <v>1262900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1371</v>
      </c>
      <c r="J23" s="186">
        <f t="shared" si="1"/>
        <v>203</v>
      </c>
      <c r="K23" s="151">
        <v>1574</v>
      </c>
      <c r="L23" s="206">
        <f t="shared" si="2"/>
        <v>22.85</v>
      </c>
      <c r="M23" s="151">
        <v>135264</v>
      </c>
      <c r="N23" s="152" t="s">
        <v>236</v>
      </c>
      <c r="O23" s="157" t="s">
        <v>47</v>
      </c>
      <c r="P23" s="184">
        <f>IF(D23=Inputs!F$4,Inputs!I$4,IF(D23=Inputs!F$2,Inputs!I$2,IF(D23=Inputs!F$3,Inputs!I$3,IF(D23=Inputs!F$5,Inputs!I$5,"NA"))))</f>
        <v>26.607142857142858</v>
      </c>
      <c r="Q23" s="255">
        <f t="shared" si="3"/>
        <v>22</v>
      </c>
      <c r="R23" s="142">
        <f t="shared" si="4"/>
        <v>63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49</v>
      </c>
      <c r="C24" s="151">
        <v>1262901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1365</v>
      </c>
      <c r="J24" s="186">
        <f t="shared" si="1"/>
        <v>203</v>
      </c>
      <c r="K24" s="151">
        <v>1568</v>
      </c>
      <c r="L24" s="206">
        <f t="shared" si="2"/>
        <v>22.75</v>
      </c>
      <c r="M24" s="151">
        <v>135264</v>
      </c>
      <c r="N24" s="152" t="s">
        <v>236</v>
      </c>
      <c r="O24" s="157" t="s">
        <v>47</v>
      </c>
      <c r="P24" s="184">
        <f>IF(D24=Inputs!F$4,Inputs!I$4,IF(D24=Inputs!F$2,Inputs!I$2,IF(D24=Inputs!F$3,Inputs!I$3,IF(D24=Inputs!F$5,Inputs!I$5,"NA"))))</f>
        <v>26.607142857142858</v>
      </c>
      <c r="Q24" s="255">
        <f t="shared" si="3"/>
        <v>22</v>
      </c>
      <c r="R24" s="142">
        <f t="shared" si="4"/>
        <v>63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49</v>
      </c>
      <c r="C25" s="151">
        <v>1262902</v>
      </c>
      <c r="D25" s="185" t="s">
        <v>208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1405</v>
      </c>
      <c r="J25" s="186">
        <f t="shared" si="1"/>
        <v>203</v>
      </c>
      <c r="K25" s="151">
        <v>1608</v>
      </c>
      <c r="L25" s="206">
        <f t="shared" si="2"/>
        <v>23.416666666666668</v>
      </c>
      <c r="M25" s="151">
        <v>135264</v>
      </c>
      <c r="N25" s="152" t="s">
        <v>236</v>
      </c>
      <c r="O25" s="157" t="s">
        <v>237</v>
      </c>
      <c r="P25" s="184">
        <f>IF(D25=Inputs!F$4,Inputs!I$4,IF(D25=Inputs!F$2,Inputs!I$2,IF(D25=Inputs!F$3,Inputs!I$3,IF(D25=Inputs!F$5,Inputs!I$5,"NA"))))</f>
        <v>47.892857142857146</v>
      </c>
      <c r="Q25" s="255">
        <f t="shared" si="3"/>
        <v>23</v>
      </c>
      <c r="R25" s="142">
        <f t="shared" si="4"/>
        <v>41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49</v>
      </c>
      <c r="C26" s="151">
        <v>1262903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1362</v>
      </c>
      <c r="J26" s="186">
        <f t="shared" si="1"/>
        <v>203</v>
      </c>
      <c r="K26" s="151">
        <v>1565</v>
      </c>
      <c r="L26" s="206">
        <f t="shared" si="2"/>
        <v>22.7</v>
      </c>
      <c r="M26" s="151">
        <v>135264</v>
      </c>
      <c r="N26" s="152" t="s">
        <v>236</v>
      </c>
      <c r="O26" s="157" t="s">
        <v>47</v>
      </c>
      <c r="P26" s="184">
        <f>IF(D26=Inputs!F$4,Inputs!I$4,IF(D26=Inputs!F$2,Inputs!I$2,IF(D26=Inputs!F$3,Inputs!I$3,IF(D26=Inputs!F$5,Inputs!I$5,"NA"))))</f>
        <v>26.607142857142858</v>
      </c>
      <c r="Q26" s="255">
        <f t="shared" si="3"/>
        <v>22</v>
      </c>
      <c r="R26" s="142">
        <f t="shared" si="4"/>
        <v>63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49</v>
      </c>
      <c r="C27" s="151">
        <v>1262904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1357</v>
      </c>
      <c r="J27" s="186">
        <f t="shared" si="1"/>
        <v>203</v>
      </c>
      <c r="K27" s="164">
        <v>1560</v>
      </c>
      <c r="L27" s="206">
        <f t="shared" si="2"/>
        <v>22.616666666666667</v>
      </c>
      <c r="M27" s="151">
        <v>135271</v>
      </c>
      <c r="N27" s="152" t="s">
        <v>238</v>
      </c>
      <c r="O27" s="157" t="s">
        <v>47</v>
      </c>
      <c r="P27" s="184">
        <f>IF(D27=Inputs!F$4,Inputs!I$4,IF(D27=Inputs!F$2,Inputs!I$2,IF(D27=Inputs!F$3,Inputs!I$3,IF(D27=Inputs!F$5,Inputs!I$5,"NA"))))</f>
        <v>26.607142857142858</v>
      </c>
      <c r="Q27" s="255">
        <f t="shared" si="3"/>
        <v>22</v>
      </c>
      <c r="R27" s="142">
        <f t="shared" si="4"/>
        <v>63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49</v>
      </c>
      <c r="C28" s="151">
        <v>1262905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1353</v>
      </c>
      <c r="J28" s="186">
        <f t="shared" si="1"/>
        <v>203</v>
      </c>
      <c r="K28" s="151">
        <v>1556</v>
      </c>
      <c r="L28" s="206">
        <f t="shared" si="2"/>
        <v>22.55</v>
      </c>
      <c r="M28" s="151">
        <v>135271</v>
      </c>
      <c r="N28" s="152" t="s">
        <v>238</v>
      </c>
      <c r="O28" s="157" t="s">
        <v>47</v>
      </c>
      <c r="P28" s="184">
        <f>IF(D28=Inputs!F$4,Inputs!I$4,IF(D28=Inputs!F$2,Inputs!I$2,IF(D28=Inputs!F$3,Inputs!I$3,IF(D28=Inputs!F$5,Inputs!I$5,"NA"))))</f>
        <v>26.607142857142858</v>
      </c>
      <c r="Q28" s="255">
        <f t="shared" si="3"/>
        <v>22</v>
      </c>
      <c r="R28" s="142">
        <f t="shared" si="4"/>
        <v>63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49</v>
      </c>
      <c r="C29" s="151">
        <v>1262906</v>
      </c>
      <c r="D29" s="185" t="s">
        <v>4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1361</v>
      </c>
      <c r="J29" s="186">
        <f t="shared" si="1"/>
        <v>203</v>
      </c>
      <c r="K29" s="151">
        <v>1564</v>
      </c>
      <c r="L29" s="206">
        <f t="shared" si="2"/>
        <v>22.683333333333334</v>
      </c>
      <c r="M29" s="151">
        <v>135271</v>
      </c>
      <c r="N29" s="152" t="s">
        <v>238</v>
      </c>
      <c r="O29" s="157" t="s">
        <v>47</v>
      </c>
      <c r="P29" s="184">
        <f>IF(D29=Inputs!F$4,Inputs!I$4,IF(D29=Inputs!F$2,Inputs!I$2,IF(D29=Inputs!F$3,Inputs!I$3,IF(D29=Inputs!F$5,Inputs!I$5,"NA"))))</f>
        <v>26.607142857142858</v>
      </c>
      <c r="Q29" s="255">
        <f t="shared" si="3"/>
        <v>22</v>
      </c>
      <c r="R29" s="142">
        <f t="shared" si="4"/>
        <v>63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49</v>
      </c>
      <c r="C30" s="151">
        <v>1262907</v>
      </c>
      <c r="D30" s="185" t="s">
        <v>4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1355</v>
      </c>
      <c r="J30" s="186">
        <f t="shared" si="1"/>
        <v>203</v>
      </c>
      <c r="K30" s="151">
        <v>1558</v>
      </c>
      <c r="L30" s="206">
        <f t="shared" si="2"/>
        <v>22.583333333333332</v>
      </c>
      <c r="M30" s="151">
        <v>135271</v>
      </c>
      <c r="N30" s="152" t="s">
        <v>238</v>
      </c>
      <c r="O30" s="157" t="s">
        <v>47</v>
      </c>
      <c r="P30" s="184">
        <f>IF(D30=Inputs!F$4,Inputs!I$4,IF(D30=Inputs!F$2,Inputs!I$2,IF(D30=Inputs!F$3,Inputs!I$3,IF(D30=Inputs!F$5,Inputs!I$5,"NA"))))</f>
        <v>26.607142857142858</v>
      </c>
      <c r="Q30" s="255">
        <f t="shared" si="3"/>
        <v>22</v>
      </c>
      <c r="R30" s="142">
        <f t="shared" si="4"/>
        <v>63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49</v>
      </c>
      <c r="C31" s="151">
        <v>1262908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1487</v>
      </c>
      <c r="J31" s="186">
        <f t="shared" si="1"/>
        <v>203</v>
      </c>
      <c r="K31" s="151">
        <v>1690</v>
      </c>
      <c r="L31" s="206">
        <f t="shared" si="2"/>
        <v>24.783333333333335</v>
      </c>
      <c r="M31" s="151">
        <v>135271</v>
      </c>
      <c r="N31" s="152" t="s">
        <v>238</v>
      </c>
      <c r="O31" s="157" t="s">
        <v>48</v>
      </c>
      <c r="P31" s="184">
        <f>IF(D31=Inputs!F$4,Inputs!I$4,IF(D31=Inputs!F$2,Inputs!I$2,IF(D31=Inputs!F$3,Inputs!I$3,IF(D31=Inputs!F$5,Inputs!I$5,"NA"))))</f>
        <v>60.892857142857146</v>
      </c>
      <c r="Q31" s="255">
        <f t="shared" si="3"/>
        <v>24</v>
      </c>
      <c r="R31" s="142">
        <f t="shared" si="4"/>
        <v>31</v>
      </c>
      <c r="U31" s="142" t="s">
        <v>223</v>
      </c>
      <c r="V31" s="142">
        <f>COUNTIF(R$7:R$82,31)*60</f>
        <v>180</v>
      </c>
    </row>
    <row r="32" spans="1:22" x14ac:dyDescent="0.25">
      <c r="A32" s="148">
        <v>27</v>
      </c>
      <c r="B32" s="186">
        <f>Inputs!C$2</f>
        <v>49</v>
      </c>
      <c r="C32" s="151">
        <v>1262909</v>
      </c>
      <c r="D32" s="185" t="s">
        <v>6</v>
      </c>
      <c r="E32" s="148">
        <v>60</v>
      </c>
      <c r="F32" s="185"/>
      <c r="G32" s="185" t="s">
        <v>10</v>
      </c>
      <c r="H32" s="188" t="s">
        <v>184</v>
      </c>
      <c r="I32" s="205" t="str">
        <f t="shared" si="0"/>
        <v>NA</v>
      </c>
      <c r="J32" s="186">
        <f t="shared" si="1"/>
        <v>203</v>
      </c>
      <c r="K32" s="151"/>
      <c r="L32" s="206" t="str">
        <f t="shared" si="2"/>
        <v>NA</v>
      </c>
      <c r="M32" s="151">
        <v>135271</v>
      </c>
      <c r="N32" s="152" t="s">
        <v>238</v>
      </c>
      <c r="O32" s="157" t="s">
        <v>10</v>
      </c>
      <c r="P32" s="184" t="str">
        <f>IF(D32=Inputs!F$4,Inputs!I$4,IF(D32=Inputs!F$2,Inputs!I$2,IF(D32=Inputs!F$3,Inputs!I$3,IF(D32=Inputs!F$5,Inputs!I$5,"NA"))))</f>
        <v>NA</v>
      </c>
      <c r="Q32" s="255" t="e">
        <f t="shared" si="3"/>
        <v>#VALUE!</v>
      </c>
      <c r="R32" s="142">
        <f t="shared" ref="R32:R37" si="5">IF(O32="MED",72,(IF(D32="7169-E6",3,0)+IF(D32="7168-E7",14,0)+IF(D32="7169-E10",36,0)+IF(D32="7168-E11",59,0))+IF(O32="Brown",11,0)+(Q32-18))</f>
        <v>72</v>
      </c>
      <c r="U32" s="142" t="s">
        <v>50</v>
      </c>
      <c r="V32" s="142">
        <f>SUM(V25:V31)</f>
        <v>180</v>
      </c>
    </row>
    <row r="33" spans="1:22" x14ac:dyDescent="0.25">
      <c r="A33" s="148">
        <v>28</v>
      </c>
      <c r="B33" s="186">
        <f>Inputs!C$2</f>
        <v>49</v>
      </c>
      <c r="C33" s="151">
        <v>1262910</v>
      </c>
      <c r="D33" s="185" t="s">
        <v>6</v>
      </c>
      <c r="E33" s="148">
        <v>60</v>
      </c>
      <c r="F33" s="185"/>
      <c r="G33" s="185" t="s">
        <v>10</v>
      </c>
      <c r="H33" s="188" t="s">
        <v>184</v>
      </c>
      <c r="I33" s="205" t="str">
        <f t="shared" si="0"/>
        <v>NA</v>
      </c>
      <c r="J33" s="186">
        <f t="shared" si="1"/>
        <v>203</v>
      </c>
      <c r="K33" s="151"/>
      <c r="L33" s="206" t="str">
        <f t="shared" si="2"/>
        <v>NA</v>
      </c>
      <c r="M33" s="151">
        <v>135271</v>
      </c>
      <c r="N33" s="152" t="s">
        <v>238</v>
      </c>
      <c r="O33" s="157" t="s">
        <v>10</v>
      </c>
      <c r="P33" s="184" t="str">
        <f>IF(D33=Inputs!F$4,Inputs!I$4,IF(D33=Inputs!F$2,Inputs!I$2,IF(D33=Inputs!F$3,Inputs!I$3,IF(D33=Inputs!F$5,Inputs!I$5,"NA"))))</f>
        <v>NA</v>
      </c>
      <c r="Q33" s="255" t="e">
        <f t="shared" si="3"/>
        <v>#VALUE!</v>
      </c>
      <c r="R33" s="142">
        <f t="shared" si="5"/>
        <v>72</v>
      </c>
    </row>
    <row r="34" spans="1:22" x14ac:dyDescent="0.25">
      <c r="A34" s="148">
        <v>1</v>
      </c>
      <c r="B34" s="186">
        <f>Inputs!C$2</f>
        <v>49</v>
      </c>
      <c r="C34" s="151">
        <v>1262911</v>
      </c>
      <c r="D34" s="185" t="s">
        <v>4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1375</v>
      </c>
      <c r="J34" s="186">
        <f t="shared" si="1"/>
        <v>203</v>
      </c>
      <c r="K34" s="151">
        <v>1578</v>
      </c>
      <c r="L34" s="206">
        <f t="shared" si="2"/>
        <v>22.916666666666668</v>
      </c>
      <c r="M34" s="151">
        <v>135271</v>
      </c>
      <c r="N34" s="152" t="s">
        <v>238</v>
      </c>
      <c r="O34" s="157" t="s">
        <v>47</v>
      </c>
      <c r="P34" s="184">
        <f>IF(D34=Inputs!F$4,Inputs!I$4,IF(D34=Inputs!F$2,Inputs!I$2,IF(D34=Inputs!F$3,Inputs!I$3,IF(D34=Inputs!F$5,Inputs!I$5,"NA"))))</f>
        <v>26.607142857142858</v>
      </c>
      <c r="Q34" s="255">
        <f t="shared" si="3"/>
        <v>22</v>
      </c>
      <c r="R34" s="142">
        <f t="shared" si="5"/>
        <v>63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49</v>
      </c>
      <c r="C35" s="151">
        <v>1262912</v>
      </c>
      <c r="D35" s="185" t="s">
        <v>4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1385</v>
      </c>
      <c r="J35" s="186">
        <f t="shared" si="1"/>
        <v>203</v>
      </c>
      <c r="K35" s="151">
        <v>1588</v>
      </c>
      <c r="L35" s="206">
        <f t="shared" si="2"/>
        <v>23.083333333333332</v>
      </c>
      <c r="M35" s="151">
        <v>135271</v>
      </c>
      <c r="N35" s="152" t="s">
        <v>238</v>
      </c>
      <c r="O35" s="157" t="s">
        <v>47</v>
      </c>
      <c r="P35" s="184">
        <f>IF(D35=Inputs!F$4,Inputs!I$4,IF(D35=Inputs!F$2,Inputs!I$2,IF(D35=Inputs!F$3,Inputs!I$3,IF(D35=Inputs!F$5,Inputs!I$5,"NA"))))</f>
        <v>26.607142857142858</v>
      </c>
      <c r="Q35" s="255">
        <f t="shared" si="3"/>
        <v>23</v>
      </c>
      <c r="R35" s="142">
        <f t="shared" si="5"/>
        <v>64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49</v>
      </c>
      <c r="C36" s="151">
        <v>1262913</v>
      </c>
      <c r="D36" s="185" t="s">
        <v>4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1385</v>
      </c>
      <c r="J36" s="186">
        <f t="shared" si="1"/>
        <v>203</v>
      </c>
      <c r="K36" s="151">
        <v>1588</v>
      </c>
      <c r="L36" s="206">
        <f t="shared" si="2"/>
        <v>23.083333333333332</v>
      </c>
      <c r="M36" s="151">
        <v>135271</v>
      </c>
      <c r="N36" s="152" t="s">
        <v>238</v>
      </c>
      <c r="O36" s="157" t="s">
        <v>47</v>
      </c>
      <c r="P36" s="184">
        <f>IF(D36=Inputs!F$4,Inputs!I$4,IF(D36=Inputs!F$2,Inputs!I$2,IF(D36=Inputs!F$3,Inputs!I$3,IF(D36=Inputs!F$5,Inputs!I$5,"NA"))))</f>
        <v>26.607142857142858</v>
      </c>
      <c r="Q36" s="255">
        <f t="shared" si="3"/>
        <v>23</v>
      </c>
      <c r="R36" s="142">
        <f t="shared" si="5"/>
        <v>64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49</v>
      </c>
      <c r="C37" s="151">
        <v>1262914</v>
      </c>
      <c r="D37" s="185" t="s">
        <v>4</v>
      </c>
      <c r="E37" s="148">
        <v>60</v>
      </c>
      <c r="F37" s="185" t="s">
        <v>112</v>
      </c>
      <c r="G37" s="185"/>
      <c r="H37" s="188" t="s">
        <v>184</v>
      </c>
      <c r="I37" s="205">
        <f t="shared" si="0"/>
        <v>1361</v>
      </c>
      <c r="J37" s="186">
        <f t="shared" si="1"/>
        <v>203</v>
      </c>
      <c r="K37" s="151">
        <v>1564</v>
      </c>
      <c r="L37" s="206">
        <f t="shared" si="2"/>
        <v>22.683333333333334</v>
      </c>
      <c r="M37" s="151">
        <v>135271</v>
      </c>
      <c r="N37" s="152" t="s">
        <v>238</v>
      </c>
      <c r="O37" s="157" t="s">
        <v>47</v>
      </c>
      <c r="P37" s="184">
        <f>IF(D37=Inputs!F$4,Inputs!I$4,IF(D37=Inputs!F$2,Inputs!I$2,IF(D37=Inputs!F$3,Inputs!I$3,IF(D37=Inputs!F$5,Inputs!I$5,"NA"))))</f>
        <v>26.607142857142858</v>
      </c>
      <c r="Q37" s="255">
        <f t="shared" si="3"/>
        <v>22</v>
      </c>
      <c r="R37" s="142">
        <f t="shared" si="5"/>
        <v>63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49</v>
      </c>
      <c r="C38" s="151">
        <v>1262915</v>
      </c>
      <c r="D38" s="185" t="s">
        <v>167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1509</v>
      </c>
      <c r="J38" s="186">
        <f t="shared" si="1"/>
        <v>203</v>
      </c>
      <c r="K38" s="151">
        <v>1712</v>
      </c>
      <c r="L38" s="206">
        <f t="shared" si="2"/>
        <v>25.15</v>
      </c>
      <c r="M38" s="151">
        <v>135271</v>
      </c>
      <c r="N38" s="152" t="s">
        <v>238</v>
      </c>
      <c r="O38" s="157" t="s">
        <v>48</v>
      </c>
      <c r="P38" s="184">
        <f>IF(D38=Inputs!F$4,Inputs!I$4,IF(D38=Inputs!F$2,Inputs!I$2,IF(D38=Inputs!F$3,Inputs!I$3,IF(D38=Inputs!F$5,Inputs!I$5,"NA"))))</f>
        <v>60.892857142857146</v>
      </c>
      <c r="Q38" s="255">
        <f t="shared" si="3"/>
        <v>24</v>
      </c>
      <c r="R38" s="142">
        <f>IF(O38="MED",72,(IF(D38="7169-E6",3,0)+IF(D38="7168-E7",14,0)+IF(D38="7169-E10",36,0)+IF(D38="7168-E11",59,0))+IF(O38="Brown",11,0)+(Q38-18))</f>
        <v>31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49</v>
      </c>
      <c r="C39" s="151">
        <v>1262916</v>
      </c>
      <c r="D39" s="185" t="s">
        <v>208</v>
      </c>
      <c r="E39" s="148">
        <v>60</v>
      </c>
      <c r="F39" s="185" t="s">
        <v>112</v>
      </c>
      <c r="G39" s="185"/>
      <c r="H39" s="188" t="s">
        <v>184</v>
      </c>
      <c r="I39" s="205">
        <f t="shared" ref="I39:I70" si="6">IF(K39&gt;0,K39-J39,"NA")</f>
        <v>1503</v>
      </c>
      <c r="J39" s="186">
        <f t="shared" ref="J39:J72" si="7">IF(H39="NEW",203, IF(H39="OLD",192,0))</f>
        <v>203</v>
      </c>
      <c r="K39" s="151">
        <v>1706</v>
      </c>
      <c r="L39" s="206">
        <f t="shared" ref="L39:L72" si="8">IF(K39&gt;0,I39/E39,"NA")</f>
        <v>25.05</v>
      </c>
      <c r="M39" s="151">
        <v>135271</v>
      </c>
      <c r="N39" s="152" t="s">
        <v>238</v>
      </c>
      <c r="O39" s="157" t="s">
        <v>47</v>
      </c>
      <c r="P39" s="184">
        <f>IF(D39=Inputs!F$4,Inputs!I$4,IF(D39=Inputs!F$2,Inputs!I$2,IF(D39=Inputs!F$3,Inputs!I$3,IF(D39=Inputs!F$5,Inputs!I$5,"NA"))))</f>
        <v>47.892857142857146</v>
      </c>
      <c r="Q39" s="255">
        <f t="shared" si="3"/>
        <v>24</v>
      </c>
      <c r="R39" s="142">
        <f>IF(O39="MED",72,(IF(D39="7169-E6",3,0)+IF(D39="7168-E7",14,0)+IF(D39="7169-E10",36,0)+IF(D39="7168-E11",59,0))+IF(O39="Brown",11,0)+(Q39-18))</f>
        <v>42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49</v>
      </c>
      <c r="C40" s="151">
        <v>1262917</v>
      </c>
      <c r="D40" s="185" t="s">
        <v>208</v>
      </c>
      <c r="E40" s="148">
        <v>60</v>
      </c>
      <c r="F40" s="185" t="s">
        <v>112</v>
      </c>
      <c r="G40" s="185"/>
      <c r="H40" s="188" t="s">
        <v>184</v>
      </c>
      <c r="I40" s="205">
        <f t="shared" si="6"/>
        <v>1487</v>
      </c>
      <c r="J40" s="186">
        <f t="shared" si="7"/>
        <v>203</v>
      </c>
      <c r="K40" s="151">
        <v>1690</v>
      </c>
      <c r="L40" s="206">
        <f t="shared" si="8"/>
        <v>24.783333333333335</v>
      </c>
      <c r="M40" s="151">
        <v>135271</v>
      </c>
      <c r="N40" s="152" t="s">
        <v>238</v>
      </c>
      <c r="O40" s="157" t="s">
        <v>47</v>
      </c>
      <c r="P40" s="184">
        <f>IF(D40=Inputs!F$4,Inputs!I$4,IF(D40=Inputs!F$2,Inputs!I$2,IF(D40=Inputs!F$3,Inputs!I$3,IF(D40=Inputs!F$5,Inputs!I$5,"NA"))))</f>
        <v>47.892857142857146</v>
      </c>
      <c r="Q40" s="255">
        <f t="shared" si="3"/>
        <v>24</v>
      </c>
      <c r="R40" s="142">
        <f t="shared" ref="R40:R82" si="9">IF(O40="MED",72,(IF(D40="7169-E6",3,0)+IF(D40="7168-E7",14,0)+IF(D40="7169-E10",36,0)+IF(D40="7168-E11",59,0))+IF(O40="Brown",11,0)+(Q40-18))</f>
        <v>42</v>
      </c>
      <c r="U40" s="142" t="s">
        <v>221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49</v>
      </c>
      <c r="C41" s="151">
        <v>1262918</v>
      </c>
      <c r="D41" s="185" t="s">
        <v>4</v>
      </c>
      <c r="E41" s="148">
        <v>60</v>
      </c>
      <c r="F41" s="185" t="s">
        <v>112</v>
      </c>
      <c r="G41" s="185"/>
      <c r="H41" s="188" t="s">
        <v>184</v>
      </c>
      <c r="I41" s="205">
        <f t="shared" si="6"/>
        <v>1395</v>
      </c>
      <c r="J41" s="186">
        <f t="shared" si="7"/>
        <v>203</v>
      </c>
      <c r="K41" s="151">
        <v>1598</v>
      </c>
      <c r="L41" s="206">
        <f t="shared" si="8"/>
        <v>23.25</v>
      </c>
      <c r="M41" s="151">
        <v>135271</v>
      </c>
      <c r="N41" s="152" t="s">
        <v>238</v>
      </c>
      <c r="O41" s="157" t="s">
        <v>47</v>
      </c>
      <c r="P41" s="184">
        <f>IF(D41=Inputs!F$4,Inputs!I$4,IF(D41=Inputs!F$2,Inputs!I$2,IF(D41=Inputs!F$3,Inputs!I$3,IF(D41=Inputs!F$5,Inputs!I$5,"NA"))))</f>
        <v>26.607142857142858</v>
      </c>
      <c r="Q41" s="255">
        <f t="shared" si="3"/>
        <v>23</v>
      </c>
      <c r="R41" s="142">
        <f t="shared" si="9"/>
        <v>64</v>
      </c>
      <c r="U41" s="142" t="s">
        <v>222</v>
      </c>
      <c r="V41" s="142">
        <f>COUNTIF(R$7:R$82,41)*60</f>
        <v>60</v>
      </c>
    </row>
    <row r="42" spans="1:22" x14ac:dyDescent="0.25">
      <c r="A42" s="148">
        <v>36</v>
      </c>
      <c r="B42" s="186">
        <f>Inputs!C$2</f>
        <v>49</v>
      </c>
      <c r="C42" s="151">
        <v>1262919</v>
      </c>
      <c r="D42" s="185" t="s">
        <v>4</v>
      </c>
      <c r="E42" s="148">
        <v>60</v>
      </c>
      <c r="F42" s="185" t="s">
        <v>112</v>
      </c>
      <c r="G42" s="185"/>
      <c r="H42" s="188" t="s">
        <v>184</v>
      </c>
      <c r="I42" s="205">
        <f t="shared" si="6"/>
        <v>1393</v>
      </c>
      <c r="J42" s="186">
        <f t="shared" si="7"/>
        <v>203</v>
      </c>
      <c r="K42" s="151">
        <v>1596</v>
      </c>
      <c r="L42" s="206">
        <f t="shared" si="8"/>
        <v>23.216666666666665</v>
      </c>
      <c r="M42" s="151">
        <v>135271</v>
      </c>
      <c r="N42" s="152" t="s">
        <v>238</v>
      </c>
      <c r="O42" s="157" t="s">
        <v>47</v>
      </c>
      <c r="P42" s="184">
        <f>IF(D42=Inputs!F$4,Inputs!I$4,IF(D42=Inputs!F$2,Inputs!I$2,IF(D42=Inputs!F$3,Inputs!I$3,IF(D42=Inputs!F$5,Inputs!I$5,"NA"))))</f>
        <v>26.607142857142858</v>
      </c>
      <c r="Q42" s="255">
        <f t="shared" si="3"/>
        <v>23</v>
      </c>
      <c r="R42" s="142">
        <f t="shared" si="9"/>
        <v>64</v>
      </c>
      <c r="U42" s="142" t="s">
        <v>223</v>
      </c>
      <c r="V42" s="142">
        <f>COUNTIF(R$7:R$82,42)*60</f>
        <v>300</v>
      </c>
    </row>
    <row r="43" spans="1:22" x14ac:dyDescent="0.25">
      <c r="A43" s="148">
        <v>37</v>
      </c>
      <c r="B43" s="186">
        <f>Inputs!C$2</f>
        <v>49</v>
      </c>
      <c r="C43" s="151">
        <v>1262920</v>
      </c>
      <c r="D43" s="185" t="s">
        <v>6</v>
      </c>
      <c r="E43" s="148">
        <v>60</v>
      </c>
      <c r="F43" s="185"/>
      <c r="G43" s="185" t="s">
        <v>10</v>
      </c>
      <c r="H43" s="188" t="s">
        <v>184</v>
      </c>
      <c r="I43" s="205" t="str">
        <f t="shared" si="6"/>
        <v>NA</v>
      </c>
      <c r="J43" s="186">
        <f t="shared" si="7"/>
        <v>203</v>
      </c>
      <c r="K43" s="151"/>
      <c r="L43" s="206" t="str">
        <f t="shared" si="8"/>
        <v>NA</v>
      </c>
      <c r="M43" s="151">
        <v>135271</v>
      </c>
      <c r="N43" s="152" t="s">
        <v>238</v>
      </c>
      <c r="O43" s="157" t="s">
        <v>10</v>
      </c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>
        <f t="shared" si="9"/>
        <v>72</v>
      </c>
      <c r="U43" s="142" t="s">
        <v>50</v>
      </c>
      <c r="V43" s="142">
        <f>SUM(V36:V42)</f>
        <v>360</v>
      </c>
    </row>
    <row r="44" spans="1:22" x14ac:dyDescent="0.25">
      <c r="A44" s="148">
        <v>38</v>
      </c>
      <c r="B44" s="186">
        <f>Inputs!C$2</f>
        <v>49</v>
      </c>
      <c r="C44" s="151">
        <v>1262921</v>
      </c>
      <c r="D44" s="185" t="s">
        <v>167</v>
      </c>
      <c r="E44" s="148">
        <v>60</v>
      </c>
      <c r="F44" s="185" t="s">
        <v>112</v>
      </c>
      <c r="G44" s="185"/>
      <c r="H44" s="188" t="s">
        <v>184</v>
      </c>
      <c r="I44" s="205">
        <f t="shared" si="6"/>
        <v>1489</v>
      </c>
      <c r="J44" s="186">
        <f t="shared" si="7"/>
        <v>203</v>
      </c>
      <c r="K44" s="151">
        <v>1692</v>
      </c>
      <c r="L44" s="206">
        <f t="shared" si="8"/>
        <v>24.816666666666666</v>
      </c>
      <c r="M44" s="151">
        <v>135271</v>
      </c>
      <c r="N44" s="152" t="s">
        <v>238</v>
      </c>
      <c r="O44" s="157" t="s">
        <v>47</v>
      </c>
      <c r="P44" s="184">
        <f>IF(D44=Inputs!F$4,Inputs!I$4,IF(D44=Inputs!F$2,Inputs!I$2,IF(D44=Inputs!F$3,Inputs!I$3,IF(D44=Inputs!F$5,Inputs!I$5,"NA"))))</f>
        <v>60.892857142857146</v>
      </c>
      <c r="Q44" s="255">
        <f t="shared" si="3"/>
        <v>24</v>
      </c>
      <c r="R44" s="142">
        <f t="shared" si="9"/>
        <v>20</v>
      </c>
    </row>
    <row r="45" spans="1:22" x14ac:dyDescent="0.25">
      <c r="A45" s="148">
        <v>39</v>
      </c>
      <c r="B45" s="186">
        <f>Inputs!C$2</f>
        <v>49</v>
      </c>
      <c r="C45" s="151">
        <v>1262922</v>
      </c>
      <c r="D45" s="185" t="s">
        <v>167</v>
      </c>
      <c r="E45" s="148">
        <v>60</v>
      </c>
      <c r="F45" s="185" t="s">
        <v>112</v>
      </c>
      <c r="G45" s="185"/>
      <c r="H45" s="188" t="s">
        <v>184</v>
      </c>
      <c r="I45" s="205">
        <f t="shared" si="6"/>
        <v>1459</v>
      </c>
      <c r="J45" s="186">
        <f t="shared" si="7"/>
        <v>203</v>
      </c>
      <c r="K45" s="151">
        <v>1662</v>
      </c>
      <c r="L45" s="206">
        <f t="shared" si="8"/>
        <v>24.316666666666666</v>
      </c>
      <c r="M45" s="151">
        <v>135271</v>
      </c>
      <c r="N45" s="152" t="s">
        <v>238</v>
      </c>
      <c r="O45" s="157" t="s">
        <v>47</v>
      </c>
      <c r="P45" s="184">
        <f>IF(D45=Inputs!F$4,Inputs!I$4,IF(D45=Inputs!F$2,Inputs!I$2,IF(D45=Inputs!F$3,Inputs!I$3,IF(D45=Inputs!F$5,Inputs!I$5,"NA"))))</f>
        <v>60.892857142857146</v>
      </c>
      <c r="Q45" s="255">
        <f t="shared" si="3"/>
        <v>24</v>
      </c>
      <c r="R45" s="142">
        <f t="shared" si="9"/>
        <v>20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49</v>
      </c>
      <c r="C46" s="151">
        <v>1262923</v>
      </c>
      <c r="D46" s="185" t="s">
        <v>167</v>
      </c>
      <c r="E46" s="148">
        <v>60</v>
      </c>
      <c r="F46" s="185" t="s">
        <v>112</v>
      </c>
      <c r="G46" s="185"/>
      <c r="H46" s="188" t="s">
        <v>184</v>
      </c>
      <c r="I46" s="205">
        <f t="shared" si="6"/>
        <v>1467</v>
      </c>
      <c r="J46" s="186">
        <f t="shared" si="7"/>
        <v>203</v>
      </c>
      <c r="K46" s="151">
        <v>1670</v>
      </c>
      <c r="L46" s="206">
        <f t="shared" si="8"/>
        <v>24.45</v>
      </c>
      <c r="M46" s="151">
        <v>135271</v>
      </c>
      <c r="N46" s="152" t="s">
        <v>238</v>
      </c>
      <c r="O46" s="157" t="s">
        <v>47</v>
      </c>
      <c r="P46" s="184">
        <f>IF(D46=Inputs!F$4,Inputs!I$4,IF(D46=Inputs!F$2,Inputs!I$2,IF(D46=Inputs!F$3,Inputs!I$3,IF(D46=Inputs!F$5,Inputs!I$5,"NA"))))</f>
        <v>60.892857142857146</v>
      </c>
      <c r="Q46" s="255">
        <f t="shared" si="3"/>
        <v>24</v>
      </c>
      <c r="R46" s="142">
        <f t="shared" si="9"/>
        <v>20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49</v>
      </c>
      <c r="C47" s="151">
        <v>1262924</v>
      </c>
      <c r="D47" s="185" t="s">
        <v>208</v>
      </c>
      <c r="E47" s="148">
        <v>60</v>
      </c>
      <c r="F47" s="185" t="s">
        <v>112</v>
      </c>
      <c r="G47" s="185"/>
      <c r="H47" s="188" t="s">
        <v>184</v>
      </c>
      <c r="I47" s="205">
        <f t="shared" si="6"/>
        <v>1497</v>
      </c>
      <c r="J47" s="186">
        <f t="shared" si="7"/>
        <v>203</v>
      </c>
      <c r="K47" s="151">
        <v>1700</v>
      </c>
      <c r="L47" s="206">
        <f t="shared" si="8"/>
        <v>24.95</v>
      </c>
      <c r="M47" s="151">
        <v>135271</v>
      </c>
      <c r="N47" s="152" t="s">
        <v>238</v>
      </c>
      <c r="O47" s="157" t="s">
        <v>47</v>
      </c>
      <c r="P47" s="184">
        <f>IF(D47=Inputs!F$4,Inputs!I$4,IF(D47=Inputs!F$2,Inputs!I$2,IF(D47=Inputs!F$3,Inputs!I$3,IF(D47=Inputs!F$5,Inputs!I$5,"NA"))))</f>
        <v>47.892857142857146</v>
      </c>
      <c r="Q47" s="255">
        <f t="shared" si="3"/>
        <v>24</v>
      </c>
      <c r="R47" s="142">
        <f t="shared" si="9"/>
        <v>42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49</v>
      </c>
      <c r="C48" s="151">
        <v>1262925</v>
      </c>
      <c r="D48" s="185" t="s">
        <v>208</v>
      </c>
      <c r="E48" s="148">
        <v>60</v>
      </c>
      <c r="F48" s="185" t="s">
        <v>112</v>
      </c>
      <c r="G48" s="185"/>
      <c r="H48" s="188" t="s">
        <v>184</v>
      </c>
      <c r="I48" s="205">
        <f t="shared" si="6"/>
        <v>1489</v>
      </c>
      <c r="J48" s="186">
        <f t="shared" si="7"/>
        <v>203</v>
      </c>
      <c r="K48" s="151">
        <v>1692</v>
      </c>
      <c r="L48" s="206">
        <f t="shared" si="8"/>
        <v>24.816666666666666</v>
      </c>
      <c r="M48" s="151">
        <v>135271</v>
      </c>
      <c r="N48" s="152" t="s">
        <v>238</v>
      </c>
      <c r="O48" s="157" t="s">
        <v>47</v>
      </c>
      <c r="P48" s="184">
        <f>IF(D48=Inputs!F$4,Inputs!I$4,IF(D48=Inputs!F$2,Inputs!I$2,IF(D48=Inputs!F$3,Inputs!I$3,IF(D48=Inputs!F$5,Inputs!I$5,"NA"))))</f>
        <v>47.892857142857146</v>
      </c>
      <c r="Q48" s="255">
        <f t="shared" si="3"/>
        <v>24</v>
      </c>
      <c r="R48" s="142">
        <f t="shared" si="9"/>
        <v>42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49</v>
      </c>
      <c r="C49" s="151">
        <v>1262926</v>
      </c>
      <c r="D49" s="185" t="s">
        <v>208</v>
      </c>
      <c r="E49" s="148">
        <v>60</v>
      </c>
      <c r="F49" s="185" t="s">
        <v>112</v>
      </c>
      <c r="G49" s="185"/>
      <c r="H49" s="188" t="s">
        <v>184</v>
      </c>
      <c r="I49" s="205">
        <f t="shared" si="6"/>
        <v>1501</v>
      </c>
      <c r="J49" s="186">
        <f t="shared" si="7"/>
        <v>203</v>
      </c>
      <c r="K49" s="151">
        <v>1704</v>
      </c>
      <c r="L49" s="206">
        <f t="shared" si="8"/>
        <v>25.016666666666666</v>
      </c>
      <c r="M49" s="151">
        <v>135271</v>
      </c>
      <c r="N49" s="152" t="s">
        <v>238</v>
      </c>
      <c r="O49" s="157" t="s">
        <v>47</v>
      </c>
      <c r="P49" s="184">
        <f>IF(D49=Inputs!F$4,Inputs!I$4,IF(D49=Inputs!F$2,Inputs!I$2,IF(D49=Inputs!F$3,Inputs!I$3,IF(D49=Inputs!F$5,Inputs!I$5,"NA"))))</f>
        <v>47.892857142857146</v>
      </c>
      <c r="Q49" s="255">
        <f t="shared" si="3"/>
        <v>24</v>
      </c>
      <c r="R49" s="142">
        <f t="shared" si="9"/>
        <v>42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49</v>
      </c>
      <c r="C50" s="151">
        <v>1262927</v>
      </c>
      <c r="D50" s="185" t="s">
        <v>5</v>
      </c>
      <c r="E50" s="148">
        <v>60</v>
      </c>
      <c r="F50" s="185" t="s">
        <v>112</v>
      </c>
      <c r="G50" s="185"/>
      <c r="H50" s="188" t="s">
        <v>184</v>
      </c>
      <c r="I50" s="205">
        <f t="shared" si="6"/>
        <v>1487</v>
      </c>
      <c r="J50" s="186">
        <f t="shared" si="7"/>
        <v>203</v>
      </c>
      <c r="K50" s="151">
        <v>1690</v>
      </c>
      <c r="L50" s="206">
        <f t="shared" si="8"/>
        <v>24.783333333333335</v>
      </c>
      <c r="M50" s="151">
        <v>135271</v>
      </c>
      <c r="N50" s="152" t="s">
        <v>238</v>
      </c>
      <c r="O50" s="157" t="s">
        <v>47</v>
      </c>
      <c r="P50" s="184">
        <f>IF(D50=Inputs!F$4,Inputs!I$4,IF(D50=Inputs!F$2,Inputs!I$2,IF(D50=Inputs!F$3,Inputs!I$3,IF(D50=Inputs!F$5,Inputs!I$5,"NA"))))</f>
        <v>35.464285714285715</v>
      </c>
      <c r="Q50" s="255">
        <f t="shared" si="3"/>
        <v>24</v>
      </c>
      <c r="R50" s="142">
        <f t="shared" si="9"/>
        <v>9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49</v>
      </c>
      <c r="C51" s="151">
        <v>1262928</v>
      </c>
      <c r="D51" s="185" t="s">
        <v>5</v>
      </c>
      <c r="E51" s="148">
        <v>60</v>
      </c>
      <c r="F51" s="185" t="s">
        <v>112</v>
      </c>
      <c r="G51" s="185"/>
      <c r="H51" s="188" t="s">
        <v>184</v>
      </c>
      <c r="I51" s="205">
        <f t="shared" si="6"/>
        <v>1485</v>
      </c>
      <c r="J51" s="186">
        <f t="shared" si="7"/>
        <v>203</v>
      </c>
      <c r="K51" s="151">
        <v>1688</v>
      </c>
      <c r="L51" s="206">
        <f t="shared" si="8"/>
        <v>24.75</v>
      </c>
      <c r="M51" s="151">
        <v>135271</v>
      </c>
      <c r="N51" s="152" t="s">
        <v>238</v>
      </c>
      <c r="O51" s="157" t="s">
        <v>47</v>
      </c>
      <c r="P51" s="184">
        <f>IF(D51=Inputs!F$4,Inputs!I$4,IF(D51=Inputs!F$2,Inputs!I$2,IF(D51=Inputs!F$3,Inputs!I$3,IF(D51=Inputs!F$5,Inputs!I$5,"NA"))))</f>
        <v>35.464285714285715</v>
      </c>
      <c r="Q51" s="255">
        <f t="shared" si="3"/>
        <v>24</v>
      </c>
      <c r="R51" s="142">
        <f t="shared" si="9"/>
        <v>9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49</v>
      </c>
      <c r="C52" s="151">
        <v>1262929</v>
      </c>
      <c r="D52" s="185" t="s">
        <v>5</v>
      </c>
      <c r="E52" s="148">
        <v>60</v>
      </c>
      <c r="F52" s="185" t="s">
        <v>112</v>
      </c>
      <c r="G52" s="185"/>
      <c r="H52" s="188" t="s">
        <v>184</v>
      </c>
      <c r="I52" s="205">
        <f t="shared" si="6"/>
        <v>1467</v>
      </c>
      <c r="J52" s="186">
        <f t="shared" si="7"/>
        <v>203</v>
      </c>
      <c r="K52" s="151">
        <v>1670</v>
      </c>
      <c r="L52" s="206">
        <f t="shared" si="8"/>
        <v>24.45</v>
      </c>
      <c r="M52" s="151">
        <v>135271</v>
      </c>
      <c r="N52" s="152" t="s">
        <v>238</v>
      </c>
      <c r="O52" s="157" t="s">
        <v>47</v>
      </c>
      <c r="P52" s="184">
        <f>IF(D52=Inputs!F$4,Inputs!I$4,IF(D52=Inputs!F$2,Inputs!I$2,IF(D52=Inputs!F$3,Inputs!I$3,IF(D52=Inputs!F$5,Inputs!I$5,"NA"))))</f>
        <v>35.464285714285715</v>
      </c>
      <c r="Q52" s="255">
        <f t="shared" si="3"/>
        <v>24</v>
      </c>
      <c r="R52" s="142">
        <f t="shared" si="9"/>
        <v>9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49</v>
      </c>
      <c r="C53" s="151">
        <v>1262930</v>
      </c>
      <c r="D53" s="185" t="s">
        <v>5</v>
      </c>
      <c r="E53" s="148">
        <v>60</v>
      </c>
      <c r="F53" s="185" t="s">
        <v>112</v>
      </c>
      <c r="G53" s="185"/>
      <c r="H53" s="188" t="s">
        <v>184</v>
      </c>
      <c r="I53" s="205">
        <f t="shared" si="6"/>
        <v>1467</v>
      </c>
      <c r="J53" s="186">
        <f t="shared" si="7"/>
        <v>203</v>
      </c>
      <c r="K53" s="151">
        <v>1670</v>
      </c>
      <c r="L53" s="206">
        <f t="shared" si="8"/>
        <v>24.45</v>
      </c>
      <c r="M53" s="151">
        <v>135271</v>
      </c>
      <c r="N53" s="152" t="s">
        <v>238</v>
      </c>
      <c r="O53" s="157" t="s">
        <v>47</v>
      </c>
      <c r="P53" s="184">
        <f>IF(D53=Inputs!F$4,Inputs!I$4,IF(D53=Inputs!F$2,Inputs!I$2,IF(D53=Inputs!F$3,Inputs!I$3,IF(D53=Inputs!F$5,Inputs!I$5,"NA"))))</f>
        <v>35.464285714285715</v>
      </c>
      <c r="Q53" s="255">
        <f t="shared" si="3"/>
        <v>24</v>
      </c>
      <c r="R53" s="142">
        <f t="shared" si="9"/>
        <v>9</v>
      </c>
      <c r="U53" s="142" t="s">
        <v>223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49</v>
      </c>
      <c r="C54" s="151">
        <v>1262931</v>
      </c>
      <c r="D54" s="185" t="s">
        <v>4</v>
      </c>
      <c r="E54" s="148">
        <v>60</v>
      </c>
      <c r="F54" s="185" t="s">
        <v>112</v>
      </c>
      <c r="G54" s="185"/>
      <c r="H54" s="188" t="s">
        <v>184</v>
      </c>
      <c r="I54" s="205">
        <f t="shared" si="6"/>
        <v>1353</v>
      </c>
      <c r="J54" s="186">
        <f t="shared" si="7"/>
        <v>203</v>
      </c>
      <c r="K54" s="151">
        <v>1556</v>
      </c>
      <c r="L54" s="206">
        <f t="shared" si="8"/>
        <v>22.55</v>
      </c>
      <c r="M54" s="151">
        <v>135271</v>
      </c>
      <c r="N54" s="152" t="s">
        <v>238</v>
      </c>
      <c r="O54" s="157" t="s">
        <v>47</v>
      </c>
      <c r="P54" s="184">
        <f>IF(D54=Inputs!F$4,Inputs!I$4,IF(D54=Inputs!F$2,Inputs!I$2,IF(D54=Inputs!F$3,Inputs!I$3,IF(D54=Inputs!F$5,Inputs!I$5,"NA"))))</f>
        <v>26.607142857142858</v>
      </c>
      <c r="Q54" s="255">
        <f t="shared" si="3"/>
        <v>22</v>
      </c>
      <c r="R54" s="142">
        <f t="shared" si="9"/>
        <v>63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49</v>
      </c>
      <c r="C55" s="151">
        <v>1262932</v>
      </c>
      <c r="D55" s="185" t="s">
        <v>167</v>
      </c>
      <c r="E55" s="148">
        <v>60</v>
      </c>
      <c r="F55" s="185" t="s">
        <v>112</v>
      </c>
      <c r="G55" s="185"/>
      <c r="H55" s="188" t="s">
        <v>184</v>
      </c>
      <c r="I55" s="205">
        <f t="shared" si="6"/>
        <v>1431</v>
      </c>
      <c r="J55" s="186">
        <f t="shared" si="7"/>
        <v>203</v>
      </c>
      <c r="K55" s="151">
        <v>1634</v>
      </c>
      <c r="L55" s="206">
        <f t="shared" si="8"/>
        <v>23.85</v>
      </c>
      <c r="M55" s="151">
        <v>135271</v>
      </c>
      <c r="N55" s="152" t="s">
        <v>238</v>
      </c>
      <c r="O55" s="157" t="s">
        <v>237</v>
      </c>
      <c r="P55" s="184">
        <f>IF(D55=Inputs!F$4,Inputs!I$4,IF(D55=Inputs!F$2,Inputs!I$2,IF(D55=Inputs!F$3,Inputs!I$3,IF(D55=Inputs!F$5,Inputs!I$5,"NA"))))</f>
        <v>60.892857142857146</v>
      </c>
      <c r="Q55" s="255">
        <f t="shared" si="3"/>
        <v>23</v>
      </c>
      <c r="R55" s="142">
        <f t="shared" si="9"/>
        <v>19</v>
      </c>
    </row>
    <row r="56" spans="1:22" x14ac:dyDescent="0.25">
      <c r="A56" s="148">
        <v>50</v>
      </c>
      <c r="B56" s="186">
        <f>Inputs!C$2</f>
        <v>49</v>
      </c>
      <c r="C56" s="151">
        <v>1262933</v>
      </c>
      <c r="D56" s="185" t="s">
        <v>4</v>
      </c>
      <c r="E56" s="148">
        <v>60</v>
      </c>
      <c r="F56" s="185" t="s">
        <v>112</v>
      </c>
      <c r="G56" s="185"/>
      <c r="H56" s="188" t="s">
        <v>184</v>
      </c>
      <c r="I56" s="205">
        <f t="shared" si="6"/>
        <v>1397</v>
      </c>
      <c r="J56" s="186">
        <f t="shared" si="7"/>
        <v>203</v>
      </c>
      <c r="K56" s="151">
        <v>1600</v>
      </c>
      <c r="L56" s="206">
        <f t="shared" si="8"/>
        <v>23.283333333333335</v>
      </c>
      <c r="M56" s="151">
        <v>135271</v>
      </c>
      <c r="N56" s="152" t="s">
        <v>238</v>
      </c>
      <c r="O56" s="157" t="s">
        <v>47</v>
      </c>
      <c r="P56" s="184">
        <f>IF(D56=Inputs!F$4,Inputs!I$4,IF(D56=Inputs!F$2,Inputs!I$2,IF(D56=Inputs!F$3,Inputs!I$3,IF(D56=Inputs!F$5,Inputs!I$5,"NA"))))</f>
        <v>26.607142857142858</v>
      </c>
      <c r="Q56" s="255">
        <f t="shared" si="3"/>
        <v>23</v>
      </c>
      <c r="R56" s="142">
        <f t="shared" si="9"/>
        <v>64</v>
      </c>
    </row>
    <row r="57" spans="1:22" x14ac:dyDescent="0.25">
      <c r="A57" s="148">
        <v>51</v>
      </c>
      <c r="B57" s="186">
        <f>Inputs!C$2</f>
        <v>49</v>
      </c>
      <c r="C57" s="151">
        <v>1262934</v>
      </c>
      <c r="D57" s="185" t="s">
        <v>4</v>
      </c>
      <c r="E57" s="148">
        <v>60</v>
      </c>
      <c r="F57" s="185" t="s">
        <v>112</v>
      </c>
      <c r="G57" s="185"/>
      <c r="H57" s="188" t="s">
        <v>184</v>
      </c>
      <c r="I57" s="205">
        <f t="shared" si="6"/>
        <v>1407</v>
      </c>
      <c r="J57" s="186">
        <f t="shared" si="7"/>
        <v>203</v>
      </c>
      <c r="K57" s="151">
        <v>1610</v>
      </c>
      <c r="L57" s="206">
        <f t="shared" si="8"/>
        <v>23.45</v>
      </c>
      <c r="M57" s="151">
        <v>135271</v>
      </c>
      <c r="N57" s="152" t="s">
        <v>238</v>
      </c>
      <c r="O57" s="157" t="s">
        <v>47</v>
      </c>
      <c r="P57" s="184">
        <f>IF(D57=Inputs!F$4,Inputs!I$4,IF(D57=Inputs!F$2,Inputs!I$2,IF(D57=Inputs!F$3,Inputs!I$3,IF(D57=Inputs!F$5,Inputs!I$5,"NA"))))</f>
        <v>26.607142857142858</v>
      </c>
      <c r="Q57" s="255">
        <f t="shared" si="3"/>
        <v>23</v>
      </c>
      <c r="R57" s="142">
        <f t="shared" si="9"/>
        <v>64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49</v>
      </c>
      <c r="C58" s="151">
        <v>1262935</v>
      </c>
      <c r="D58" s="185" t="s">
        <v>4</v>
      </c>
      <c r="E58" s="148">
        <v>60</v>
      </c>
      <c r="F58" s="185" t="s">
        <v>112</v>
      </c>
      <c r="G58" s="185"/>
      <c r="H58" s="188" t="s">
        <v>184</v>
      </c>
      <c r="I58" s="205">
        <f t="shared" si="6"/>
        <v>1402</v>
      </c>
      <c r="J58" s="186">
        <f t="shared" si="7"/>
        <v>203</v>
      </c>
      <c r="K58" s="151">
        <v>1605</v>
      </c>
      <c r="L58" s="206">
        <f t="shared" si="8"/>
        <v>23.366666666666667</v>
      </c>
      <c r="M58" s="151">
        <v>135271</v>
      </c>
      <c r="N58" s="152" t="s">
        <v>238</v>
      </c>
      <c r="O58" s="157" t="s">
        <v>47</v>
      </c>
      <c r="P58" s="184">
        <f>IF(D58=Inputs!F$4,Inputs!I$4,IF(D58=Inputs!F$2,Inputs!I$2,IF(D58=Inputs!F$3,Inputs!I$3,IF(D58=Inputs!F$5,Inputs!I$5,"NA"))))</f>
        <v>26.607142857142858</v>
      </c>
      <c r="Q58" s="255">
        <f t="shared" si="3"/>
        <v>23</v>
      </c>
      <c r="R58" s="142">
        <f t="shared" si="9"/>
        <v>64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49</v>
      </c>
      <c r="C59" s="151"/>
      <c r="D59" s="185"/>
      <c r="E59" s="148"/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1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49</v>
      </c>
      <c r="C60" s="151"/>
      <c r="D60" s="185"/>
      <c r="E60" s="148"/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1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49</v>
      </c>
      <c r="C61" s="151"/>
      <c r="D61" s="185"/>
      <c r="E61" s="148"/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1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219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49</v>
      </c>
      <c r="C62" s="151"/>
      <c r="D62" s="185"/>
      <c r="E62" s="148"/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1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220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49</v>
      </c>
      <c r="C63" s="151"/>
      <c r="D63" s="185"/>
      <c r="E63" s="148"/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1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221</v>
      </c>
      <c r="V63" s="142">
        <f>COUNTIF(R$7:R$82,63)*60</f>
        <v>1260</v>
      </c>
    </row>
    <row r="64" spans="1:22" x14ac:dyDescent="0.25">
      <c r="A64" s="148">
        <v>58</v>
      </c>
      <c r="B64" s="186">
        <f>Inputs!C$2</f>
        <v>49</v>
      </c>
      <c r="C64" s="151"/>
      <c r="D64" s="185"/>
      <c r="E64" s="148"/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1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222</v>
      </c>
      <c r="V64" s="142">
        <f>COUNTIF(R$7:R$82,64)*60</f>
        <v>540</v>
      </c>
    </row>
    <row r="65" spans="1:24" x14ac:dyDescent="0.25">
      <c r="A65" s="148">
        <v>59</v>
      </c>
      <c r="B65" s="186">
        <f>Inputs!C$2</f>
        <v>49</v>
      </c>
      <c r="C65" s="151"/>
      <c r="D65" s="185"/>
      <c r="E65" s="148"/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1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49</v>
      </c>
      <c r="C66" s="151"/>
      <c r="D66" s="185"/>
      <c r="E66" s="148"/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1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1800</v>
      </c>
    </row>
    <row r="67" spans="1:24" x14ac:dyDescent="0.25">
      <c r="A67" s="148">
        <v>61</v>
      </c>
      <c r="B67" s="186">
        <f>Inputs!C$2</f>
        <v>49</v>
      </c>
      <c r="C67" s="151"/>
      <c r="D67" s="185"/>
      <c r="E67" s="148"/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1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49</v>
      </c>
      <c r="C68" s="151"/>
      <c r="D68" s="185"/>
      <c r="E68" s="148"/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1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49</v>
      </c>
      <c r="C69" s="151"/>
      <c r="D69" s="185"/>
      <c r="E69" s="148"/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1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49</v>
      </c>
      <c r="C70" s="151"/>
      <c r="D70" s="185"/>
      <c r="E70" s="148"/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1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229</v>
      </c>
    </row>
    <row r="71" spans="1:24" x14ac:dyDescent="0.25">
      <c r="A71" s="148">
        <v>65</v>
      </c>
      <c r="B71" s="186">
        <f>Inputs!C$2</f>
        <v>49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49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300</v>
      </c>
    </row>
    <row r="73" spans="1:24" x14ac:dyDescent="0.25">
      <c r="A73" s="148">
        <v>67</v>
      </c>
      <c r="B73" s="186">
        <f>Inputs!C$2</f>
        <v>49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49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49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49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49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49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49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49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49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49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topLeftCell="E1" zoomScaleNormal="100" workbookViewId="0">
      <selection activeCell="K9" sqref="K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49</v>
      </c>
      <c r="F2" s="166" t="s">
        <v>5</v>
      </c>
      <c r="G2" s="183">
        <v>45750</v>
      </c>
      <c r="I2" s="200">
        <f>(C$3-G2)/7</f>
        <v>35.464285714285715</v>
      </c>
      <c r="J2" s="223">
        <f>I2-19</f>
        <v>16.464285714285715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45998.25</v>
      </c>
      <c r="D3" s="265"/>
      <c r="F3" s="166" t="s">
        <v>167</v>
      </c>
      <c r="G3" s="183">
        <v>45572</v>
      </c>
      <c r="I3" s="200">
        <f>(C$3-G3)/7</f>
        <v>60.892857142857146</v>
      </c>
      <c r="J3" s="223">
        <f>I3-19</f>
        <v>41.892857142857146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47.892857142857146</v>
      </c>
      <c r="J4" s="223">
        <f>I4-19</f>
        <v>28.892857142857146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26.607142857142858</v>
      </c>
      <c r="J5" s="223">
        <f>I5-19</f>
        <v>7.6071428571428577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267</v>
      </c>
      <c r="C10" s="165"/>
      <c r="E10" s="139">
        <v>6</v>
      </c>
      <c r="F10" s="168">
        <v>270</v>
      </c>
      <c r="G10" s="165"/>
      <c r="O10" s="139" t="s">
        <v>223</v>
      </c>
      <c r="P10" s="227">
        <f t="shared" si="0"/>
        <v>1317.4823331992634</v>
      </c>
      <c r="Q10" s="226">
        <v>0.36596731477757316</v>
      </c>
      <c r="R10" s="227">
        <f t="shared" si="1"/>
        <v>1790.5324327969342</v>
      </c>
      <c r="S10" s="226">
        <v>0.49737012022137062</v>
      </c>
      <c r="T10" s="227">
        <f t="shared" si="2"/>
        <v>304.09473534708803</v>
      </c>
      <c r="U10" s="227">
        <v>8.4470759818635568E-2</v>
      </c>
      <c r="V10" s="227">
        <f t="shared" si="3"/>
        <v>5.3088840644920285</v>
      </c>
      <c r="W10" s="226">
        <v>1.4746900179144523E-3</v>
      </c>
      <c r="X10" s="227">
        <f t="shared" si="4"/>
        <v>0.70034647338313416</v>
      </c>
      <c r="Y10" s="226">
        <v>1.9454068705087059E-4</v>
      </c>
      <c r="Z10" s="227">
        <f t="shared" si="5"/>
        <v>20.336686673724234</v>
      </c>
      <c r="AA10" s="226">
        <v>5.6490796315900654E-3</v>
      </c>
      <c r="AB10" s="227">
        <f t="shared" si="6"/>
        <v>103.38488860457039</v>
      </c>
      <c r="AC10" s="226">
        <v>2.8718024612380665E-2</v>
      </c>
      <c r="AD10" s="227">
        <f t="shared" si="7"/>
        <v>58.159692840544665</v>
      </c>
      <c r="AE10" s="226">
        <v>1.6155470233484629E-2</v>
      </c>
      <c r="AF10" s="139">
        <f t="shared" si="8"/>
        <v>3600</v>
      </c>
      <c r="AG10" s="226">
        <f t="shared" si="9"/>
        <v>1.0000000000000002</v>
      </c>
      <c r="AH10" s="252">
        <f>'Pallet Information'!V9</f>
        <v>240</v>
      </c>
    </row>
    <row r="11" spans="1:34" x14ac:dyDescent="0.2">
      <c r="A11" s="139">
        <v>7</v>
      </c>
      <c r="B11" s="168">
        <v>182</v>
      </c>
      <c r="C11" s="168">
        <v>18</v>
      </c>
      <c r="E11" s="139">
        <v>7</v>
      </c>
      <c r="F11" s="168">
        <v>196</v>
      </c>
      <c r="G11" s="168">
        <v>22</v>
      </c>
      <c r="O11" s="139" t="s">
        <v>50</v>
      </c>
      <c r="P11" s="227">
        <f>SUM(P4:P10)</f>
        <v>1317.4823331992634</v>
      </c>
      <c r="Q11" s="243">
        <f>P11/AF11</f>
        <v>0.36596731477757316</v>
      </c>
      <c r="R11" s="139">
        <f>SUM(R4:R10)</f>
        <v>1790.5324327969342</v>
      </c>
      <c r="S11" s="243">
        <f>R11/AF11</f>
        <v>0.49737012022137062</v>
      </c>
      <c r="T11" s="227">
        <f>SUM(T4:T10)</f>
        <v>304.09473534708803</v>
      </c>
      <c r="U11" s="243">
        <f>T11/AF11</f>
        <v>8.4470759818635568E-2</v>
      </c>
      <c r="V11" s="227">
        <f>SUM(V4:V10)</f>
        <v>5.3088840644920285</v>
      </c>
      <c r="W11" s="243">
        <f>V11/AF11</f>
        <v>1.4746900179144523E-3</v>
      </c>
      <c r="X11" s="227">
        <f>SUM(X4:X10)</f>
        <v>0.70034647338313416</v>
      </c>
      <c r="Y11" s="243">
        <f>X11/AF11</f>
        <v>1.9454068705087061E-4</v>
      </c>
      <c r="Z11" s="227">
        <f>SUM(Z4:Z10)</f>
        <v>20.336686673724234</v>
      </c>
      <c r="AA11" s="243">
        <f>Z11/AF11</f>
        <v>5.6490796315900654E-3</v>
      </c>
      <c r="AB11" s="227">
        <f>SUM(AB4:AB10)</f>
        <v>103.38488860457039</v>
      </c>
      <c r="AC11" s="243">
        <f>AB11/AF11</f>
        <v>2.8718024612380665E-2</v>
      </c>
      <c r="AD11" s="227">
        <f>SUM(AD4:AD10)</f>
        <v>58.159692840544665</v>
      </c>
      <c r="AE11" s="243">
        <f>AD11/AF11</f>
        <v>1.6155470233484629E-2</v>
      </c>
      <c r="AF11" s="139">
        <f>SUM(AF4:AF10)</f>
        <v>3600</v>
      </c>
      <c r="AG11" s="244">
        <f>Q11+S11+U11+W11+Y11+AA11+AC11+AE11</f>
        <v>1.0000000000000002</v>
      </c>
      <c r="AH11" s="139">
        <f t="shared" ref="AH11" si="10">AF11/15</f>
        <v>240</v>
      </c>
    </row>
    <row r="12" spans="1:34" x14ac:dyDescent="0.2">
      <c r="A12" s="139">
        <v>10</v>
      </c>
      <c r="B12" s="224">
        <v>150</v>
      </c>
      <c r="C12" s="168">
        <v>11</v>
      </c>
      <c r="E12" s="139">
        <v>10</v>
      </c>
      <c r="F12" s="168">
        <v>161</v>
      </c>
      <c r="G12" s="168">
        <v>12</v>
      </c>
    </row>
    <row r="13" spans="1:34" x14ac:dyDescent="0.2">
      <c r="A13" s="139">
        <v>11</v>
      </c>
      <c r="B13" s="168">
        <v>115</v>
      </c>
      <c r="C13" s="165"/>
      <c r="E13" s="139">
        <v>11</v>
      </c>
      <c r="F13" s="168">
        <v>126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570</v>
      </c>
      <c r="C16" s="165"/>
      <c r="E16" s="139">
        <v>6</v>
      </c>
      <c r="F16" s="168">
        <v>273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202</v>
      </c>
      <c r="C17" s="168">
        <v>24</v>
      </c>
      <c r="E17" s="139">
        <v>7</v>
      </c>
      <c r="F17" s="168">
        <v>192</v>
      </c>
      <c r="G17" s="168">
        <v>21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155</v>
      </c>
      <c r="C18" s="168">
        <v>12</v>
      </c>
      <c r="E18" s="139">
        <v>10</v>
      </c>
      <c r="F18" s="168">
        <v>151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108</v>
      </c>
      <c r="C19" s="165"/>
      <c r="E19" s="139">
        <v>11</v>
      </c>
      <c r="F19" s="168">
        <v>126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155.31971309582397</v>
      </c>
      <c r="Q20" s="226">
        <v>0.17257745899535998</v>
      </c>
      <c r="R20" s="227">
        <f t="shared" si="13"/>
        <v>548.42252596931837</v>
      </c>
      <c r="S20" s="226">
        <v>0.60935836218813155</v>
      </c>
      <c r="T20" s="227">
        <f t="shared" si="14"/>
        <v>164.49727134110617</v>
      </c>
      <c r="U20" s="226">
        <v>0.18277474593456242</v>
      </c>
      <c r="V20" s="227">
        <f t="shared" si="15"/>
        <v>3.3301053589666245</v>
      </c>
      <c r="W20" s="226">
        <v>3.7001170655184719E-3</v>
      </c>
      <c r="X20" s="227">
        <f t="shared" si="16"/>
        <v>0.18247126762628976</v>
      </c>
      <c r="Y20" s="226">
        <v>2.0274585291809972E-4</v>
      </c>
      <c r="Z20" s="227">
        <f t="shared" si="17"/>
        <v>2.8988268165293452</v>
      </c>
      <c r="AA20" s="226">
        <v>3.2209186850326059E-3</v>
      </c>
      <c r="AB20" s="227">
        <f t="shared" si="18"/>
        <v>16.070096181540674</v>
      </c>
      <c r="AC20" s="226">
        <v>1.785566242393408E-2</v>
      </c>
      <c r="AD20" s="227">
        <f t="shared" si="19"/>
        <v>9.2789899690885544</v>
      </c>
      <c r="AE20" s="226">
        <v>1.0309988854542838E-2</v>
      </c>
      <c r="AF20" s="139">
        <f t="shared" si="11"/>
        <v>900</v>
      </c>
      <c r="AG20" s="226">
        <f t="shared" si="20"/>
        <v>1</v>
      </c>
      <c r="AH20" s="139">
        <f>'Pallet Information'!V19</f>
        <v>60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988.11174989944755</v>
      </c>
      <c r="Q21" s="226">
        <v>0.36596731477757316</v>
      </c>
      <c r="R21" s="227">
        <f t="shared" si="13"/>
        <v>1342.8993245977006</v>
      </c>
      <c r="S21" s="226">
        <v>0.49737012022137062</v>
      </c>
      <c r="T21" s="227">
        <f t="shared" si="14"/>
        <v>228.07105151031604</v>
      </c>
      <c r="U21" s="227">
        <v>8.4470759818635568E-2</v>
      </c>
      <c r="V21" s="227">
        <f t="shared" si="15"/>
        <v>3.9816630483690214</v>
      </c>
      <c r="W21" s="226">
        <v>1.4746900179144523E-3</v>
      </c>
      <c r="X21" s="227">
        <f t="shared" si="16"/>
        <v>0.52525985503735062</v>
      </c>
      <c r="Y21" s="226">
        <v>1.9454068705087059E-4</v>
      </c>
      <c r="Z21" s="227">
        <f t="shared" si="17"/>
        <v>15.252515005293176</v>
      </c>
      <c r="AA21" s="226">
        <v>5.6490796315900654E-3</v>
      </c>
      <c r="AB21" s="227">
        <f t="shared" si="18"/>
        <v>77.538666453427794</v>
      </c>
      <c r="AC21" s="226">
        <v>2.8718024612380665E-2</v>
      </c>
      <c r="AD21" s="227">
        <f t="shared" si="19"/>
        <v>43.619769630408499</v>
      </c>
      <c r="AE21" s="226">
        <v>1.6155470233484629E-2</v>
      </c>
      <c r="AF21" s="139">
        <f t="shared" si="11"/>
        <v>2700</v>
      </c>
      <c r="AG21" s="226">
        <f t="shared" si="20"/>
        <v>1.0000000000000002</v>
      </c>
      <c r="AH21" s="139"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1143.4314629952714</v>
      </c>
      <c r="Q22" s="139">
        <f>P22/AF22</f>
        <v>0.31761985083201982</v>
      </c>
      <c r="R22" s="139">
        <f>SUM(R15:R21)</f>
        <v>1891.3218505670188</v>
      </c>
      <c r="S22" s="139">
        <f>R22/AF22</f>
        <v>0.52536718071306077</v>
      </c>
      <c r="T22" s="227">
        <f>SUM(T15:T21)</f>
        <v>392.56832285142218</v>
      </c>
      <c r="U22" s="139">
        <f>T22/AF22</f>
        <v>0.10904675634761728</v>
      </c>
      <c r="V22" s="227">
        <f>SUM(V15:V21)</f>
        <v>7.3117684073356459</v>
      </c>
      <c r="W22" s="139">
        <f>V22/AF22</f>
        <v>2.0310467798154573E-3</v>
      </c>
      <c r="X22" s="227">
        <f>SUM(X15:X21)</f>
        <v>0.70773112266364036</v>
      </c>
      <c r="Y22" s="139">
        <f>X22/AF22</f>
        <v>1.9659197851767788E-4</v>
      </c>
      <c r="Z22" s="227">
        <f>SUM(Z15:Z21)</f>
        <v>18.15134182182252</v>
      </c>
      <c r="AA22" s="139">
        <f>Z22/AF22</f>
        <v>5.0420393949506996E-3</v>
      </c>
      <c r="AB22" s="227">
        <f>SUM(AB15:AB21)</f>
        <v>93.608762634968471</v>
      </c>
      <c r="AC22" s="139">
        <f>AB22/AF22</f>
        <v>2.6002434065269021E-2</v>
      </c>
      <c r="AD22" s="227">
        <f>SUM(AD15:AD21)</f>
        <v>52.898759599497055</v>
      </c>
      <c r="AE22" s="139">
        <f>AD22/AF22</f>
        <v>1.4694099888749182E-2</v>
      </c>
      <c r="AF22" s="139">
        <f>SUM(AF15:AF21)</f>
        <v>3600</v>
      </c>
      <c r="AG22" s="253">
        <f>Q22+S22+U22+W22+Y22+AA22+AC22+AE22</f>
        <v>0.99999999999999989</v>
      </c>
      <c r="AH22" s="139">
        <f t="shared" ref="AH22" si="21">AF22/15</f>
        <v>240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189</v>
      </c>
      <c r="C24" s="168">
        <v>21</v>
      </c>
      <c r="E24" s="139">
        <v>7</v>
      </c>
      <c r="F24" s="168">
        <v>196</v>
      </c>
      <c r="G24" s="168">
        <v>22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156</v>
      </c>
      <c r="C25" s="168">
        <v>12</v>
      </c>
      <c r="E25" s="139">
        <v>10</v>
      </c>
      <c r="F25" s="168">
        <v>149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126</v>
      </c>
      <c r="C26" s="165"/>
      <c r="E26" s="139">
        <v>11</v>
      </c>
      <c r="F26" s="168">
        <v>128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272</v>
      </c>
      <c r="C29" s="165"/>
      <c r="E29" s="139">
        <v>6</v>
      </c>
      <c r="F29" s="198">
        <f>B10+F10+B16+F16+B23+F23+B29</f>
        <v>2192</v>
      </c>
      <c r="G29" s="199">
        <f t="shared" ref="F29:G31" si="32">C10+G10+C16+G16+C23+G23+C29</f>
        <v>0</v>
      </c>
      <c r="I29" s="139">
        <v>6</v>
      </c>
      <c r="J29" s="198">
        <f>F29*15</f>
        <v>32880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194</v>
      </c>
      <c r="C30" s="168">
        <v>21</v>
      </c>
      <c r="E30" s="139">
        <v>7</v>
      </c>
      <c r="F30" s="198">
        <f t="shared" si="32"/>
        <v>1351</v>
      </c>
      <c r="G30" s="198">
        <f t="shared" si="32"/>
        <v>149</v>
      </c>
      <c r="I30" s="139">
        <v>7</v>
      </c>
      <c r="J30" s="198">
        <f t="shared" si="33"/>
        <v>20265</v>
      </c>
      <c r="K30" s="198">
        <f t="shared" si="33"/>
        <v>2235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1074</v>
      </c>
      <c r="G31" s="198">
        <f t="shared" si="32"/>
        <v>80</v>
      </c>
      <c r="I31" s="139">
        <v>10</v>
      </c>
      <c r="J31" s="198">
        <f t="shared" si="33"/>
        <v>16110</v>
      </c>
      <c r="K31" s="198">
        <f t="shared" si="33"/>
        <v>1200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129</v>
      </c>
      <c r="C32" s="165"/>
      <c r="E32" s="139">
        <v>11</v>
      </c>
      <c r="F32" s="198">
        <f t="shared" ref="F32:G32" si="34">B13+F13+B19+F19+B26+F26+B32</f>
        <v>858</v>
      </c>
      <c r="G32" s="199">
        <f t="shared" si="34"/>
        <v>0</v>
      </c>
      <c r="I32" s="139">
        <v>11</v>
      </c>
      <c r="J32" s="198">
        <f>F32*15</f>
        <v>12870</v>
      </c>
      <c r="K32" s="199">
        <f>G32*180/12</f>
        <v>0</v>
      </c>
      <c r="O32" s="139" t="s">
        <v>223</v>
      </c>
      <c r="P32" s="227">
        <f t="shared" si="22"/>
        <v>988.11174989944755</v>
      </c>
      <c r="Q32" s="226">
        <v>0.36596731477757316</v>
      </c>
      <c r="R32" s="227">
        <f t="shared" si="23"/>
        <v>1342.8993245977006</v>
      </c>
      <c r="S32" s="226">
        <v>0.49737012022137062</v>
      </c>
      <c r="T32" s="227">
        <f t="shared" si="24"/>
        <v>228.07105151031604</v>
      </c>
      <c r="U32" s="227">
        <v>8.4470759818635568E-2</v>
      </c>
      <c r="V32" s="227">
        <f t="shared" si="25"/>
        <v>3.9816630483690214</v>
      </c>
      <c r="W32" s="226">
        <v>1.4746900179144523E-3</v>
      </c>
      <c r="X32" s="227">
        <f t="shared" si="26"/>
        <v>0.52525985503735062</v>
      </c>
      <c r="Y32" s="226">
        <v>1.9454068705087059E-4</v>
      </c>
      <c r="Z32" s="227">
        <f t="shared" si="27"/>
        <v>15.252515005293176</v>
      </c>
      <c r="AA32" s="226">
        <v>5.6490796315900654E-3</v>
      </c>
      <c r="AB32" s="227">
        <f t="shared" si="28"/>
        <v>77.538666453427794</v>
      </c>
      <c r="AC32" s="226">
        <v>2.8718024612380665E-2</v>
      </c>
      <c r="AD32" s="227">
        <f t="shared" si="29"/>
        <v>43.619769630408499</v>
      </c>
      <c r="AE32" s="226">
        <v>1.6155470233484629E-2</v>
      </c>
      <c r="AF32" s="139">
        <f t="shared" si="31"/>
        <v>2700</v>
      </c>
      <c r="AG32" s="226">
        <f t="shared" si="30"/>
        <v>1.0000000000000002</v>
      </c>
      <c r="AH32" s="139">
        <v>180</v>
      </c>
    </row>
    <row r="33" spans="1:34" x14ac:dyDescent="0.2">
      <c r="O33" s="139" t="s">
        <v>50</v>
      </c>
      <c r="P33" s="227">
        <f>SUM(P26:P32)</f>
        <v>988.11174989944755</v>
      </c>
      <c r="Q33" s="139">
        <f>P33/AF33</f>
        <v>0.36596731477757316</v>
      </c>
      <c r="R33" s="139">
        <f>SUM(R26:R32)</f>
        <v>1342.8993245977006</v>
      </c>
      <c r="S33" s="139">
        <f>R33/AF33</f>
        <v>0.49737012022137056</v>
      </c>
      <c r="T33" s="227">
        <f>SUM(T26:T32)</f>
        <v>228.07105151031604</v>
      </c>
      <c r="U33" s="139">
        <f>T33/AF33</f>
        <v>8.4470759818635568E-2</v>
      </c>
      <c r="V33" s="227">
        <f>SUM(V26:V32)</f>
        <v>3.9816630483690214</v>
      </c>
      <c r="W33" s="139">
        <f>V33/AF33</f>
        <v>1.4746900179144523E-3</v>
      </c>
      <c r="X33" s="227">
        <f>SUM(X26:X32)</f>
        <v>0.52525985503735062</v>
      </c>
      <c r="Y33" s="139">
        <f>X33/AF33</f>
        <v>1.9454068705087061E-4</v>
      </c>
      <c r="Z33" s="227">
        <f>SUM(Z26:Z32)</f>
        <v>15.252515005293176</v>
      </c>
      <c r="AA33" s="139">
        <f>Z33/AF33</f>
        <v>5.6490796315900654E-3</v>
      </c>
      <c r="AB33" s="227">
        <f>SUM(AB26:AB32)</f>
        <v>77.538666453427794</v>
      </c>
      <c r="AC33" s="139">
        <f>AB33/AF33</f>
        <v>2.8718024612380665E-2</v>
      </c>
      <c r="AD33" s="227">
        <f>SUM(AD26:AD32)</f>
        <v>43.619769630408499</v>
      </c>
      <c r="AE33" s="139">
        <f>AD33/AF33</f>
        <v>1.6155470233484629E-2</v>
      </c>
      <c r="AF33" s="139">
        <f>SUM(AF26:AF32)</f>
        <v>2700</v>
      </c>
      <c r="AG33" s="253">
        <f>Q33+S33+U33+W33+Y33+AA33+AC33+AE33</f>
        <v>1.0000000000000002</v>
      </c>
      <c r="AH33" s="139">
        <f t="shared" ref="AH33" si="35">AF33/15</f>
        <v>180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240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240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180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348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12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1800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300</v>
      </c>
      <c r="O41" s="139" t="s">
        <v>221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124.25577047665918</v>
      </c>
      <c r="Q42" s="226">
        <v>0.17257745899535998</v>
      </c>
      <c r="R42" s="227">
        <f t="shared" si="38"/>
        <v>438.73802077545474</v>
      </c>
      <c r="S42" s="226">
        <v>0.60935836218813155</v>
      </c>
      <c r="T42" s="227">
        <f t="shared" si="39"/>
        <v>131.59781707288494</v>
      </c>
      <c r="U42" s="226">
        <v>0.18277474593456242</v>
      </c>
      <c r="V42" s="227">
        <f t="shared" si="40"/>
        <v>2.6640842871732997</v>
      </c>
      <c r="W42" s="226">
        <v>3.7001170655184719E-3</v>
      </c>
      <c r="X42" s="227">
        <f t="shared" si="41"/>
        <v>0.14597701410103181</v>
      </c>
      <c r="Y42" s="226">
        <v>2.0274585291809972E-4</v>
      </c>
      <c r="Z42" s="227">
        <f t="shared" si="42"/>
        <v>2.3190614532234761</v>
      </c>
      <c r="AA42" s="226">
        <v>3.2209186850326059E-3</v>
      </c>
      <c r="AB42" s="227">
        <f t="shared" si="43"/>
        <v>12.856076945232537</v>
      </c>
      <c r="AC42" s="226">
        <v>1.785566242393408E-2</v>
      </c>
      <c r="AD42" s="227">
        <f t="shared" si="44"/>
        <v>7.4231919752708437</v>
      </c>
      <c r="AE42" s="226">
        <v>1.0309988854542838E-2</v>
      </c>
      <c r="AF42" s="139">
        <f t="shared" si="36"/>
        <v>720</v>
      </c>
      <c r="AG42" s="226">
        <f t="shared" si="45"/>
        <v>1</v>
      </c>
      <c r="AH42" s="139">
        <v>48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1646.8529164990791</v>
      </c>
      <c r="Q43" s="226">
        <v>0.36596731477757316</v>
      </c>
      <c r="R43" s="227">
        <f t="shared" si="38"/>
        <v>2238.1655409961677</v>
      </c>
      <c r="S43" s="226">
        <v>0.49737012022137062</v>
      </c>
      <c r="T43" s="227">
        <f t="shared" si="39"/>
        <v>380.11841918386006</v>
      </c>
      <c r="U43" s="227">
        <v>8.4470759818635568E-2</v>
      </c>
      <c r="V43" s="227">
        <f t="shared" si="40"/>
        <v>6.6361050806150352</v>
      </c>
      <c r="W43" s="226">
        <v>1.4746900179144523E-3</v>
      </c>
      <c r="X43" s="227">
        <f t="shared" si="41"/>
        <v>0.87543309172891759</v>
      </c>
      <c r="Y43" s="226">
        <v>1.9454068705087059E-4</v>
      </c>
      <c r="Z43" s="227">
        <f t="shared" si="42"/>
        <v>25.420858342155295</v>
      </c>
      <c r="AA43" s="226">
        <v>5.6490796315900654E-3</v>
      </c>
      <c r="AB43" s="227">
        <f t="shared" si="43"/>
        <v>129.23111075571299</v>
      </c>
      <c r="AC43" s="226">
        <v>2.8718024612380665E-2</v>
      </c>
      <c r="AD43" s="227">
        <f t="shared" si="44"/>
        <v>72.699616050680831</v>
      </c>
      <c r="AE43" s="226">
        <v>1.6155470233484629E-2</v>
      </c>
      <c r="AF43" s="139">
        <f t="shared" si="36"/>
        <v>4500</v>
      </c>
      <c r="AG43" s="226">
        <f t="shared" si="45"/>
        <v>1.0000000000000002</v>
      </c>
      <c r="AH43" s="139">
        <f>'Pallet Information'!V42</f>
        <v>300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1771.1086869757382</v>
      </c>
      <c r="Q44" s="139">
        <f>P44/AF44</f>
        <v>0.33929285191106096</v>
      </c>
      <c r="R44" s="139">
        <f>SUM(R37:R43)</f>
        <v>2676.9035617716227</v>
      </c>
      <c r="S44" s="139">
        <f>R44/AF44</f>
        <v>0.51281677428575145</v>
      </c>
      <c r="T44" s="227">
        <f>SUM(T37:T43)</f>
        <v>511.71623625674499</v>
      </c>
      <c r="U44" s="139">
        <f>T44/AF44</f>
        <v>9.8029930317384092E-2</v>
      </c>
      <c r="V44" s="227">
        <f>SUM(V37:V43)</f>
        <v>9.3001893677883345</v>
      </c>
      <c r="W44" s="139">
        <f>V44/AF44</f>
        <v>1.781645472756386E-3</v>
      </c>
      <c r="X44" s="227">
        <f>SUM(X37:X43)</f>
        <v>1.0214101058299494</v>
      </c>
      <c r="Y44" s="139">
        <f>X44/AF44</f>
        <v>1.956724340670401E-4</v>
      </c>
      <c r="Z44" s="227">
        <f>SUM(Z37:Z43)</f>
        <v>27.739919795378771</v>
      </c>
      <c r="AA44" s="139">
        <f>Z44/AF44</f>
        <v>5.3141608803407604E-3</v>
      </c>
      <c r="AB44" s="227">
        <f>SUM(AB37:AB43)</f>
        <v>142.08718770094552</v>
      </c>
      <c r="AC44" s="139">
        <f>AB44/AF44</f>
        <v>2.7219767758801822E-2</v>
      </c>
      <c r="AD44" s="227">
        <f>SUM(AD37:AD43)</f>
        <v>80.12280802595167</v>
      </c>
      <c r="AE44" s="139">
        <f>AD44/AF44</f>
        <v>1.5349196939837485E-2</v>
      </c>
      <c r="AF44" s="139">
        <f>SUM(AF37:AF43)</f>
        <v>5220</v>
      </c>
      <c r="AG44" s="253">
        <f>Q44+S44+U44+W44+Y44+AA44+AC44+AE44</f>
        <v>1</v>
      </c>
      <c r="AH44" s="139">
        <f t="shared" ref="AH44" si="46">AF44/15</f>
        <v>348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31.063942619164795</v>
      </c>
      <c r="Q53" s="226">
        <v>0.17257745899535998</v>
      </c>
      <c r="R53" s="227">
        <f t="shared" si="49"/>
        <v>109.68450519386369</v>
      </c>
      <c r="S53" s="226">
        <v>0.60935836218813155</v>
      </c>
      <c r="T53" s="227">
        <f t="shared" si="50"/>
        <v>32.899454268221234</v>
      </c>
      <c r="U53" s="226">
        <v>0.18277474593456242</v>
      </c>
      <c r="V53" s="227">
        <f t="shared" si="51"/>
        <v>0.66602107179332493</v>
      </c>
      <c r="W53" s="226">
        <v>3.7001170655184719E-3</v>
      </c>
      <c r="X53" s="227">
        <f t="shared" si="52"/>
        <v>3.6494253525257953E-2</v>
      </c>
      <c r="Y53" s="226">
        <v>2.0274585291809972E-4</v>
      </c>
      <c r="Z53" s="227">
        <f t="shared" si="53"/>
        <v>0.57976536330586903</v>
      </c>
      <c r="AA53" s="226">
        <v>3.2209186850326059E-3</v>
      </c>
      <c r="AB53" s="227">
        <f t="shared" si="54"/>
        <v>3.2140192363081344</v>
      </c>
      <c r="AC53" s="226">
        <v>1.785566242393408E-2</v>
      </c>
      <c r="AD53" s="227">
        <f t="shared" si="55"/>
        <v>1.8557979938177109</v>
      </c>
      <c r="AE53" s="226">
        <v>1.0309988854542838E-2</v>
      </c>
      <c r="AF53" s="139">
        <f t="shared" si="47"/>
        <v>180</v>
      </c>
      <c r="AG53" s="226">
        <f t="shared" si="56"/>
        <v>1</v>
      </c>
      <c r="AH53" s="139">
        <v>12</v>
      </c>
    </row>
    <row r="54" spans="1:34" x14ac:dyDescent="0.2">
      <c r="O54" s="139" t="s">
        <v>223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31.063942619164795</v>
      </c>
      <c r="Q55" s="139">
        <f>P55/AF55</f>
        <v>0.17257745899535998</v>
      </c>
      <c r="R55" s="139">
        <f>SUM(R48:R54)</f>
        <v>109.68450519386369</v>
      </c>
      <c r="S55" s="139">
        <f>R55/AF55</f>
        <v>0.60935836218813155</v>
      </c>
      <c r="T55" s="227">
        <f>SUM(T48:T54)</f>
        <v>32.899454268221234</v>
      </c>
      <c r="U55" s="139">
        <f>T55/AF55</f>
        <v>0.18277474593456242</v>
      </c>
      <c r="V55" s="227">
        <f>SUM(V48:V54)</f>
        <v>0.66602107179332493</v>
      </c>
      <c r="W55" s="139">
        <f>V55/AF55</f>
        <v>3.7001170655184719E-3</v>
      </c>
      <c r="X55" s="227">
        <f>SUM(X48:X54)</f>
        <v>3.6494253525257953E-2</v>
      </c>
      <c r="Y55" s="139">
        <f>X55/AF55</f>
        <v>2.0274585291809972E-4</v>
      </c>
      <c r="Z55" s="227">
        <f>SUM(Z48:Z54)</f>
        <v>0.57976536330586903</v>
      </c>
      <c r="AA55" s="139">
        <f>Z55/AF55</f>
        <v>3.2209186850326059E-3</v>
      </c>
      <c r="AB55" s="227">
        <f>SUM(AB48:AB54)</f>
        <v>3.2140192363081344</v>
      </c>
      <c r="AC55" s="139">
        <f>AB55/AF55</f>
        <v>1.785566242393408E-2</v>
      </c>
      <c r="AD55" s="227">
        <f>SUM(AD48:AD54)</f>
        <v>1.8557979938177109</v>
      </c>
      <c r="AE55" s="139">
        <f>AD55/AF55</f>
        <v>1.0309988854542838E-2</v>
      </c>
      <c r="AF55" s="139">
        <f>SUM(AF48:AF54)</f>
        <v>180</v>
      </c>
      <c r="AG55" s="253">
        <f>Q55+S55+U55+W55+Y55+AA55+AC55+AE55</f>
        <v>1</v>
      </c>
      <c r="AH55" s="139">
        <f t="shared" ref="AH55" si="57">AF55/15</f>
        <v>12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220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221</v>
      </c>
      <c r="P64" s="227">
        <f t="shared" si="59"/>
        <v>1085.2915084075767</v>
      </c>
      <c r="Q64" s="226">
        <v>5.742283113267601E-2</v>
      </c>
      <c r="R64" s="227">
        <f t="shared" si="60"/>
        <v>9503.9195437347807</v>
      </c>
      <c r="S64" s="226">
        <v>0.50285288591189314</v>
      </c>
      <c r="T64" s="227">
        <f t="shared" si="61"/>
        <v>7559.8444600643579</v>
      </c>
      <c r="U64" s="226">
        <v>0.39999177037377553</v>
      </c>
      <c r="V64" s="227">
        <f t="shared" si="62"/>
        <v>360.11847898082829</v>
      </c>
      <c r="W64" s="226">
        <v>1.9053887776763402E-2</v>
      </c>
      <c r="X64" s="227">
        <f t="shared" si="63"/>
        <v>6.3841018360971669</v>
      </c>
      <c r="Y64" s="226">
        <v>3.3778316593106704E-4</v>
      </c>
      <c r="Z64" s="227">
        <f t="shared" si="64"/>
        <v>68.048721843853897</v>
      </c>
      <c r="AA64" s="226">
        <v>3.6004614732197829E-3</v>
      </c>
      <c r="AB64" s="227">
        <f t="shared" si="65"/>
        <v>158.82194435974273</v>
      </c>
      <c r="AC64" s="226">
        <v>8.4032774793514672E-3</v>
      </c>
      <c r="AD64" s="227">
        <f t="shared" si="66"/>
        <v>157.57124077276191</v>
      </c>
      <c r="AE64" s="226">
        <v>8.3371026863895189E-3</v>
      </c>
      <c r="AF64" s="139">
        <f t="shared" si="58"/>
        <v>18900</v>
      </c>
      <c r="AG64" s="226">
        <f t="shared" si="67"/>
        <v>0.99999999999999989</v>
      </c>
      <c r="AH64" s="139">
        <f>'Pallet Information'!V63</f>
        <v>1260</v>
      </c>
    </row>
    <row r="65" spans="14:34" x14ac:dyDescent="0.2">
      <c r="O65" s="139" t="s">
        <v>222</v>
      </c>
      <c r="P65" s="227">
        <f t="shared" si="59"/>
        <v>1397.8774178624158</v>
      </c>
      <c r="Q65" s="226">
        <v>0.17257745899535998</v>
      </c>
      <c r="R65" s="227">
        <f t="shared" si="60"/>
        <v>4935.8027337238655</v>
      </c>
      <c r="S65" s="226">
        <v>0.60935836218813155</v>
      </c>
      <c r="T65" s="227">
        <f t="shared" si="61"/>
        <v>1480.4754420699555</v>
      </c>
      <c r="U65" s="226">
        <v>0.18277474593456242</v>
      </c>
      <c r="V65" s="227">
        <f t="shared" si="62"/>
        <v>29.970948230699623</v>
      </c>
      <c r="W65" s="226">
        <v>3.7001170655184719E-3</v>
      </c>
      <c r="X65" s="227">
        <f t="shared" si="63"/>
        <v>1.6422414086366077</v>
      </c>
      <c r="Y65" s="226">
        <v>2.0274585291809972E-4</v>
      </c>
      <c r="Z65" s="227">
        <f t="shared" si="64"/>
        <v>26.089441348764108</v>
      </c>
      <c r="AA65" s="226">
        <v>3.2209186850326059E-3</v>
      </c>
      <c r="AB65" s="227">
        <f t="shared" si="65"/>
        <v>144.63086563386605</v>
      </c>
      <c r="AC65" s="226">
        <v>1.785566242393408E-2</v>
      </c>
      <c r="AD65" s="227">
        <f t="shared" si="66"/>
        <v>83.510909721796992</v>
      </c>
      <c r="AE65" s="226">
        <v>1.0309988854542838E-2</v>
      </c>
      <c r="AF65" s="139">
        <f t="shared" si="58"/>
        <v>8100</v>
      </c>
      <c r="AG65" s="226">
        <f t="shared" si="67"/>
        <v>1</v>
      </c>
      <c r="AH65" s="139">
        <f>'Pallet Information'!V64</f>
        <v>540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2483.1689262699924</v>
      </c>
      <c r="Q67" s="139">
        <f>P67/AF67</f>
        <v>9.1969219491481208E-2</v>
      </c>
      <c r="R67" s="139">
        <f>SUM(R60:R66)</f>
        <v>14439.722277458646</v>
      </c>
      <c r="S67" s="139">
        <f>R67/AF67</f>
        <v>0.5348045287947647</v>
      </c>
      <c r="T67" s="227">
        <f>SUM(T60:T66)</f>
        <v>9040.3199021343135</v>
      </c>
      <c r="U67" s="139">
        <f>T67/AF67</f>
        <v>0.33482666304201159</v>
      </c>
      <c r="V67" s="227">
        <f>SUM(V60:V66)</f>
        <v>390.08942721152789</v>
      </c>
      <c r="W67" s="139">
        <f>V67/AF67</f>
        <v>1.4447756563389922E-2</v>
      </c>
      <c r="X67" s="227">
        <f>SUM(X60:X66)</f>
        <v>8.0263432447337753</v>
      </c>
      <c r="Y67" s="139">
        <f>X67/AF67</f>
        <v>2.9727197202717684E-4</v>
      </c>
      <c r="Z67" s="227">
        <f>SUM(Z60:Z66)</f>
        <v>94.138163192618009</v>
      </c>
      <c r="AA67" s="139">
        <f>Z67/AF67</f>
        <v>3.4865986367636301E-3</v>
      </c>
      <c r="AB67" s="227">
        <f>SUM(AB60:AB66)</f>
        <v>303.45280999360875</v>
      </c>
      <c r="AC67" s="139">
        <f>AB67/AF67</f>
        <v>1.1238992962726251E-2</v>
      </c>
      <c r="AD67" s="227">
        <f>SUM(AD60:AD66)</f>
        <v>241.0821504945589</v>
      </c>
      <c r="AE67" s="139">
        <f>AD67/AF67</f>
        <v>8.9289685368355142E-3</v>
      </c>
      <c r="AF67" s="139">
        <f>SUM(AF60:AF66)</f>
        <v>27000</v>
      </c>
      <c r="AG67" s="253">
        <f>Q67+S67+U67+W67+Y67+AA67+AC67+AE67</f>
        <v>1</v>
      </c>
      <c r="AH67" s="139">
        <f t="shared" ref="AH67" si="68">AF67/15</f>
        <v>1800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300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1143.4314629952714</v>
      </c>
      <c r="Q80" s="253">
        <f>P80/AF80</f>
        <v>0.31761985083201982</v>
      </c>
      <c r="R80" s="242">
        <f>R22</f>
        <v>1891.3218505670188</v>
      </c>
      <c r="S80" s="253">
        <f>R80/AF80</f>
        <v>0.52536718071306077</v>
      </c>
      <c r="T80" s="242">
        <f>T22</f>
        <v>392.56832285142218</v>
      </c>
      <c r="U80" s="253">
        <f>T80/AF80</f>
        <v>0.10904675634761728</v>
      </c>
      <c r="V80" s="242">
        <f>V22</f>
        <v>7.3117684073356459</v>
      </c>
      <c r="W80" s="253">
        <f>V80/AF80</f>
        <v>2.0310467798154573E-3</v>
      </c>
      <c r="X80" s="242">
        <f>X22</f>
        <v>0.70773112266364036</v>
      </c>
      <c r="Y80" s="253">
        <f>X80/AF80</f>
        <v>1.9659197851767788E-4</v>
      </c>
      <c r="Z80" s="242">
        <f>Z22</f>
        <v>18.15134182182252</v>
      </c>
      <c r="AA80" s="253">
        <f>Z80/AF80</f>
        <v>5.0420393949506996E-3</v>
      </c>
      <c r="AB80" s="242">
        <f>AB22</f>
        <v>93.608762634968471</v>
      </c>
      <c r="AC80" s="253">
        <f>AB80/AF80</f>
        <v>2.6002434065269021E-2</v>
      </c>
      <c r="AD80" s="242">
        <f>AD22</f>
        <v>52.898759599497055</v>
      </c>
      <c r="AE80" s="253">
        <f>AD80/AF80</f>
        <v>1.4694099888749182E-2</v>
      </c>
      <c r="AF80" s="139">
        <f t="shared" ref="AF80:AF81" si="69">(AH80*15)</f>
        <v>3600</v>
      </c>
      <c r="AG80" s="226">
        <f t="shared" ref="AG80:AG81" si="70">SUM(Q80+S80+U80+W80+Y80+AA80+AC80+AE80)</f>
        <v>0.99999999999999989</v>
      </c>
      <c r="AH80" s="139">
        <f>AH22</f>
        <v>240</v>
      </c>
    </row>
    <row r="81" spans="14:34" x14ac:dyDescent="0.2">
      <c r="O81" s="139" t="s">
        <v>48</v>
      </c>
      <c r="P81" s="242">
        <f>P33</f>
        <v>988.11174989944755</v>
      </c>
      <c r="Q81" s="253">
        <f>P81/AF81</f>
        <v>0.36596731477757316</v>
      </c>
      <c r="R81" s="242">
        <f>R33</f>
        <v>1342.8993245977006</v>
      </c>
      <c r="S81" s="253">
        <f>R81/AF81</f>
        <v>0.49737012022137056</v>
      </c>
      <c r="T81" s="242">
        <f>T33</f>
        <v>228.07105151031604</v>
      </c>
      <c r="U81" s="253">
        <f>T81/AF81</f>
        <v>8.4470759818635568E-2</v>
      </c>
      <c r="V81" s="242">
        <f>V33</f>
        <v>3.9816630483690214</v>
      </c>
      <c r="W81" s="253">
        <f>V81/AF81</f>
        <v>1.4746900179144523E-3</v>
      </c>
      <c r="X81" s="242">
        <f>X33</f>
        <v>0.52525985503735062</v>
      </c>
      <c r="Y81" s="253">
        <f>X81/AF81</f>
        <v>1.9454068705087061E-4</v>
      </c>
      <c r="Z81" s="242">
        <f>Z33</f>
        <v>15.252515005293176</v>
      </c>
      <c r="AA81" s="253">
        <f>Z81/AF81</f>
        <v>5.6490796315900654E-3</v>
      </c>
      <c r="AB81" s="242">
        <f>AB33</f>
        <v>77.538666453427794</v>
      </c>
      <c r="AC81" s="253">
        <f>AB81/AF81</f>
        <v>2.8718024612380665E-2</v>
      </c>
      <c r="AD81" s="242">
        <f>AD33</f>
        <v>43.619769630408499</v>
      </c>
      <c r="AE81" s="253">
        <f>AD81/AF81</f>
        <v>1.6155470233484629E-2</v>
      </c>
      <c r="AF81" s="139">
        <f t="shared" si="69"/>
        <v>2700</v>
      </c>
      <c r="AG81" s="226">
        <f t="shared" si="70"/>
        <v>1.0000000000000002</v>
      </c>
      <c r="AH81" s="139">
        <f>AH33</f>
        <v>180</v>
      </c>
    </row>
    <row r="82" spans="14:34" x14ac:dyDescent="0.2">
      <c r="O82" s="139" t="s">
        <v>50</v>
      </c>
      <c r="P82" s="227">
        <f>SUM(P80:P81)</f>
        <v>2131.5432128947191</v>
      </c>
      <c r="Q82" s="253">
        <f>P82/AF82</f>
        <v>0.33834019252297126</v>
      </c>
      <c r="R82" s="227">
        <f>SUM(R80:R81)</f>
        <v>3234.2211751647192</v>
      </c>
      <c r="S82" s="253">
        <f>R82/AF82</f>
        <v>0.51336844050233643</v>
      </c>
      <c r="T82" s="227">
        <f>SUM(T80:T81)</f>
        <v>620.63937436173819</v>
      </c>
      <c r="U82" s="253">
        <f>T82/AF82</f>
        <v>9.8514186406625112E-2</v>
      </c>
      <c r="V82" s="227">
        <f>SUM(V80:V81)</f>
        <v>11.293431455704667</v>
      </c>
      <c r="W82" s="253">
        <f>V82/AF82</f>
        <v>1.7926081675721693E-3</v>
      </c>
      <c r="X82" s="227">
        <f>SUM(X80:X81)</f>
        <v>1.2329909777009909</v>
      </c>
      <c r="Y82" s="253">
        <f>X82/AF82</f>
        <v>1.9571285360333188E-4</v>
      </c>
      <c r="Z82" s="227">
        <f>SUM(Z80:Z81)</f>
        <v>33.403856827115696</v>
      </c>
      <c r="AA82" s="253">
        <f>Z82/AF82</f>
        <v>5.3021994963675708E-3</v>
      </c>
      <c r="AB82" s="227">
        <f>SUM(AB80:AB81)</f>
        <v>171.14742908839628</v>
      </c>
      <c r="AC82" s="253">
        <f>AB82/AF82</f>
        <v>2.7166258585459728E-2</v>
      </c>
      <c r="AD82" s="227">
        <f>SUM(AD80:AD81)</f>
        <v>96.518529229905553</v>
      </c>
      <c r="AE82" s="253">
        <f>AD82/AF82</f>
        <v>1.5320401465064373E-2</v>
      </c>
      <c r="AF82" s="252">
        <f>SUM(AF80:AF81)</f>
        <v>6300</v>
      </c>
      <c r="AG82" s="253">
        <f>SUM(Q82+S82+U82+W82+Y82+AA82+AC82+AE82)</f>
        <v>1</v>
      </c>
      <c r="AH82" s="139">
        <f t="shared" ref="AH82" si="71">AF82/15</f>
        <v>420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1771.1086869757382</v>
      </c>
      <c r="Q87" s="226">
        <f>P87/AF87</f>
        <v>0.33929285191106096</v>
      </c>
      <c r="R87" s="227">
        <f>R44</f>
        <v>2676.9035617716227</v>
      </c>
      <c r="S87" s="226">
        <f>R87/AF87</f>
        <v>0.51281677428575145</v>
      </c>
      <c r="T87" s="227">
        <f>T44</f>
        <v>511.71623625674499</v>
      </c>
      <c r="U87" s="226">
        <f>T87/AF87</f>
        <v>9.8029930317384092E-2</v>
      </c>
      <c r="V87" s="227">
        <f>V44</f>
        <v>9.3001893677883345</v>
      </c>
      <c r="W87" s="226">
        <f>V87/AF87</f>
        <v>1.781645472756386E-3</v>
      </c>
      <c r="X87" s="227">
        <f>X44</f>
        <v>1.0214101058299494</v>
      </c>
      <c r="Y87" s="226">
        <f>X87/AF87</f>
        <v>1.956724340670401E-4</v>
      </c>
      <c r="Z87" s="227">
        <f>Z44</f>
        <v>27.739919795378771</v>
      </c>
      <c r="AA87" s="226">
        <f>Z87/AF87</f>
        <v>5.3141608803407604E-3</v>
      </c>
      <c r="AB87" s="227">
        <f>AB44</f>
        <v>142.08718770094552</v>
      </c>
      <c r="AC87" s="226">
        <f>AB87/AF87</f>
        <v>2.7219767758801822E-2</v>
      </c>
      <c r="AD87" s="227">
        <f>AD44</f>
        <v>80.12280802595167</v>
      </c>
      <c r="AE87" s="226">
        <f>AD87/AF87</f>
        <v>1.5349196939837485E-2</v>
      </c>
      <c r="AF87" s="139">
        <f t="shared" ref="AF87:AF88" si="72">(AH87*15)</f>
        <v>5220</v>
      </c>
      <c r="AG87" s="226">
        <f t="shared" ref="AG87:AG88" si="73">SUM(Q87+S87+U87+W87+Y87+AA87+AC87+AE87)</f>
        <v>1</v>
      </c>
      <c r="AH87" s="139">
        <f>AH44</f>
        <v>348</v>
      </c>
    </row>
    <row r="88" spans="14:34" x14ac:dyDescent="0.2">
      <c r="O88" s="139" t="s">
        <v>48</v>
      </c>
      <c r="P88" s="227">
        <f>P55</f>
        <v>31.063942619164795</v>
      </c>
      <c r="Q88" s="226">
        <f>P88/AF88</f>
        <v>0.17257745899535998</v>
      </c>
      <c r="R88" s="227">
        <f>R55</f>
        <v>109.68450519386369</v>
      </c>
      <c r="S88" s="226">
        <f>R88/AF88</f>
        <v>0.60935836218813155</v>
      </c>
      <c r="T88" s="227">
        <f>T55</f>
        <v>32.899454268221234</v>
      </c>
      <c r="U88" s="241">
        <f>T88/AF88</f>
        <v>0.18277474593456242</v>
      </c>
      <c r="V88" s="227">
        <f>V55</f>
        <v>0.66602107179332493</v>
      </c>
      <c r="W88" s="226">
        <f>V88/AF88</f>
        <v>3.7001170655184719E-3</v>
      </c>
      <c r="X88" s="227">
        <f>X55</f>
        <v>3.6494253525257953E-2</v>
      </c>
      <c r="Y88" s="226">
        <f>X88/AF88</f>
        <v>2.0274585291809972E-4</v>
      </c>
      <c r="Z88" s="227">
        <f>Z55</f>
        <v>0.57976536330586903</v>
      </c>
      <c r="AA88" s="226">
        <f>Z88/AF88</f>
        <v>3.2209186850326059E-3</v>
      </c>
      <c r="AB88" s="227">
        <f>AB55</f>
        <v>3.2140192363081344</v>
      </c>
      <c r="AC88" s="226">
        <f>AB88/AF88</f>
        <v>1.785566242393408E-2</v>
      </c>
      <c r="AD88" s="227">
        <f>AD55</f>
        <v>1.8557979938177109</v>
      </c>
      <c r="AE88" s="226">
        <f>AD88/AF88</f>
        <v>1.0309988854542838E-2</v>
      </c>
      <c r="AF88" s="139">
        <f t="shared" si="72"/>
        <v>180</v>
      </c>
      <c r="AG88" s="226">
        <f t="shared" si="73"/>
        <v>1</v>
      </c>
      <c r="AH88" s="139">
        <f>AH55</f>
        <v>12</v>
      </c>
    </row>
    <row r="89" spans="14:34" x14ac:dyDescent="0.2">
      <c r="O89" s="139" t="s">
        <v>50</v>
      </c>
      <c r="P89" s="227">
        <f>SUM(P87:P88)</f>
        <v>1802.1726295949031</v>
      </c>
      <c r="Q89" s="253">
        <f>P89/AF89</f>
        <v>0.33373567214720429</v>
      </c>
      <c r="R89" s="227">
        <f>SUM(R87:R88)</f>
        <v>2786.5880669654862</v>
      </c>
      <c r="S89" s="253">
        <f>R89/AF89</f>
        <v>0.51603482721583083</v>
      </c>
      <c r="T89" s="227">
        <f>SUM(T87:T88)</f>
        <v>544.61569052496623</v>
      </c>
      <c r="U89" s="253">
        <f>T89/AF89</f>
        <v>0.10085475750462337</v>
      </c>
      <c r="V89" s="227">
        <f>SUM(V87:V88)</f>
        <v>9.9662104395816602</v>
      </c>
      <c r="W89" s="253">
        <f>V89/AF89</f>
        <v>1.8455945258484556E-3</v>
      </c>
      <c r="X89" s="227">
        <f>SUM(X87:X88)</f>
        <v>1.0579043593552073</v>
      </c>
      <c r="Y89" s="253">
        <f>X89/AF89</f>
        <v>1.9590821469540876E-4</v>
      </c>
      <c r="Z89" s="227">
        <f>SUM(Z87:Z88)</f>
        <v>28.319685158684642</v>
      </c>
      <c r="AA89" s="253">
        <f>Z89/AF89</f>
        <v>5.2443861404971558E-3</v>
      </c>
      <c r="AB89" s="227">
        <f>SUM(AB87:AB88)</f>
        <v>145.30120693725365</v>
      </c>
      <c r="AC89" s="253">
        <f>AB89/AF89</f>
        <v>2.6907630914306233E-2</v>
      </c>
      <c r="AD89" s="227">
        <f>SUM(AD87:AD88)</f>
        <v>81.978606019769387</v>
      </c>
      <c r="AE89" s="253">
        <f>AD89/AF89</f>
        <v>1.5181223336994331E-2</v>
      </c>
      <c r="AF89" s="227">
        <f>SUM(AF87:AF88)</f>
        <v>5400</v>
      </c>
      <c r="AG89" s="253">
        <f>SUM(Q89+S89+U89+W89+Y89+AA89+AC89+AE89)</f>
        <v>1</v>
      </c>
      <c r="AH89" s="139">
        <f t="shared" ref="AH89" si="74">AF89/15</f>
        <v>360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2025-12-17T13:33:49Z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