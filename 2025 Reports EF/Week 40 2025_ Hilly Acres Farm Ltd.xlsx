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225B3EAC-6B54-4873-804E-0439E2598294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11" i="6" l="1"/>
  <c r="L26" i="6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I2" i="8"/>
  <c r="Y23" i="5"/>
  <c r="Y15" i="5"/>
  <c r="P7" i="6" l="1"/>
  <c r="O13" i="2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<sst xmlns="http://schemas.openxmlformats.org/spreadsheetml/2006/main" count="523" uniqueCount="236">
  <si>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</si>
  <si>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</si>
  <si>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</si>
  <si>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</si>
  <si>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</si>
  <si>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</si>
  <si>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</si>
  <si>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</si>
  <si>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</si>
  <si>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</si>
  <si>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</si>
  <si>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</si>
  <si>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</si>
  <si>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</si>
  <si>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</si>
  <si>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</si>
  <si>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</si>
  <si>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</si>
  <si>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</si>
  <si>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</si>
  <si>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</si>
  <si>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</si>
  <si>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</si>
  <si>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</si>
  <si>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</si>
  <si>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</si>
  <si>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</si>
  <si>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</si>
  <si>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</si>
  <si>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</si>
  <si>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</si>
  <si>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</si>
  <si>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</si>
  <si>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</si>
  <si>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</si>
  <si>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</si>
  <si>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</si>
  <si>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</si>
  <si>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</si>
  <si>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</si>
  <si>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</si>
  <si>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</si>
  <si>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</si>
  <si>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</si>
  <si>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</si>
  <si>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</si>
  <si>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</si>
  <si>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</si>
  <si>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</si>
  <si>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</si>
  <si>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</si>
  <si>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</si>
  <si>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</si>
  <si>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</si>
  <si>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</si>
  <si>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</si>
  <si>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</si>
  <si>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</si>
  <si>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</si>
  <si>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</si>
  <si>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</si>
  <si>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</si>
  <si>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</si>
  <si>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</si>
  <si>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</si>
  <si>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</si>
  <si>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</si>
  <si>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</si>
  <si>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</si>
  <si>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</si>
  <si>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</si>
  <si>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</si>
  <si>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</si>
  <si>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</si>
  <si>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</si>
  <si>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</si>
  <si>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</si>
  <si>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</si>
  <si>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</si>
  <si>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</si>
  <si>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</si>
  <si>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</si>
  <si>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</si>
  <si>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</si>
  <si>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</si>
  <si>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</si>
  <si>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</si>
  <si>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</si>
  <si>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</si>
  <si>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</si>
  <si>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</si>
  <si>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</si>
  <si>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</si>
  <si>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</si>
  <si>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</si>
  <si>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</si>
  <si>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</si>
  <si>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</si>
  <si>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</si>
  <si>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</si>
  <si>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</si>
  <si>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</si>
  <si>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</si>
  <si>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</si>
  <si>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</si>
  <si>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</si>
  <si>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</si>
  <si>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</si>
  <si>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</si>
  <si>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</si>
  <si>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</si>
  <si>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</si>
  <si>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</si>
  <si>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</si>
  <si>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</si>
  <si>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</si>
  <si>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</si>
  <si>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</si>
  <si>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</si>
  <si>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</si>
  <si>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</si>
  <si>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</si>
  <si>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</si>
  <si>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</si>
  <si>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</si>
  <si>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</si>
  <si>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</si>
  <si>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</si>
  <si>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</si>
  <si>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</si>
  <si>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</si>
  <si>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</si>
  <si>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</si>
  <si>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</si>
  <si>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</si>
  <si>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</si>
  <si>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</si>
  <si>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</si>
  <si>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</si>
  <si>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</si>
  <si>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</si>
  <si>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</si>
  <si>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</si>
  <si>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</si>
  <si>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</si>
  <si>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</si>
  <si>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</si>
  <si>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</si>
  <si>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</si>
  <si>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</si>
  <si>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</si>
  <si>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</si>
  <si>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</si>
  <si>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</si>
  <si>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</si>
  <si>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</si>
  <si>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</si>
  <si>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</si>
  <si>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</si>
  <si>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</si>
  <si>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</si>
  <si>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</si>
  <si>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</si>
  <si>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</si>
  <si>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</si>
  <si>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</si>
  <si>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</si>
  <si>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</si>
  <si>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</si>
  <si>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</si>
  <si>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</si>
  <si>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</si>
  <si>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</si>
  <si>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</si>
  <si>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</si>
  <si>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</si>
  <si>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</si>
  <si>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</si>
  <si>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</si>
  <si>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</si>
  <si>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</si>
  <si>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</si>
  <si>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</si>
  <si>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</si>
  <si>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</si>
  <si>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</si>
  <si>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</si>
  <si>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</si>
  <si>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</si>
  <si>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</si>
  <si>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</si>
  <si>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</si>
  <si>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</si>
  <si>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</si>
  <si>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</si>
  <si>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</si>
  <si>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</si>
  <si>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</si>
  <si>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</si>
  <si>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</si>
  <si>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</si>
  <si>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</si>
  <si>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</si>
  <si>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</si>
  <si>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</si>
  <si>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</si>
  <si>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</si>
  <si>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</si>
  <si>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</si>
  <si>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</si>
  <si>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</si>
  <si>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</si>
  <si>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</si>
  <si>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</si>
  <si>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</si>
  <si>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</si>
  <si>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</si>
  <si>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</si>
  <si>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</si>
  <si>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</si>
  <si>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</si>
  <si>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</si>
  <si>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</si>
  <si>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</si>
  <si>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</si>
  <si>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</si>
  <si>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</si>
  <si>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</si>
  <si>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</si>
  <si>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</si>
  <si>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</si>
  <si>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</si>
  <si>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</si>
  <si>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</si>
  <si>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</si>
  <si>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Oct 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</si>
</sst>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I48" sqref="I48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40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45935.25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28350</v>
      </c>
      <c r="I7" s="27">
        <v>0</v>
      </c>
      <c r="J7" s="26">
        <f>IFERROR(H7-I7,"")</f>
        <v>28350</v>
      </c>
      <c r="K7" s="26">
        <f>IFERROR(($E$26/($H$27+$H$28)*$H$27)*R28,"")</f>
        <v>198.45000000000002</v>
      </c>
      <c r="L7" s="26">
        <f>IFERROR(($E$26/($H$27+$H$28)*$H$27)*S28,"")</f>
        <v>56.7</v>
      </c>
      <c r="M7" s="28">
        <f>IFERROR(K7+L7,"")</f>
        <v>255.15000000000003</v>
      </c>
      <c r="N7" s="29">
        <f>IFERROR(O7+P7+Q7+R7+S7+T7+U7+V7,"")</f>
        <v>28094.85</v>
      </c>
      <c r="O7" s="26">
        <f t="shared" ref="O7:V7" si="0">IFERROR(($E$26/($H$27+$H$28)*$H$27)*J28,"")</f>
        <v>708.75</v>
      </c>
      <c r="P7" s="26">
        <f t="shared" si="0"/>
        <v>2353.0500000000002</v>
      </c>
      <c r="Q7" s="26">
        <f t="shared" si="0"/>
        <v>13834.8</v>
      </c>
      <c r="R7" s="26">
        <f t="shared" si="0"/>
        <v>10829.7</v>
      </c>
      <c r="S7" s="26">
        <f t="shared" si="0"/>
        <v>340.2</v>
      </c>
      <c r="T7" s="26">
        <f t="shared" si="0"/>
        <v>0</v>
      </c>
      <c r="U7" s="26">
        <f t="shared" si="0"/>
        <v>28.35</v>
      </c>
      <c r="V7" s="26">
        <f t="shared" si="0"/>
        <v>0</v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20426.386638885273</v>
      </c>
      <c r="I10" s="27">
        <v>0</v>
      </c>
      <c r="J10" s="26">
        <f>IFERROR(H10-I10,"")</f>
        <v>20426.386638885273</v>
      </c>
      <c r="K10" s="26">
        <f>IFERROR(($E$30/($H$31+$H$32)*$H$31)*R32,"")</f>
        <v>122.55831983331161</v>
      </c>
      <c r="L10" s="26">
        <f>IFERROR(($E$30/($H$31+$H$32)*$H$31)*S32,"")</f>
        <v>20.426386638885269</v>
      </c>
      <c r="M10" s="28">
        <f>IFERROR(K10+L10,"")</f>
        <v>142.98470647219688</v>
      </c>
      <c r="N10" s="29">
        <f>IFERROR(O10+P10+Q10+R10+S10+T10+U10+V10,"")</f>
        <v>20283.401932413075</v>
      </c>
      <c r="O10" s="26">
        <f t="shared" ref="O10:V10" si="2">IFERROR(($E$30/($H$31+$H$32)*$H$31)*J32,"")</f>
        <v>469.80689269436118</v>
      </c>
      <c r="P10" s="26">
        <f t="shared" si="2"/>
        <v>5147.4494329990875</v>
      </c>
      <c r="Q10" s="26">
        <f t="shared" si="2"/>
        <v>12827.77080921995</v>
      </c>
      <c r="R10" s="26">
        <f t="shared" si="2"/>
        <v>1797.5220242219036</v>
      </c>
      <c r="S10" s="26">
        <f t="shared" si="2"/>
        <v>20.426386638885269</v>
      </c>
      <c r="T10" s="26">
        <f t="shared" si="2"/>
        <v>0</v>
      </c>
      <c r="U10" s="26">
        <f t="shared" si="2"/>
        <v>20.426386638885269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2268.6133611147279</v>
      </c>
      <c r="I11" s="27">
        <v>0</v>
      </c>
      <c r="J11" s="26">
        <f>IFERROR(H11-I11,"")</f>
        <v>2268.6133611147279</v>
      </c>
      <c r="K11" s="26">
        <f>IFERROR(($E$30/($H$31+$H$32)*$H$32)*R32,"")</f>
        <v>13.611680166688371</v>
      </c>
      <c r="L11" s="26">
        <f>IFERROR(($E$30/($H$31+$H$32)*$H$32)*S32,"")</f>
        <v>2.2686133611147286</v>
      </c>
      <c r="M11" s="28">
        <f>IFERROR(K11+L11,"")</f>
        <v>15.880293527803101</v>
      </c>
      <c r="N11" s="29">
        <f>IFERROR(O11+P11+Q11+R11+S11+T11+U11+V11,"")</f>
        <v>2252.7330675869248</v>
      </c>
      <c r="O11" s="26">
        <f t="shared" ref="O11:V11" si="3">IFERROR(($E$30/($H$31+$H$32)*$H$32)*J32,"")</f>
        <v>52.178107305638754</v>
      </c>
      <c r="P11" s="26">
        <f t="shared" si="3"/>
        <v>571.69056700091153</v>
      </c>
      <c r="Q11" s="26">
        <f t="shared" si="3"/>
        <v>1424.6891907800493</v>
      </c>
      <c r="R11" s="26">
        <f t="shared" si="3"/>
        <v>199.63797577809609</v>
      </c>
      <c r="S11" s="26">
        <f t="shared" si="3"/>
        <v>2.2686133611147286</v>
      </c>
      <c r="T11" s="26">
        <f t="shared" si="3"/>
        <v>0</v>
      </c>
      <c r="U11" s="26">
        <f t="shared" si="3"/>
        <v>2.2686133611147286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17176.109203188502</v>
      </c>
      <c r="I13" s="27">
        <v>0</v>
      </c>
      <c r="J13" s="26">
        <f>IFERROR(H13-I13,"")</f>
        <v>17176.109203188502</v>
      </c>
      <c r="K13" s="26">
        <f>IFERROR(($E$34/($H$35+$H$36)*$H$35)*R36,"")</f>
        <v>68.704436812754025</v>
      </c>
      <c r="L13" s="26">
        <f>IFERROR(($E$34/($H$35+$H$36)*$H$35)*S36,"")</f>
        <v>17.176109203188506</v>
      </c>
      <c r="M13" s="28">
        <f>IFERROR(K13+L13,"")</f>
        <v>85.880546015942528</v>
      </c>
      <c r="N13" s="29">
        <f>IFERROR(O13+P13+Q13+R13+S13+T13+U13+V13,"")</f>
        <v>17090.22865717256</v>
      </c>
      <c r="O13" s="26">
        <f t="shared" ref="O13:V13" si="4">IFERROR(($E$34/($H$35+$H$36)*$H$35)*J36,"")</f>
        <v>704.22047733072873</v>
      </c>
      <c r="P13" s="26">
        <f t="shared" si="4"/>
        <v>5788.3488014745271</v>
      </c>
      <c r="Q13" s="26">
        <f t="shared" si="4"/>
        <v>9824.734464223824</v>
      </c>
      <c r="R13" s="26">
        <f t="shared" si="4"/>
        <v>721.39658653391723</v>
      </c>
      <c r="S13" s="26">
        <f t="shared" si="4"/>
        <v>0</v>
      </c>
      <c r="T13" s="26">
        <f t="shared" si="4"/>
        <v>0</v>
      </c>
      <c r="U13" s="26">
        <f t="shared" si="4"/>
        <v>51.528327609565515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1153.8907968114936</v>
      </c>
      <c r="I14" s="27">
        <v>0</v>
      </c>
      <c r="J14" s="26">
        <f>IFERROR(H14-I14,"")</f>
        <v>1153.8907968114936</v>
      </c>
      <c r="K14" s="26">
        <f>IFERROR(($E$34/($H$35+$H$36)*$H$36)*R36,"")</f>
        <v>4.615563187245975</v>
      </c>
      <c r="L14" s="26">
        <f>IFERROR(($E$34/($H$35+$H$36)*$H$36)*S36,"")</f>
        <v>1.1538907968114938</v>
      </c>
      <c r="M14" s="28">
        <f>IFERROR(K14+L14,"")</f>
        <v>5.7694539840574688</v>
      </c>
      <c r="N14" s="29">
        <f>IFERROR(O14+P14+Q14+R14+S14+T14+U14+V14,"")</f>
        <v>1148.1213428274361</v>
      </c>
      <c r="O14" s="26">
        <f t="shared" ref="O14:V14" si="5">IFERROR(($E$34/($H$35+$H$36)*$H$36)*J36,"")</f>
        <v>47.309522669271246</v>
      </c>
      <c r="P14" s="26">
        <f t="shared" si="5"/>
        <v>388.86119852547347</v>
      </c>
      <c r="Q14" s="26">
        <f t="shared" si="5"/>
        <v>660.02553577617437</v>
      </c>
      <c r="R14" s="26">
        <f t="shared" si="5"/>
        <v>48.463413466082741</v>
      </c>
      <c r="S14" s="26">
        <f t="shared" si="5"/>
        <v>0</v>
      </c>
      <c r="T14" s="26">
        <f t="shared" si="5"/>
        <v>0</v>
      </c>
      <c r="U14" s="26">
        <f t="shared" si="5"/>
        <v>3.4616723904344817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10799.999999999996</v>
      </c>
      <c r="I16" s="27">
        <v>0</v>
      </c>
      <c r="J16" s="26">
        <f>IFERROR(H16-I16,"")</f>
        <v>10799.999999999996</v>
      </c>
      <c r="K16" s="26">
        <f>IFERROR(($E$38/($H$39)*$H$39)*R40,"")</f>
        <v>32.4</v>
      </c>
      <c r="L16" s="26">
        <f>IFERROR(($E$38/($H$39)*$H$39)*S40,"")</f>
        <v>21.599999999999998</v>
      </c>
      <c r="M16" s="28">
        <f>IFERROR(K16+L16,"")</f>
        <v>54</v>
      </c>
      <c r="N16" s="29">
        <f>IFERROR(O16+P16+Q16+R16+S16+T16+U16+V16,"")</f>
        <v>10745.999999999996</v>
      </c>
      <c r="O16" s="26">
        <f t="shared" ref="O16:V16" si="6">IFERROR(($E$38/($H$39)*$H$39)*J40,"")</f>
        <v>788.39999999999986</v>
      </c>
      <c r="P16" s="26">
        <f t="shared" si="6"/>
        <v>3823.1999999999994</v>
      </c>
      <c r="Q16" s="26">
        <f t="shared" si="6"/>
        <v>5680.7999999999993</v>
      </c>
      <c r="R16" s="26">
        <f t="shared" si="6"/>
        <v>410.39999999999992</v>
      </c>
      <c r="S16" s="26">
        <f t="shared" si="6"/>
        <v>10.799999999999999</v>
      </c>
      <c r="T16" s="26">
        <f t="shared" si="6"/>
        <v>0</v>
      </c>
      <c r="U16" s="26">
        <f t="shared" si="6"/>
        <v>32.4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80175</v>
      </c>
      <c r="I19" s="37">
        <f t="shared" si="7"/>
        <v>0</v>
      </c>
      <c r="J19" s="37">
        <f t="shared" si="7"/>
        <v>80175</v>
      </c>
      <c r="K19" s="37">
        <f t="shared" si="7"/>
        <v>440.34</v>
      </c>
      <c r="L19" s="37">
        <f t="shared" si="7"/>
        <v>119.32499999999999</v>
      </c>
      <c r="M19" s="37">
        <f t="shared" si="7"/>
        <v>559.66499999999996</v>
      </c>
      <c r="N19" s="37">
        <f t="shared" si="7"/>
        <v>79615.334999999992</v>
      </c>
      <c r="O19" s="37">
        <f t="shared" si="7"/>
        <v>2770.665</v>
      </c>
      <c r="P19" s="37">
        <f t="shared" si="7"/>
        <v>18072.599999999999</v>
      </c>
      <c r="Q19" s="37">
        <f t="shared" si="7"/>
        <v>44252.820000000007</v>
      </c>
      <c r="R19" s="37">
        <f t="shared" si="7"/>
        <v>14007.12</v>
      </c>
      <c r="S19" s="37">
        <f t="shared" si="7"/>
        <v>373.69499999999999</v>
      </c>
      <c r="T19" s="37">
        <f t="shared" si="7"/>
        <v>0</v>
      </c>
      <c r="U19" s="37">
        <f t="shared" si="7"/>
        <v>138.435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80174.999999999985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28350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49188</v>
      </c>
      <c r="I27" s="26"/>
      <c r="J27" s="198">
        <f t="shared" ref="J27:S27" si="8">$E26*J28</f>
        <v>708.75</v>
      </c>
      <c r="K27" s="198">
        <f t="shared" si="8"/>
        <v>2353.0500000000002</v>
      </c>
      <c r="L27" s="198">
        <f t="shared" si="8"/>
        <v>13834.8</v>
      </c>
      <c r="M27" s="198">
        <f t="shared" si="8"/>
        <v>10829.7</v>
      </c>
      <c r="N27" s="198">
        <f t="shared" si="8"/>
        <v>340.2</v>
      </c>
      <c r="O27" s="198">
        <f t="shared" si="8"/>
        <v>0</v>
      </c>
      <c r="P27" s="198">
        <f t="shared" si="8"/>
        <v>28.35</v>
      </c>
      <c r="Q27" s="198">
        <f t="shared" si="8"/>
        <v>0</v>
      </c>
      <c r="R27" s="198">
        <f t="shared" si="8"/>
        <v>198.45000000000002</v>
      </c>
      <c r="S27" s="198">
        <f t="shared" si="8"/>
        <v>56.7</v>
      </c>
      <c r="T27" s="199">
        <f>SUM(J27:S27)</f>
        <v>28350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2.5000000000000001E-2</v>
      </c>
      <c r="K28" s="197">
        <f>Inputs!B38</f>
        <v>8.3000000000000004E-2</v>
      </c>
      <c r="L28" s="197">
        <f>Inputs!B39</f>
        <v>0.48799999999999999</v>
      </c>
      <c r="M28" s="197">
        <f>Inputs!B40</f>
        <v>0.38200000000000001</v>
      </c>
      <c r="N28" s="197">
        <f>Inputs!B41</f>
        <v>1.2E-2</v>
      </c>
      <c r="O28" s="197">
        <v>0</v>
      </c>
      <c r="P28" s="197">
        <f>Inputs!B49</f>
        <v>1E-3</v>
      </c>
      <c r="Q28" s="197">
        <f>Inputs!B42</f>
        <v>0</v>
      </c>
      <c r="R28" s="197">
        <f>Inputs!B48+Inputs!B50</f>
        <v>7.0000000000000001E-3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22695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34557</v>
      </c>
      <c r="I31" s="30"/>
      <c r="J31" s="198">
        <f t="shared" ref="J31:S31" si="9">$E30*J32</f>
        <v>521.98500000000001</v>
      </c>
      <c r="K31" s="198">
        <f t="shared" si="9"/>
        <v>5719.14</v>
      </c>
      <c r="L31" s="198">
        <f t="shared" si="9"/>
        <v>14252.460000000001</v>
      </c>
      <c r="M31" s="198">
        <f t="shared" si="9"/>
        <v>1997.1599999999999</v>
      </c>
      <c r="N31" s="198">
        <f t="shared" si="9"/>
        <v>22.695</v>
      </c>
      <c r="O31" s="198">
        <f t="shared" si="9"/>
        <v>0</v>
      </c>
      <c r="P31" s="198">
        <f t="shared" si="9"/>
        <v>22.695</v>
      </c>
      <c r="Q31" s="198">
        <f t="shared" si="9"/>
        <v>0</v>
      </c>
      <c r="R31" s="198">
        <f t="shared" si="9"/>
        <v>136.17000000000002</v>
      </c>
      <c r="S31" s="198">
        <f t="shared" si="9"/>
        <v>22.695</v>
      </c>
      <c r="T31" s="199">
        <f>SUM(J31:S31)</f>
        <v>22694.999999999996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3838</v>
      </c>
      <c r="I32" s="30"/>
      <c r="J32" s="197">
        <f>Inputs!C37</f>
        <v>2.3E-2</v>
      </c>
      <c r="K32" s="197">
        <f>Inputs!C38</f>
        <v>0.252</v>
      </c>
      <c r="L32" s="197">
        <f>Inputs!C39</f>
        <v>0.628</v>
      </c>
      <c r="M32" s="197">
        <f>Inputs!C40</f>
        <v>8.7999999999999995E-2</v>
      </c>
      <c r="N32" s="197">
        <f>Inputs!C41</f>
        <v>1E-3</v>
      </c>
      <c r="O32" s="197">
        <v>0</v>
      </c>
      <c r="P32" s="197">
        <f>Inputs!C49</f>
        <v>1E-3</v>
      </c>
      <c r="Q32" s="197">
        <f>Inputs!C42</f>
        <v>0</v>
      </c>
      <c r="R32" s="197">
        <f>Inputs!C48+Inputs!C50</f>
        <v>6.0000000000000001E-3</v>
      </c>
      <c r="S32" s="197">
        <f>Inputs!C47</f>
        <v>1E-3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18330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29741</v>
      </c>
      <c r="I35" s="30"/>
      <c r="J35" s="198">
        <f t="shared" ref="J35:S35" si="10">$E$34*J36</f>
        <v>751.53000000000009</v>
      </c>
      <c r="K35" s="198">
        <f t="shared" si="10"/>
        <v>6177.21</v>
      </c>
      <c r="L35" s="198">
        <f t="shared" si="10"/>
        <v>10484.759999999998</v>
      </c>
      <c r="M35" s="198">
        <f t="shared" si="10"/>
        <v>769.86</v>
      </c>
      <c r="N35" s="198">
        <f t="shared" si="10"/>
        <v>0</v>
      </c>
      <c r="O35" s="198">
        <f t="shared" si="10"/>
        <v>0</v>
      </c>
      <c r="P35" s="198">
        <f t="shared" si="10"/>
        <v>54.99</v>
      </c>
      <c r="Q35" s="198">
        <f t="shared" si="10"/>
        <v>0</v>
      </c>
      <c r="R35" s="198">
        <f t="shared" si="10"/>
        <v>73.320000000000007</v>
      </c>
      <c r="S35" s="198">
        <f t="shared" si="10"/>
        <v>18.330000000000002</v>
      </c>
      <c r="T35" s="199">
        <f>SUM(J35:S35)</f>
        <v>18330.000000000004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1998</v>
      </c>
      <c r="I36" s="30"/>
      <c r="J36" s="197">
        <f>Inputs!D37</f>
        <v>4.1000000000000002E-2</v>
      </c>
      <c r="K36" s="197">
        <f>Inputs!D38</f>
        <v>0.33700000000000002</v>
      </c>
      <c r="L36" s="197">
        <f>Inputs!D39</f>
        <v>0.57199999999999995</v>
      </c>
      <c r="M36" s="197">
        <f>Inputs!D40</f>
        <v>4.2000000000000003E-2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1E-3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10800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18464</v>
      </c>
      <c r="I39" s="30"/>
      <c r="J39" s="198">
        <f t="shared" ref="J39:S39" si="11">$E38*J40</f>
        <v>788.4</v>
      </c>
      <c r="K39" s="198">
        <f t="shared" si="11"/>
        <v>3823.2</v>
      </c>
      <c r="L39" s="198">
        <f t="shared" si="11"/>
        <v>5680.8</v>
      </c>
      <c r="M39" s="198">
        <f t="shared" si="11"/>
        <v>410.4</v>
      </c>
      <c r="N39" s="198">
        <f t="shared" si="11"/>
        <v>10.8</v>
      </c>
      <c r="O39" s="198">
        <f t="shared" si="11"/>
        <v>0</v>
      </c>
      <c r="P39" s="198">
        <f t="shared" si="11"/>
        <v>32.4</v>
      </c>
      <c r="Q39" s="198">
        <f t="shared" si="11"/>
        <v>0</v>
      </c>
      <c r="R39" s="198">
        <f t="shared" si="11"/>
        <v>32.4</v>
      </c>
      <c r="S39" s="198">
        <f t="shared" si="11"/>
        <v>21.6</v>
      </c>
      <c r="T39" s="199">
        <f>SUM(J39:S39)</f>
        <v>10799.999999999998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7.2999999999999995E-2</v>
      </c>
      <c r="K40" s="197">
        <f>Inputs!E38</f>
        <v>0.35399999999999998</v>
      </c>
      <c r="L40" s="197">
        <f>Inputs!E39</f>
        <v>0.52600000000000002</v>
      </c>
      <c r="M40" s="197">
        <f>Inputs!E40</f>
        <v>3.7999999999999999E-2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3.0000000000000001E-3</v>
      </c>
      <c r="S40" s="197">
        <f>Inputs!E47</f>
        <v>2E-3</v>
      </c>
      <c r="T40" s="200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C21" sqref="C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45935.25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40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660</v>
      </c>
      <c r="C13" s="220">
        <f>'Grade out Information'!X26</f>
        <v>9900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420</v>
      </c>
      <c r="C21" s="220">
        <f>'Grade out Information'!E11</f>
        <v>6300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1080</v>
      </c>
      <c r="C27" s="222">
        <f>SUM(C13:C26)</f>
        <v>16200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L41" sqref="L41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40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6300</v>
      </c>
      <c r="F11" s="217"/>
      <c r="G11" s="228">
        <f>SUM(C11:F11)</f>
        <v>6300</v>
      </c>
      <c r="H11" s="229">
        <f>G11/15</f>
        <v>420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8099.9999999999991</v>
      </c>
      <c r="J15" s="133">
        <f>X15*K15</f>
        <v>874.80000000000007</v>
      </c>
      <c r="K15" s="184">
        <f>Inputs!B36</f>
        <v>0.10800000000000001</v>
      </c>
      <c r="L15" s="133">
        <f>X15*M15</f>
        <v>3952.7999999999997</v>
      </c>
      <c r="M15" s="184">
        <f>Inputs!B39</f>
        <v>0.48799999999999999</v>
      </c>
      <c r="N15" s="133">
        <f>X15*O15</f>
        <v>3094.2000000000003</v>
      </c>
      <c r="O15" s="184">
        <f>Inputs!B40</f>
        <v>0.38200000000000001</v>
      </c>
      <c r="P15" s="133">
        <f>X15*Q15</f>
        <v>97.2</v>
      </c>
      <c r="Q15" s="184">
        <f>Inputs!B41</f>
        <v>1.2E-2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81</v>
      </c>
      <c r="W15" s="185">
        <f>Inputs!B43</f>
        <v>0.01</v>
      </c>
      <c r="X15" s="213">
        <f>Z15*15</f>
        <v>8100</v>
      </c>
      <c r="Y15" s="209">
        <f>K15+M15+O15+Q15+S15+U15+W15</f>
        <v>1</v>
      </c>
      <c r="Z15" s="226">
        <f>Inputs!I35</f>
        <v>540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0.27500000000000002</v>
      </c>
      <c r="L17" s="133">
        <f>X17*M17</f>
        <v>0</v>
      </c>
      <c r="M17" s="184">
        <f>Inputs!C39</f>
        <v>0.628</v>
      </c>
      <c r="N17" s="133">
        <f>X17*O17</f>
        <v>0</v>
      </c>
      <c r="O17" s="184">
        <f>Inputs!C40</f>
        <v>8.7999999999999995E-2</v>
      </c>
      <c r="P17" s="133">
        <f>X17*Q17</f>
        <v>0</v>
      </c>
      <c r="Q17" s="184">
        <f>Inputs!C41</f>
        <v>1E-3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1800.0000000000002</v>
      </c>
      <c r="J18" s="133">
        <f>X18*K18</f>
        <v>495.00000000000006</v>
      </c>
      <c r="K18" s="184">
        <f>K17</f>
        <v>0.27500000000000002</v>
      </c>
      <c r="L18" s="133">
        <f>X18*M18</f>
        <v>1130.4000000000001</v>
      </c>
      <c r="M18" s="184">
        <f>M17</f>
        <v>0.628</v>
      </c>
      <c r="N18" s="133">
        <f>X18*O18</f>
        <v>158.39999999999998</v>
      </c>
      <c r="O18" s="184">
        <f>O17</f>
        <v>8.7999999999999995E-2</v>
      </c>
      <c r="P18" s="133">
        <f>X18*Q18</f>
        <v>1.8</v>
      </c>
      <c r="Q18" s="184">
        <f>Q17</f>
        <v>1E-3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14.4</v>
      </c>
      <c r="W18" s="185">
        <f>W17</f>
        <v>8.0000000000000002E-3</v>
      </c>
      <c r="X18" s="213">
        <f>Z18*15</f>
        <v>1800</v>
      </c>
      <c r="Y18" s="209">
        <f>K18+M18+O18+Q18+S18+U18+W18</f>
        <v>1</v>
      </c>
      <c r="Z18" s="226">
        <f>Inputs!I37</f>
        <v>120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0</v>
      </c>
      <c r="J20" s="133">
        <f>X20*K20</f>
        <v>0</v>
      </c>
      <c r="K20" s="184">
        <f>Inputs!D36</f>
        <v>0.378</v>
      </c>
      <c r="L20" s="133">
        <f>X20*M20</f>
        <v>0</v>
      </c>
      <c r="M20" s="184">
        <f>Inputs!D39</f>
        <v>0.57199999999999995</v>
      </c>
      <c r="N20" s="133">
        <f>X20*O20</f>
        <v>0</v>
      </c>
      <c r="O20" s="184">
        <f>Inputs!D40</f>
        <v>4.2000000000000003E-2</v>
      </c>
      <c r="P20" s="133">
        <f>X20*Q20</f>
        <v>0</v>
      </c>
      <c r="Q20" s="184">
        <f>Inputs!D41</f>
        <v>0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0</v>
      </c>
      <c r="W20" s="185">
        <f>Inputs!D43</f>
        <v>8.0000000000000002E-3</v>
      </c>
      <c r="X20" s="213">
        <f>Z20*15</f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0.378</v>
      </c>
      <c r="L21" s="133">
        <f>X21*M21</f>
        <v>0</v>
      </c>
      <c r="M21" s="184">
        <f>M20</f>
        <v>0.57199999999999995</v>
      </c>
      <c r="N21" s="133">
        <f>X21*O21</f>
        <v>0</v>
      </c>
      <c r="O21" s="184">
        <f>O20</f>
        <v>4.2000000000000003E-2</v>
      </c>
      <c r="P21" s="133">
        <f>X21*Q21</f>
        <v>0</v>
      </c>
      <c r="Q21" s="184">
        <f>Q20</f>
        <v>0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8.0000000000000002E-3</v>
      </c>
      <c r="X21" s="213">
        <f>Z21*15</f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0.42699999999999999</v>
      </c>
      <c r="L23" s="133">
        <f>X23*M23</f>
        <v>0</v>
      </c>
      <c r="M23" s="184">
        <f>Inputs!E39</f>
        <v>0.52600000000000002</v>
      </c>
      <c r="N23" s="133">
        <f>X23*O23</f>
        <v>0</v>
      </c>
      <c r="O23" s="184">
        <f>Inputs!E40</f>
        <v>3.7999999999999999E-2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8.0000000000000002E-3</v>
      </c>
      <c r="X23" s="213">
        <f>Z23*15</f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6300</v>
      </c>
      <c r="F26" s="139">
        <f>SUM(F11:F25)</f>
        <v>0</v>
      </c>
      <c r="G26" s="139">
        <f>G11+G12</f>
        <v>6300</v>
      </c>
      <c r="H26" s="139">
        <f>SUM(H11+H12)</f>
        <v>420</v>
      </c>
      <c r="I26" s="141"/>
      <c r="J26" s="139">
        <f>SUM(J15:J25)</f>
        <v>1369.8000000000002</v>
      </c>
      <c r="K26" s="139"/>
      <c r="L26" s="139">
        <f>SUM(L15:L25)</f>
        <v>5083.2</v>
      </c>
      <c r="M26" s="139"/>
      <c r="N26" s="139">
        <f>SUM(N15:N25)</f>
        <v>3252.6000000000004</v>
      </c>
      <c r="O26" s="139"/>
      <c r="P26" s="139">
        <f>SUM(P15:P25)</f>
        <v>99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95.4</v>
      </c>
      <c r="W26" s="139"/>
      <c r="X26" s="139">
        <f>SUM(X15:X25)</f>
        <v>9900</v>
      </c>
      <c r="Y26" s="139"/>
      <c r="Z26" s="139">
        <f>SUM(Z15:Z25)</f>
        <v>660</v>
      </c>
      <c r="AA26" s="141">
        <f>IF(Z33=0,0,Z33/(H33+Z33))</f>
        <v>0</v>
      </c>
      <c r="AB26" s="139">
        <f>G26+X26</f>
        <v>16200</v>
      </c>
      <c r="AC26" s="139">
        <f>H26+Z26</f>
        <v>1080</v>
      </c>
      <c r="AD26" s="141">
        <f>I26+AA26</f>
        <v>0</v>
      </c>
    </row>
    <row r="30" spans="1:30" x14ac:dyDescent="0.2">
      <c r="A30" s="3" t="s">
        <v>100</v>
      </c>
      <c r="B30">
        <f>J26</f>
        <v>1369.8000000000002</v>
      </c>
    </row>
    <row r="31" spans="1:30" x14ac:dyDescent="0.2">
      <c r="A31" s="3" t="s">
        <v>101</v>
      </c>
      <c r="B31">
        <f>L26</f>
        <v>5083.2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3252.6000000000004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99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95.4</v>
      </c>
    </row>
    <row r="38" spans="1:13" x14ac:dyDescent="0.2">
      <c r="A38" s="3" t="s">
        <v>119</v>
      </c>
      <c r="B38">
        <f>SUM(B30:B36)</f>
        <v>9900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tabSelected="1" zoomScaleNormal="100" workbookViewId="0">
      <selection activeCell="I20" sqref="I20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49188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34557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3838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29741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1998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18464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6" sqref="N26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40</v>
      </c>
      <c r="C7" s="151">
        <v>941072</v>
      </c>
      <c r="D7" s="188" t="s">
        <v>5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1333</v>
      </c>
      <c r="J7" s="189">
        <f>IF(H7="NEW",203, IF(H7="OLD",192,0))</f>
        <v>203</v>
      </c>
      <c r="K7" s="151">
        <v>1536</v>
      </c>
      <c r="L7" s="211">
        <f>IF(K7&gt;0,I7/E7,"NA")</f>
        <v>22.216666666666665</v>
      </c>
      <c r="M7" s="151">
        <v>135191</v>
      </c>
      <c r="N7" s="152" t="s">
        <v>235</v>
      </c>
      <c r="O7" s="157" t="s">
        <v>47</v>
      </c>
      <c r="P7" s="187">
        <f>IF(D7=Inputs!F$4,Inputs!I$4,IF(D7=Inputs!F$2,Inputs!I$2,IF(D7=Inputs!F$3,Inputs!I$3,IF(D7=Inputs!F$5,Inputs!I$5,"NA"))))</f>
        <v>26.464285714285715</v>
      </c>
    </row>
    <row r="8" spans="1:16" x14ac:dyDescent="0.25">
      <c r="A8" s="148">
        <v>2</v>
      </c>
      <c r="B8" s="189">
        <f>Inputs!C$2</f>
        <v>40</v>
      </c>
      <c r="C8" s="151">
        <v>941073</v>
      </c>
      <c r="D8" s="188" t="s">
        <v>6</v>
      </c>
      <c r="E8" s="148">
        <v>60</v>
      </c>
      <c r="F8" s="188"/>
      <c r="G8" s="188" t="s">
        <v>10</v>
      </c>
      <c r="H8" s="191" t="s">
        <v>201</v>
      </c>
      <c r="I8" s="210" t="str">
        <f t="shared" ref="I8:I70" si="0">IF(K8&gt;0,K8-J8,"NA")</f>
        <v>NA</v>
      </c>
      <c r="J8" s="189">
        <f>IF(H8="NEW",203, IF(H8="OLD",192,0))</f>
        <v>203</v>
      </c>
      <c r="K8" s="151"/>
      <c r="L8" s="211" t="str">
        <f>IF(K8&gt;0,I8/E8,"NA")</f>
        <v>NA</v>
      </c>
      <c r="M8" s="151">
        <v>135191</v>
      </c>
      <c r="N8" s="152" t="s">
        <v>235</v>
      </c>
      <c r="O8" s="157" t="s">
        <v>10</v>
      </c>
      <c r="P8" s="187" t="str">
        <f>IF(D8=Inputs!F$4,Inputs!I$4,IF(D8=Inputs!F$2,Inputs!I$2,IF(D8=Inputs!F$3,Inputs!I$3,IF(D8=Inputs!F$5,Inputs!I$5,"NA"))))</f>
        <v>NA</v>
      </c>
    </row>
    <row r="9" spans="1:16" x14ac:dyDescent="0.25">
      <c r="A9" s="148">
        <v>3</v>
      </c>
      <c r="B9" s="189">
        <f>Inputs!C$2</f>
        <v>40</v>
      </c>
      <c r="C9" s="151">
        <v>941074</v>
      </c>
      <c r="D9" s="188" t="s">
        <v>6</v>
      </c>
      <c r="E9" s="148">
        <v>60</v>
      </c>
      <c r="F9" s="188"/>
      <c r="G9" s="188" t="s">
        <v>10</v>
      </c>
      <c r="H9" s="191" t="s">
        <v>201</v>
      </c>
      <c r="I9" s="210" t="str">
        <f t="shared" si="0"/>
        <v>NA</v>
      </c>
      <c r="J9" s="189">
        <f>IF(H9="NEW",203, IF(H9="OLD",192,0))</f>
        <v>203</v>
      </c>
      <c r="K9" s="151"/>
      <c r="L9" s="211" t="str">
        <f t="shared" ref="L9:L72" si="1">IF(K9&gt;0,I9/E9,"NA")</f>
        <v>NA</v>
      </c>
      <c r="M9" s="151">
        <v>135191</v>
      </c>
      <c r="N9" s="152" t="s">
        <v>235</v>
      </c>
      <c r="O9" s="157" t="s">
        <v>10</v>
      </c>
      <c r="P9" s="187" t="str">
        <f>IF(D9=Inputs!F$4,Inputs!I$4,IF(D9=Inputs!F$2,Inputs!I$2,IF(D9=Inputs!F$3,Inputs!I$3,IF(D9=Inputs!F$5,Inputs!I$5,"NA"))))</f>
        <v>NA</v>
      </c>
    </row>
    <row r="10" spans="1:16" x14ac:dyDescent="0.25">
      <c r="A10" s="148">
        <v>4</v>
      </c>
      <c r="B10" s="189">
        <f>Inputs!C$2</f>
        <v>40</v>
      </c>
      <c r="C10" s="151">
        <v>941075</v>
      </c>
      <c r="D10" s="188" t="s">
        <v>6</v>
      </c>
      <c r="E10" s="148">
        <v>60</v>
      </c>
      <c r="F10" s="188"/>
      <c r="G10" s="188" t="s">
        <v>10</v>
      </c>
      <c r="H10" s="191" t="s">
        <v>201</v>
      </c>
      <c r="I10" s="210" t="str">
        <f t="shared" si="0"/>
        <v>NA</v>
      </c>
      <c r="J10" s="189">
        <f>IF(H10="NEW",203, IF(H10="OLD",192,0))</f>
        <v>203</v>
      </c>
      <c r="K10" s="151"/>
      <c r="L10" s="211" t="str">
        <f t="shared" si="1"/>
        <v>NA</v>
      </c>
      <c r="M10" s="151">
        <v>135191</v>
      </c>
      <c r="N10" s="152" t="s">
        <v>235</v>
      </c>
      <c r="O10" s="157" t="s">
        <v>10</v>
      </c>
      <c r="P10" s="187" t="str">
        <f>IF(D10=Inputs!F$4,Inputs!I$4,IF(D10=Inputs!F$2,Inputs!I$2,IF(D10=Inputs!F$3,Inputs!I$3,IF(D10=Inputs!F$5,Inputs!I$5,"NA"))))</f>
        <v>NA</v>
      </c>
    </row>
    <row r="11" spans="1:16" x14ac:dyDescent="0.25">
      <c r="A11" s="148">
        <v>5</v>
      </c>
      <c r="B11" s="189">
        <f>Inputs!C$2</f>
        <v>40</v>
      </c>
      <c r="C11" s="151">
        <v>941076</v>
      </c>
      <c r="D11" s="188" t="s">
        <v>5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1371</v>
      </c>
      <c r="J11" s="189">
        <f t="shared" ref="J11:J72" si="2">IF(H11="NEW",203, IF(H11="OLD",192,0))</f>
        <v>203</v>
      </c>
      <c r="K11" s="151">
        <v>1574</v>
      </c>
      <c r="L11" s="211">
        <f>IF(K11&gt;0,I11/E11,"NA")</f>
        <v>22.85</v>
      </c>
      <c r="M11" s="151">
        <v>135191</v>
      </c>
      <c r="N11" s="152" t="s">
        <v>235</v>
      </c>
      <c r="O11" s="157" t="s">
        <v>47</v>
      </c>
      <c r="P11" s="187">
        <f>IF(D11=Inputs!F$4,Inputs!I$4,IF(D11=Inputs!F$2,Inputs!I$2,IF(D11=Inputs!F$3,Inputs!I$3,IF(D11=Inputs!F$5,Inputs!I$5,"NA"))))</f>
        <v>26.464285714285715</v>
      </c>
    </row>
    <row r="12" spans="1:16" x14ac:dyDescent="0.25">
      <c r="A12" s="148">
        <v>6</v>
      </c>
      <c r="B12" s="189">
        <f>Inputs!C$2</f>
        <v>40</v>
      </c>
      <c r="C12" s="151">
        <v>941077</v>
      </c>
      <c r="D12" s="188" t="s">
        <v>5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1369</v>
      </c>
      <c r="J12" s="189">
        <f t="shared" si="2"/>
        <v>203</v>
      </c>
      <c r="K12" s="151">
        <v>1572</v>
      </c>
      <c r="L12" s="211">
        <f t="shared" si="1"/>
        <v>22.816666666666666</v>
      </c>
      <c r="M12" s="151">
        <v>135191</v>
      </c>
      <c r="N12" s="152" t="s">
        <v>235</v>
      </c>
      <c r="O12" s="157" t="s">
        <v>47</v>
      </c>
      <c r="P12" s="187">
        <f>IF(D12=Inputs!F$4,Inputs!I$4,IF(D12=Inputs!F$2,Inputs!I$2,IF(D12=Inputs!F$3,Inputs!I$3,IF(D12=Inputs!F$5,Inputs!I$5,"NA"))))</f>
        <v>26.464285714285715</v>
      </c>
    </row>
    <row r="13" spans="1:16" x14ac:dyDescent="0.25">
      <c r="A13" s="148">
        <v>7</v>
      </c>
      <c r="B13" s="189">
        <f>Inputs!C$2</f>
        <v>40</v>
      </c>
      <c r="C13" s="151">
        <v>941078</v>
      </c>
      <c r="D13" s="188" t="s">
        <v>5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1353</v>
      </c>
      <c r="J13" s="189">
        <f t="shared" si="2"/>
        <v>203</v>
      </c>
      <c r="K13" s="151">
        <v>1556</v>
      </c>
      <c r="L13" s="211">
        <f t="shared" si="1"/>
        <v>22.55</v>
      </c>
      <c r="M13" s="151">
        <v>135191</v>
      </c>
      <c r="N13" s="152" t="s">
        <v>235</v>
      </c>
      <c r="O13" s="157" t="s">
        <v>47</v>
      </c>
      <c r="P13" s="187">
        <f>IF(D13=Inputs!F$4,Inputs!I$4,IF(D13=Inputs!F$2,Inputs!I$2,IF(D13=Inputs!F$3,Inputs!I$3,IF(D13=Inputs!F$5,Inputs!I$5,"NA"))))</f>
        <v>26.464285714285715</v>
      </c>
    </row>
    <row r="14" spans="1:16" x14ac:dyDescent="0.25">
      <c r="A14" s="148">
        <v>8</v>
      </c>
      <c r="B14" s="189">
        <f>Inputs!C$2</f>
        <v>40</v>
      </c>
      <c r="C14" s="151">
        <v>941079</v>
      </c>
      <c r="D14" s="188" t="s">
        <v>5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1359</v>
      </c>
      <c r="J14" s="189">
        <f t="shared" si="2"/>
        <v>203</v>
      </c>
      <c r="K14" s="151">
        <v>1562</v>
      </c>
      <c r="L14" s="211">
        <f t="shared" si="1"/>
        <v>22.65</v>
      </c>
      <c r="M14" s="151">
        <v>135191</v>
      </c>
      <c r="N14" s="152" t="s">
        <v>235</v>
      </c>
      <c r="O14" s="157" t="s">
        <v>47</v>
      </c>
      <c r="P14" s="187">
        <f>IF(D14=Inputs!F$4,Inputs!I$4,IF(D14=Inputs!F$2,Inputs!I$2,IF(D14=Inputs!F$3,Inputs!I$3,IF(D14=Inputs!F$5,Inputs!I$5,"NA"))))</f>
        <v>26.464285714285715</v>
      </c>
    </row>
    <row r="15" spans="1:16" x14ac:dyDescent="0.25">
      <c r="A15" s="148">
        <v>9</v>
      </c>
      <c r="B15" s="189">
        <f>Inputs!C$2</f>
        <v>40</v>
      </c>
      <c r="C15" s="151">
        <v>941080</v>
      </c>
      <c r="D15" s="188" t="s">
        <v>168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1469</v>
      </c>
      <c r="J15" s="189">
        <f t="shared" si="2"/>
        <v>203</v>
      </c>
      <c r="K15" s="151">
        <v>1672</v>
      </c>
      <c r="L15" s="211">
        <f t="shared" si="1"/>
        <v>24.483333333333334</v>
      </c>
      <c r="M15" s="151">
        <v>135191</v>
      </c>
      <c r="N15" s="152" t="s">
        <v>235</v>
      </c>
      <c r="O15" s="157" t="s">
        <v>48</v>
      </c>
      <c r="P15" s="187">
        <f>IF(D15=Inputs!F$4,Inputs!I$4,IF(D15=Inputs!F$2,Inputs!I$2,IF(D15=Inputs!F$3,Inputs!I$3,IF(D15=Inputs!F$5,Inputs!I$5,"NA"))))</f>
        <v>51.892857142857146</v>
      </c>
    </row>
    <row r="16" spans="1:16" x14ac:dyDescent="0.25">
      <c r="A16" s="148">
        <v>10</v>
      </c>
      <c r="B16" s="189">
        <f>Inputs!C$2</f>
        <v>40</v>
      </c>
      <c r="C16" s="151">
        <v>941081</v>
      </c>
      <c r="D16" s="188" t="s">
        <v>5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1367</v>
      </c>
      <c r="J16" s="189">
        <f t="shared" si="2"/>
        <v>203</v>
      </c>
      <c r="K16" s="151">
        <v>1570</v>
      </c>
      <c r="L16" s="211">
        <f t="shared" si="1"/>
        <v>22.783333333333335</v>
      </c>
      <c r="M16" s="151">
        <v>135191</v>
      </c>
      <c r="N16" s="152" t="s">
        <v>235</v>
      </c>
      <c r="O16" s="157" t="s">
        <v>47</v>
      </c>
      <c r="P16" s="187">
        <f>IF(D16=Inputs!F$4,Inputs!I$4,IF(D16=Inputs!F$2,Inputs!I$2,IF(D16=Inputs!F$3,Inputs!I$3,IF(D16=Inputs!F$5,Inputs!I$5,"NA"))))</f>
        <v>26.464285714285715</v>
      </c>
    </row>
    <row r="17" spans="1:16" x14ac:dyDescent="0.25">
      <c r="A17" s="148">
        <v>11</v>
      </c>
      <c r="B17" s="189">
        <f>Inputs!C$2</f>
        <v>40</v>
      </c>
      <c r="C17" s="151">
        <v>941082</v>
      </c>
      <c r="D17" s="188" t="s">
        <v>168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1479</v>
      </c>
      <c r="J17" s="189">
        <f t="shared" si="2"/>
        <v>203</v>
      </c>
      <c r="K17" s="151">
        <v>1682</v>
      </c>
      <c r="L17" s="211">
        <f t="shared" si="1"/>
        <v>24.65</v>
      </c>
      <c r="M17" s="151">
        <v>135191</v>
      </c>
      <c r="N17" s="152" t="s">
        <v>235</v>
      </c>
      <c r="O17" s="157" t="s">
        <v>48</v>
      </c>
      <c r="P17" s="187">
        <f>IF(D17=Inputs!F$4,Inputs!I$4,IF(D17=Inputs!F$2,Inputs!I$2,IF(D17=Inputs!F$3,Inputs!I$3,IF(D17=Inputs!F$5,Inputs!I$5,"NA"))))</f>
        <v>51.892857142857146</v>
      </c>
    </row>
    <row r="18" spans="1:16" x14ac:dyDescent="0.25">
      <c r="A18" s="148">
        <v>12</v>
      </c>
      <c r="B18" s="189">
        <f>Inputs!C$2</f>
        <v>40</v>
      </c>
      <c r="C18" s="151">
        <v>941083</v>
      </c>
      <c r="D18" s="188" t="s">
        <v>5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1361</v>
      </c>
      <c r="J18" s="189">
        <f t="shared" si="2"/>
        <v>203</v>
      </c>
      <c r="K18" s="151">
        <v>1564</v>
      </c>
      <c r="L18" s="211">
        <f t="shared" si="1"/>
        <v>22.683333333333334</v>
      </c>
      <c r="M18" s="151">
        <v>135191</v>
      </c>
      <c r="N18" s="152" t="s">
        <v>235</v>
      </c>
      <c r="O18" s="157" t="s">
        <v>47</v>
      </c>
      <c r="P18" s="187">
        <f>IF(D18=Inputs!F$4,Inputs!I$4,IF(D18=Inputs!F$2,Inputs!I$2,IF(D18=Inputs!F$3,Inputs!I$3,IF(D18=Inputs!F$5,Inputs!I$5,"NA"))))</f>
        <v>26.464285714285715</v>
      </c>
    </row>
    <row r="19" spans="1:16" x14ac:dyDescent="0.25">
      <c r="A19" s="148">
        <v>13</v>
      </c>
      <c r="B19" s="189">
        <f>Inputs!C$2</f>
        <v>40</v>
      </c>
      <c r="C19" s="151">
        <v>941084</v>
      </c>
      <c r="D19" s="188" t="s">
        <v>5</v>
      </c>
      <c r="E19" s="148">
        <v>60</v>
      </c>
      <c r="F19" s="188" t="s">
        <v>113</v>
      </c>
      <c r="G19" s="188"/>
      <c r="H19" s="191" t="s">
        <v>201</v>
      </c>
      <c r="I19" s="210">
        <f t="shared" si="0"/>
        <v>1355</v>
      </c>
      <c r="J19" s="189">
        <f t="shared" si="2"/>
        <v>203</v>
      </c>
      <c r="K19" s="151">
        <v>1558</v>
      </c>
      <c r="L19" s="211">
        <f t="shared" si="1"/>
        <v>22.583333333333332</v>
      </c>
      <c r="M19" s="151">
        <v>135191</v>
      </c>
      <c r="N19" s="152" t="s">
        <v>235</v>
      </c>
      <c r="O19" s="157" t="s">
        <v>47</v>
      </c>
      <c r="P19" s="187">
        <f>IF(D19=Inputs!F$4,Inputs!I$4,IF(D19=Inputs!F$2,Inputs!I$2,IF(D19=Inputs!F$3,Inputs!I$3,IF(D19=Inputs!F$5,Inputs!I$5,"NA"))))</f>
        <v>26.464285714285715</v>
      </c>
    </row>
    <row r="20" spans="1:16" x14ac:dyDescent="0.25">
      <c r="A20" s="148">
        <v>14</v>
      </c>
      <c r="B20" s="189">
        <f>Inputs!C$2</f>
        <v>40</v>
      </c>
      <c r="C20" s="151">
        <v>941085</v>
      </c>
      <c r="D20" s="188" t="s">
        <v>5</v>
      </c>
      <c r="E20" s="148">
        <v>60</v>
      </c>
      <c r="F20" s="188" t="s">
        <v>113</v>
      </c>
      <c r="G20" s="188"/>
      <c r="H20" s="191" t="s">
        <v>201</v>
      </c>
      <c r="I20" s="210">
        <f t="shared" si="0"/>
        <v>1369</v>
      </c>
      <c r="J20" s="189">
        <f t="shared" si="2"/>
        <v>203</v>
      </c>
      <c r="K20" s="151">
        <v>1572</v>
      </c>
      <c r="L20" s="211">
        <f t="shared" si="1"/>
        <v>22.816666666666666</v>
      </c>
      <c r="M20" s="151">
        <v>135191</v>
      </c>
      <c r="N20" s="152" t="s">
        <v>235</v>
      </c>
      <c r="O20" s="157" t="s">
        <v>47</v>
      </c>
      <c r="P20" s="187">
        <f>IF(D20=Inputs!F$4,Inputs!I$4,IF(D20=Inputs!F$2,Inputs!I$2,IF(D20=Inputs!F$3,Inputs!I$3,IF(D20=Inputs!F$5,Inputs!I$5,"NA"))))</f>
        <v>26.464285714285715</v>
      </c>
    </row>
    <row r="21" spans="1:16" x14ac:dyDescent="0.25">
      <c r="A21" s="148">
        <v>15</v>
      </c>
      <c r="B21" s="189">
        <f>Inputs!C$2</f>
        <v>40</v>
      </c>
      <c r="C21" s="151">
        <v>941086</v>
      </c>
      <c r="D21" s="188" t="s">
        <v>6</v>
      </c>
      <c r="E21" s="148">
        <v>60</v>
      </c>
      <c r="F21" s="188"/>
      <c r="G21" s="188" t="s">
        <v>10</v>
      </c>
      <c r="H21" s="191" t="s">
        <v>201</v>
      </c>
      <c r="I21" s="210" t="str">
        <f t="shared" si="0"/>
        <v>NA</v>
      </c>
      <c r="J21" s="189">
        <f t="shared" si="2"/>
        <v>203</v>
      </c>
      <c r="K21" s="151"/>
      <c r="L21" s="211" t="str">
        <f t="shared" si="1"/>
        <v>NA</v>
      </c>
      <c r="M21" s="151">
        <v>135191</v>
      </c>
      <c r="N21" s="152" t="s">
        <v>235</v>
      </c>
      <c r="O21" s="157" t="s">
        <v>10</v>
      </c>
      <c r="P21" s="187" t="str">
        <f>IF(D21=Inputs!F$4,Inputs!I$4,IF(D21=Inputs!F$2,Inputs!I$2,IF(D21=Inputs!F$3,Inputs!I$3,IF(D21=Inputs!F$5,Inputs!I$5,"NA"))))</f>
        <v>NA</v>
      </c>
    </row>
    <row r="22" spans="1:16" x14ac:dyDescent="0.25">
      <c r="A22" s="148">
        <v>16</v>
      </c>
      <c r="B22" s="189">
        <f>Inputs!C$2</f>
        <v>40</v>
      </c>
      <c r="C22" s="151">
        <v>941087</v>
      </c>
      <c r="D22" s="188" t="s">
        <v>6</v>
      </c>
      <c r="E22" s="148">
        <v>60</v>
      </c>
      <c r="F22" s="188"/>
      <c r="G22" s="188" t="s">
        <v>10</v>
      </c>
      <c r="H22" s="191" t="s">
        <v>201</v>
      </c>
      <c r="I22" s="210" t="str">
        <f t="shared" si="0"/>
        <v>NA</v>
      </c>
      <c r="J22" s="189">
        <f t="shared" si="2"/>
        <v>203</v>
      </c>
      <c r="K22" s="235"/>
      <c r="L22" s="211" t="str">
        <f t="shared" si="1"/>
        <v>NA</v>
      </c>
      <c r="M22" s="151">
        <v>135191</v>
      </c>
      <c r="N22" s="152" t="s">
        <v>235</v>
      </c>
      <c r="O22" s="157" t="s">
        <v>10</v>
      </c>
      <c r="P22" s="187" t="str">
        <f>IF(D22=Inputs!F$4,Inputs!I$4,IF(D22=Inputs!F$2,Inputs!I$2,IF(D22=Inputs!F$3,Inputs!I$3,IF(D22=Inputs!F$5,Inputs!I$5,"NA"))))</f>
        <v>NA</v>
      </c>
    </row>
    <row r="23" spans="1:16" x14ac:dyDescent="0.25">
      <c r="A23" s="148">
        <v>17</v>
      </c>
      <c r="B23" s="189">
        <f>Inputs!C$2</f>
        <v>40</v>
      </c>
      <c r="C23" s="151">
        <v>941088</v>
      </c>
      <c r="D23" s="188" t="s">
        <v>6</v>
      </c>
      <c r="E23" s="148">
        <v>60</v>
      </c>
      <c r="F23" s="188"/>
      <c r="G23" s="188" t="s">
        <v>10</v>
      </c>
      <c r="H23" s="191" t="s">
        <v>201</v>
      </c>
      <c r="I23" s="210" t="str">
        <f t="shared" si="0"/>
        <v>NA</v>
      </c>
      <c r="J23" s="189">
        <f t="shared" si="2"/>
        <v>203</v>
      </c>
      <c r="K23" s="151"/>
      <c r="L23" s="211" t="str">
        <f t="shared" si="1"/>
        <v>NA</v>
      </c>
      <c r="M23" s="151">
        <v>135191</v>
      </c>
      <c r="N23" s="152" t="s">
        <v>235</v>
      </c>
      <c r="O23" s="157" t="s">
        <v>10</v>
      </c>
      <c r="P23" s="187" t="str">
        <f>IF(D23=Inputs!F$4,Inputs!I$4,IF(D23=Inputs!F$2,Inputs!I$2,IF(D23=Inputs!F$3,Inputs!I$3,IF(D23=Inputs!F$5,Inputs!I$5,"NA"))))</f>
        <v>NA</v>
      </c>
    </row>
    <row r="24" spans="1:16" x14ac:dyDescent="0.25">
      <c r="A24" s="148">
        <v>18</v>
      </c>
      <c r="B24" s="189">
        <f>Inputs!C$2</f>
        <v>40</v>
      </c>
      <c r="C24" s="151">
        <v>941089</v>
      </c>
      <c r="D24" s="188" t="s">
        <v>6</v>
      </c>
      <c r="E24" s="148">
        <v>60</v>
      </c>
      <c r="F24" s="188"/>
      <c r="G24" s="188" t="s">
        <v>10</v>
      </c>
      <c r="H24" s="191" t="s">
        <v>201</v>
      </c>
      <c r="I24" s="210" t="str">
        <f t="shared" si="0"/>
        <v>NA</v>
      </c>
      <c r="J24" s="189">
        <f t="shared" si="2"/>
        <v>203</v>
      </c>
      <c r="K24" s="151"/>
      <c r="L24" s="211" t="str">
        <f t="shared" si="1"/>
        <v>NA</v>
      </c>
      <c r="M24" s="151">
        <v>135191</v>
      </c>
      <c r="N24" s="152" t="s">
        <v>235</v>
      </c>
      <c r="O24" s="157" t="s">
        <v>10</v>
      </c>
      <c r="P24" s="187" t="str">
        <f>IF(D24=Inputs!F$4,Inputs!I$4,IF(D24=Inputs!F$2,Inputs!I$2,IF(D24=Inputs!F$3,Inputs!I$3,IF(D24=Inputs!F$5,Inputs!I$5,"NA"))))</f>
        <v>NA</v>
      </c>
    </row>
    <row r="25" spans="1:16" x14ac:dyDescent="0.25">
      <c r="A25" s="148">
        <v>19</v>
      </c>
      <c r="B25" s="189">
        <f>Inputs!C$2</f>
        <v>40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IF(D25=Inputs!F$4,Inputs!I$4,IF(D25=Inputs!F$2,Inputs!I$2,IF(D25=Inputs!F$3,Inputs!I$3,IF(D25=Inputs!F$5,Inputs!I$5,"NA"))))</f>
        <v>NA</v>
      </c>
    </row>
    <row r="26" spans="1:16" x14ac:dyDescent="0.25">
      <c r="A26" s="148">
        <v>20</v>
      </c>
      <c r="B26" s="189">
        <f>Inputs!C$2</f>
        <v>40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IF(D26=Inputs!F$4,Inputs!I$4,IF(D26=Inputs!F$2,Inputs!I$2,IF(D26=Inputs!F$3,Inputs!I$3,IF(D26=Inputs!F$5,Inputs!I$5,"NA"))))</f>
        <v>NA</v>
      </c>
    </row>
    <row r="27" spans="1:16" x14ac:dyDescent="0.25">
      <c r="A27" s="148">
        <v>21</v>
      </c>
      <c r="B27" s="189">
        <f>Inputs!C$2</f>
        <v>40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40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40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40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40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40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40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40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40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40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40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40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40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40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40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40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40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40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40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40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40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40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40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40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40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40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40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40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40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40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40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40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40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40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40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40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40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40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40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40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40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40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40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40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40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40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40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40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40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40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40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40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40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40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40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40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19" sqref="J19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40</v>
      </c>
      <c r="F2" s="166" t="s">
        <v>5</v>
      </c>
      <c r="G2" s="186">
        <v>45750</v>
      </c>
      <c r="I2" s="205">
        <f>(C$3-G2)/7</f>
        <v>26.464285714285715</v>
      </c>
      <c r="J2" s="230">
        <f>I2-19</f>
        <v>7.4642857142857153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45935.25</v>
      </c>
      <c r="D3" s="247"/>
      <c r="F3" s="166" t="s">
        <v>168</v>
      </c>
      <c r="G3" s="186">
        <v>45572</v>
      </c>
      <c r="I3" s="205">
        <f>(C$3-G3)/7</f>
        <v>51.892857142857146</v>
      </c>
      <c r="J3" s="230">
        <f>I3-19</f>
        <v>32.892857142857146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38.892857142857146</v>
      </c>
      <c r="J4" s="230">
        <f>I4-19</f>
        <v>19.892857142857146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69.464285714285708</v>
      </c>
      <c r="J5" s="230">
        <f>I5-19</f>
        <v>50.464285714285708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239</v>
      </c>
      <c r="C10" s="165"/>
      <c r="E10" s="139">
        <v>6</v>
      </c>
      <c r="F10" s="168">
        <v>248</v>
      </c>
      <c r="G10" s="165"/>
    </row>
    <row r="11" spans="1:12" x14ac:dyDescent="0.2">
      <c r="A11" s="139">
        <v>7</v>
      </c>
      <c r="B11" s="168">
        <v>187</v>
      </c>
      <c r="C11" s="168">
        <v>20</v>
      </c>
      <c r="E11" s="139">
        <v>7</v>
      </c>
      <c r="F11" s="168">
        <v>198</v>
      </c>
      <c r="G11" s="168">
        <v>22</v>
      </c>
    </row>
    <row r="12" spans="1:12" x14ac:dyDescent="0.2">
      <c r="A12" s="139">
        <v>10</v>
      </c>
      <c r="B12" s="237">
        <v>155</v>
      </c>
      <c r="C12" s="168">
        <v>11</v>
      </c>
      <c r="E12" s="139">
        <v>10</v>
      </c>
      <c r="F12" s="168">
        <v>167</v>
      </c>
      <c r="G12" s="168">
        <v>12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105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324</v>
      </c>
      <c r="C16" s="165"/>
      <c r="E16" s="139">
        <v>6</v>
      </c>
      <c r="F16" s="168">
        <v>248</v>
      </c>
      <c r="G16" s="165"/>
    </row>
    <row r="17" spans="1:11" x14ac:dyDescent="0.2">
      <c r="A17" s="139">
        <v>7</v>
      </c>
      <c r="B17" s="168">
        <v>202</v>
      </c>
      <c r="C17" s="168">
        <v>24</v>
      </c>
      <c r="E17" s="139">
        <v>7</v>
      </c>
      <c r="F17" s="168">
        <v>198</v>
      </c>
      <c r="G17" s="168">
        <v>22</v>
      </c>
    </row>
    <row r="18" spans="1:11" x14ac:dyDescent="0.2">
      <c r="A18" s="139">
        <v>10</v>
      </c>
      <c r="B18" s="168">
        <v>168</v>
      </c>
      <c r="C18" s="168">
        <v>14</v>
      </c>
      <c r="E18" s="139">
        <v>10</v>
      </c>
      <c r="F18" s="168">
        <v>158</v>
      </c>
      <c r="G18" s="168">
        <v>12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105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310</v>
      </c>
      <c r="C23" s="165"/>
      <c r="E23" s="139">
        <v>6</v>
      </c>
      <c r="F23" s="168">
        <v>266</v>
      </c>
      <c r="G23" s="165"/>
    </row>
    <row r="24" spans="1:11" x14ac:dyDescent="0.2">
      <c r="A24" s="139">
        <v>7</v>
      </c>
      <c r="B24" s="168">
        <v>193</v>
      </c>
      <c r="C24" s="168">
        <v>22</v>
      </c>
      <c r="E24" s="139">
        <v>7</v>
      </c>
      <c r="F24" s="168">
        <v>196</v>
      </c>
      <c r="G24" s="168">
        <v>22</v>
      </c>
    </row>
    <row r="25" spans="1:11" x14ac:dyDescent="0.2">
      <c r="A25" s="139">
        <v>10</v>
      </c>
      <c r="B25" s="168">
        <v>168</v>
      </c>
      <c r="C25" s="168">
        <v>13</v>
      </c>
      <c r="E25" s="139">
        <v>10</v>
      </c>
      <c r="F25" s="168">
        <v>166</v>
      </c>
      <c r="G25" s="168">
        <v>12</v>
      </c>
    </row>
    <row r="26" spans="1:11" x14ac:dyDescent="0.2">
      <c r="A26" s="139">
        <v>11</v>
      </c>
      <c r="B26" s="168">
        <v>103</v>
      </c>
      <c r="C26" s="165"/>
      <c r="E26" s="139">
        <v>11</v>
      </c>
      <c r="F26" s="168">
        <v>105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255</v>
      </c>
      <c r="C29" s="165"/>
      <c r="E29" s="139">
        <v>6</v>
      </c>
      <c r="F29" s="203">
        <f t="shared" ref="F29:G31" si="0">B10+F10+B16+F16+B23+F23+B29</f>
        <v>1890</v>
      </c>
      <c r="G29" s="204">
        <f t="shared" si="0"/>
        <v>0</v>
      </c>
      <c r="I29" s="139">
        <v>6</v>
      </c>
      <c r="J29" s="203">
        <f t="shared" ref="J29:K31" si="1">F29*15</f>
        <v>28350</v>
      </c>
      <c r="K29" s="204">
        <f t="shared" si="1"/>
        <v>0</v>
      </c>
    </row>
    <row r="30" spans="1:11" x14ac:dyDescent="0.2">
      <c r="A30" s="139">
        <v>7</v>
      </c>
      <c r="B30" s="168">
        <v>187</v>
      </c>
      <c r="C30" s="168">
        <v>20</v>
      </c>
      <c r="E30" s="139">
        <v>7</v>
      </c>
      <c r="F30" s="203">
        <f t="shared" si="0"/>
        <v>1361</v>
      </c>
      <c r="G30" s="203">
        <f t="shared" si="0"/>
        <v>152</v>
      </c>
      <c r="I30" s="139">
        <v>7</v>
      </c>
      <c r="J30" s="203">
        <f t="shared" si="1"/>
        <v>20415</v>
      </c>
      <c r="K30" s="203">
        <f t="shared" si="1"/>
        <v>2280</v>
      </c>
    </row>
    <row r="31" spans="1:11" x14ac:dyDescent="0.2">
      <c r="A31" s="139">
        <v>10</v>
      </c>
      <c r="B31" s="168">
        <v>155</v>
      </c>
      <c r="C31" s="168">
        <v>11</v>
      </c>
      <c r="E31" s="139">
        <v>10</v>
      </c>
      <c r="F31" s="203">
        <f t="shared" si="0"/>
        <v>1137</v>
      </c>
      <c r="G31" s="203">
        <f t="shared" si="0"/>
        <v>85</v>
      </c>
      <c r="I31" s="139">
        <v>10</v>
      </c>
      <c r="J31" s="203">
        <f t="shared" si="1"/>
        <v>17055</v>
      </c>
      <c r="K31" s="203">
        <f t="shared" si="1"/>
        <v>1275</v>
      </c>
    </row>
    <row r="32" spans="1:11" x14ac:dyDescent="0.2">
      <c r="A32" s="139">
        <v>11</v>
      </c>
      <c r="B32" s="168">
        <v>95</v>
      </c>
      <c r="C32" s="165"/>
      <c r="E32" s="139">
        <v>11</v>
      </c>
      <c r="F32" s="203">
        <f t="shared" ref="F32:G32" si="2">B13+F13+B19+F19+B26+F26+B32</f>
        <v>720</v>
      </c>
      <c r="G32" s="204">
        <f t="shared" si="2"/>
        <v>0</v>
      </c>
      <c r="I32" s="139">
        <v>11</v>
      </c>
      <c r="J32" s="203">
        <f>F32*15</f>
        <v>10800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540</v>
      </c>
    </row>
    <row r="36" spans="1:9" x14ac:dyDescent="0.2">
      <c r="A36" s="172" t="s">
        <v>100</v>
      </c>
      <c r="B36" s="201">
        <f>B37+B38</f>
        <v>0.10800000000000001</v>
      </c>
      <c r="C36" s="201">
        <f>C37+C38</f>
        <v>0.27500000000000002</v>
      </c>
      <c r="D36" s="201">
        <f>D37+D38</f>
        <v>0.378</v>
      </c>
      <c r="E36" s="201">
        <f>E37+E38</f>
        <v>0.42699999999999999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2.5000000000000001E-2</v>
      </c>
      <c r="C37" s="173">
        <v>2.3E-2</v>
      </c>
      <c r="D37" s="173">
        <v>4.1000000000000002E-2</v>
      </c>
      <c r="E37" s="173">
        <v>7.2999999999999995E-2</v>
      </c>
      <c r="G37" s="245" t="s">
        <v>207</v>
      </c>
      <c r="H37" s="245"/>
      <c r="I37" s="225">
        <v>120</v>
      </c>
    </row>
    <row r="38" spans="1:9" x14ac:dyDescent="0.2">
      <c r="A38" s="172" t="s">
        <v>185</v>
      </c>
      <c r="B38" s="173">
        <v>8.3000000000000004E-2</v>
      </c>
      <c r="C38" s="173">
        <v>0.252</v>
      </c>
      <c r="D38" s="173">
        <v>0.33700000000000002</v>
      </c>
      <c r="E38" s="173">
        <v>0.35399999999999998</v>
      </c>
      <c r="G38" s="245" t="s">
        <v>216</v>
      </c>
      <c r="H38" s="245"/>
      <c r="I38" s="225">
        <v>0</v>
      </c>
    </row>
    <row r="39" spans="1:9" x14ac:dyDescent="0.2">
      <c r="A39" s="172" t="s">
        <v>186</v>
      </c>
      <c r="B39" s="173">
        <v>0.48799999999999999</v>
      </c>
      <c r="C39" s="173">
        <v>0.628</v>
      </c>
      <c r="D39" s="173">
        <v>0.57199999999999995</v>
      </c>
      <c r="E39" s="173">
        <v>0.52600000000000002</v>
      </c>
      <c r="G39" s="245" t="s">
        <v>217</v>
      </c>
      <c r="H39" s="245"/>
      <c r="I39" s="225">
        <v>0</v>
      </c>
    </row>
    <row r="40" spans="1:9" x14ac:dyDescent="0.2">
      <c r="A40" s="172" t="s">
        <v>187</v>
      </c>
      <c r="B40" s="173">
        <v>0.38200000000000001</v>
      </c>
      <c r="C40" s="173">
        <v>8.7999999999999995E-2</v>
      </c>
      <c r="D40" s="173">
        <v>4.2000000000000003E-2</v>
      </c>
      <c r="E40" s="236">
        <v>3.7999999999999999E-2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1.2E-2</v>
      </c>
      <c r="C41" s="173">
        <v>1E-3</v>
      </c>
      <c r="D41" s="173">
        <v>0</v>
      </c>
      <c r="E41" s="173">
        <v>1E-3</v>
      </c>
      <c r="G41" s="245" t="s">
        <v>210</v>
      </c>
      <c r="H41" s="245"/>
      <c r="I41" s="225">
        <v>420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0.01</v>
      </c>
      <c r="C43" s="202">
        <f>SUM(C47:C50)</f>
        <v>8.0000000000000002E-3</v>
      </c>
      <c r="D43" s="202">
        <f>SUM(D47:D50)</f>
        <v>8.0000000000000002E-3</v>
      </c>
      <c r="E43" s="202">
        <f>SUM(E47:E50)</f>
        <v>8.0000000000000002E-3</v>
      </c>
    </row>
    <row r="44" spans="1:9" x14ac:dyDescent="0.2">
      <c r="A44" s="233" t="s">
        <v>211</v>
      </c>
      <c r="B44" s="232">
        <v>57.73</v>
      </c>
      <c r="C44" s="232">
        <v>61.5</v>
      </c>
      <c r="D44" s="232">
        <v>62.82</v>
      </c>
      <c r="E44" s="232">
        <v>63.36</v>
      </c>
    </row>
    <row r="45" spans="1:9" x14ac:dyDescent="0.2">
      <c r="A45" s="233" t="s">
        <v>213</v>
      </c>
      <c r="B45" s="231">
        <f>J29</f>
        <v>28350</v>
      </c>
      <c r="C45" s="231">
        <f>J30</f>
        <v>20415</v>
      </c>
      <c r="D45" s="231">
        <f>J31+K31</f>
        <v>18330</v>
      </c>
      <c r="E45" s="231">
        <f>J32</f>
        <v>10800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2E-3</v>
      </c>
      <c r="C47" s="173">
        <v>1E-3</v>
      </c>
      <c r="D47" s="173">
        <v>1E-3</v>
      </c>
      <c r="E47" s="173">
        <v>2E-3</v>
      </c>
    </row>
    <row r="48" spans="1:9" x14ac:dyDescent="0.2">
      <c r="A48" s="172" t="s">
        <v>189</v>
      </c>
      <c r="B48" s="173">
        <v>2E-3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1E-3</v>
      </c>
      <c r="C49" s="173">
        <v>1E-3</v>
      </c>
      <c r="D49" s="173">
        <v>3.0000000000000001E-3</v>
      </c>
      <c r="E49" s="173">
        <v>3.0000000000000001E-3</v>
      </c>
    </row>
    <row r="50" spans="1:5" x14ac:dyDescent="0.2">
      <c r="A50" s="172" t="s">
        <v>191</v>
      </c>
      <c r="B50" s="173">
        <v>5.0000000000000001E-3</v>
      </c>
      <c r="C50" s="173">
        <v>5.0000000000000001E-3</v>
      </c>
      <c r="D50" s="173">
        <v>3.0000000000000001E-3</v>
      </c>
      <c r="E50" s="173">
        <v>2E-3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2025-10-10T14:23:56Z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