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48344DE-F065-41C4-BE91-4DB28BC60E7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<sst xmlns="http://schemas.openxmlformats.org/spreadsheetml/2006/main" count="488" uniqueCount="239">
  <si>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</si>
  <si>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</si>
  <si>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</si>
  <si>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</si>
  <si>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</si>
  <si>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</si>
  <si>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</si>
  <si>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</si>
  <si>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</si>
  <si>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</si>
  <si>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</si>
  <si>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</si>
  <si>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</si>
  <si>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</si>
  <si>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</si>
  <si>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</si>
  <si>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</si>
  <si>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</si>
  <si>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</si>
  <si>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</si>
  <si>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</si>
  <si>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</si>
  <si>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</si>
  <si>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</si>
  <si>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</si>
  <si>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</si>
  <si>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</si>
  <si>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</si>
  <si>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</si>
  <si>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</si>
  <si>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</si>
  <si>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</si>
  <si>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</si>
  <si>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</si>
  <si>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</si>
  <si>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</si>
  <si>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</si>
  <si>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</si>
  <si>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</si>
  <si>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</si>
  <si>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</si>
  <si>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</si>
  <si>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</si>
  <si>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</si>
  <si>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</si>
  <si>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</si>
  <si>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</si>
  <si>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</si>
  <si>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</si>
  <si>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</si>
  <si>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</si>
  <si>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</si>
  <si>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</si>
  <si>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</si>
  <si>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</si>
  <si>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</si>
  <si>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</si>
  <si>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</si>
  <si>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</si>
  <si>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</si>
  <si>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</si>
  <si>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</si>
  <si>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</si>
  <si>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</si>
  <si>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</si>
  <si>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</si>
  <si>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</si>
  <si>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</si>
  <si>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</si>
  <si>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</si>
  <si>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</si>
  <si>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</si>
  <si>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</si>
  <si>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</si>
  <si>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</si>
  <si>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</si>
  <si>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</si>
  <si>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</si>
  <si>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</si>
  <si>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</si>
  <si>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</si>
  <si>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</si>
  <si>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</si>
  <si>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</si>
  <si>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</si>
  <si>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</si>
  <si>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</si>
  <si>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</si>
  <si>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</si>
  <si>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</si>
  <si>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</si>
  <si>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</si>
  <si>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</si>
  <si>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</si>
  <si>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</si>
  <si>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</si>
  <si>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</si>
  <si>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</si>
  <si>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</si>
  <si>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</si>
  <si>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</si>
  <si>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</si>
  <si>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</si>
  <si>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</si>
  <si>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</si>
  <si>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</si>
  <si>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</si>
  <si>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</si>
  <si>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</si>
  <si>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</si>
  <si>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</si>
  <si>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</si>
  <si>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</si>
  <si>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</si>
  <si>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</si>
  <si>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</si>
  <si>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</si>
  <si>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</si>
  <si>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</si>
  <si>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</si>
  <si>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</si>
  <si>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</si>
  <si>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</si>
  <si>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</si>
  <si>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</si>
  <si>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</si>
  <si>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</si>
  <si>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</si>
  <si>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</si>
  <si>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</si>
  <si>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</si>
  <si>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</si>
  <si>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</si>
  <si>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</si>
  <si>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</si>
  <si>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</si>
  <si>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</si>
  <si>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</si>
  <si>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</si>
  <si>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</si>
  <si>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</si>
  <si>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</si>
  <si>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</si>
  <si>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</si>
  <si>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</si>
  <si>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</si>
  <si>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</si>
  <si>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</si>
  <si>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</si>
  <si>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</si>
  <si>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</si>
  <si>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</si>
  <si>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</si>
  <si>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</si>
  <si>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</si>
  <si>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</si>
  <si>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</si>
  <si>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</si>
  <si>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</si>
  <si>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</si>
  <si>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</si>
  <si>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</si>
  <si>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</si>
  <si>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</si>
  <si>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</si>
  <si>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</si>
  <si>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</si>
  <si>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</si>
  <si>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</si>
  <si>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</si>
  <si>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</si>
  <si>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</si>
  <si>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</si>
  <si>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</si>
  <si>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</si>
  <si>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</si>
  <si>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</si>
  <si>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</si>
  <si>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</si>
  <si>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</si>
  <si>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</si>
  <si>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</si>
  <si>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</si>
  <si>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</si>
  <si>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</si>
  <si>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</si>
  <si>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</si>
  <si>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</si>
  <si>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</si>
  <si>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</si>
  <si>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</si>
  <si>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</si>
  <si>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</si>
  <si>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</si>
  <si>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</si>
  <si>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</si>
  <si>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</si>
  <si>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</si>
  <si>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</si>
  <si>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</si>
  <si>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</si>
  <si>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</si>
  <si>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</si>
  <si>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</si>
  <si>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</si>
  <si>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</si>
  <si>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</si>
  <si>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</si>
  <si>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</si>
  <si>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</si>
  <si>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</si>
  <si>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</si>
  <si>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</si>
  <si>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</si>
  <si>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</si>
  <si>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</si>
  <si>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</si>
  <si>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</si>
  <si>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</si>
  <si>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</si>
  <si>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</si>
  <si>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</si>
  <si>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</si>
  <si>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</si>
  <si>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</si>
  <si>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</si>
  <si>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</si>
  <si>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</si>
  <si>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</si>
  <si>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</si>
  <si>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</si>
  <si>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</si>
  <si>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</si>
  <si>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</si>
  <si>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</si>
  <si>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</si>
  <si>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</si>
  <si>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</si>
  <si>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22/25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</si>
</sst>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21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45802.25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21300</v>
      </c>
      <c r="I10" s="27">
        <v>0</v>
      </c>
      <c r="J10" s="26">
        <f>IFERROR(H10-I10,"")</f>
        <v>21300</v>
      </c>
      <c r="K10" s="26">
        <f>IFERROR(($E$30/($H$31+$H$32)*$H$31)*R32,"")</f>
        <v>85.2</v>
      </c>
      <c r="L10" s="26">
        <f>IFERROR(($E$30/($H$31+$H$32)*$H$31)*S32,"")</f>
        <v>21.3</v>
      </c>
      <c r="M10" s="28">
        <f>IFERROR(K10+L10,"")</f>
        <v>106.5</v>
      </c>
      <c r="N10" s="29">
        <f>IFERROR(O10+P10+Q10+R10+S10+T10+U10+V10,"")</f>
        <v>21193.5</v>
      </c>
      <c r="O10" s="26">
        <f t="shared" ref="O10:V10" si="2">IFERROR(($E$30/($H$31+$H$32)*$H$31)*J32,"")</f>
        <v>745.50000000000011</v>
      </c>
      <c r="P10" s="26">
        <f t="shared" si="2"/>
        <v>6816</v>
      </c>
      <c r="Q10" s="26">
        <f t="shared" si="2"/>
        <v>12630.9</v>
      </c>
      <c r="R10" s="26">
        <f t="shared" si="2"/>
        <v>958.5</v>
      </c>
      <c r="S10" s="26">
        <f t="shared" si="2"/>
        <v>0</v>
      </c>
      <c r="T10" s="26">
        <f t="shared" si="2"/>
        <v>0</v>
      </c>
      <c r="U10" s="26">
        <f t="shared" si="2"/>
        <v>42.6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21217.721617418352</v>
      </c>
      <c r="I13" s="27">
        <v>0</v>
      </c>
      <c r="J13" s="26">
        <f>IFERROR(H13-I13,"")</f>
        <v>21217.721617418352</v>
      </c>
      <c r="K13" s="26">
        <f>IFERROR(($E$34/($H$35+$H$36)*$H$35)*R36,"")</f>
        <v>84.870886469673408</v>
      </c>
      <c r="L13" s="26">
        <f>IFERROR(($E$34/($H$35+$H$36)*$H$35)*S36,"")</f>
        <v>42.435443234836704</v>
      </c>
      <c r="M13" s="28">
        <f>IFERROR(K13+L13,"")</f>
        <v>127.30632970451012</v>
      </c>
      <c r="N13" s="29">
        <f>IFERROR(O13+P13+Q13+R13+S13+T13+U13+V13,"")</f>
        <v>21090.41528771384</v>
      </c>
      <c r="O13" s="26">
        <f t="shared" ref="O13:V13" si="4">IFERROR(($E$34/($H$35+$H$36)*$H$35)*J36,"")</f>
        <v>84.870886469673408</v>
      </c>
      <c r="P13" s="26">
        <f t="shared" si="4"/>
        <v>1336.7164618973561</v>
      </c>
      <c r="Q13" s="26">
        <f t="shared" si="4"/>
        <v>15488.936780715398</v>
      </c>
      <c r="R13" s="26">
        <f t="shared" si="4"/>
        <v>4116.2379937791602</v>
      </c>
      <c r="S13" s="26">
        <f t="shared" si="4"/>
        <v>42.435443234836704</v>
      </c>
      <c r="T13" s="26">
        <f t="shared" si="4"/>
        <v>0</v>
      </c>
      <c r="U13" s="26">
        <f t="shared" si="4"/>
        <v>21.217721617418352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2362.2783825816491</v>
      </c>
      <c r="I14" s="27">
        <v>0</v>
      </c>
      <c r="J14" s="26">
        <f>IFERROR(H14-I14,"")</f>
        <v>2362.2783825816491</v>
      </c>
      <c r="K14" s="26">
        <f>IFERROR(($E$34/($H$35+$H$36)*$H$36)*R36,"")</f>
        <v>9.4491135303265956</v>
      </c>
      <c r="L14" s="26">
        <f>IFERROR(($E$34/($H$35+$H$36)*$H$36)*S36,"")</f>
        <v>4.7245567651632978</v>
      </c>
      <c r="M14" s="28">
        <f>IFERROR(K14+L14,"")</f>
        <v>14.173670295489893</v>
      </c>
      <c r="N14" s="29">
        <f>IFERROR(O14+P14+Q14+R14+S14+T14+U14+V14,"")</f>
        <v>2348.1047122861592</v>
      </c>
      <c r="O14" s="26">
        <f t="shared" ref="O14:V14" si="5">IFERROR(($E$34/($H$35+$H$36)*$H$36)*J36,"")</f>
        <v>9.4491135303265956</v>
      </c>
      <c r="P14" s="26">
        <f t="shared" si="5"/>
        <v>148.82353810264388</v>
      </c>
      <c r="Q14" s="26">
        <f t="shared" si="5"/>
        <v>1724.4632192846034</v>
      </c>
      <c r="R14" s="26">
        <f t="shared" si="5"/>
        <v>458.28200622083983</v>
      </c>
      <c r="S14" s="26">
        <f t="shared" si="5"/>
        <v>4.7245567651632978</v>
      </c>
      <c r="T14" s="26">
        <f t="shared" si="5"/>
        <v>0</v>
      </c>
      <c r="U14" s="26">
        <f t="shared" si="5"/>
        <v>2.3622783825816489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11369.999999999998</v>
      </c>
      <c r="I16" s="27">
        <v>0</v>
      </c>
      <c r="J16" s="26">
        <f>IFERROR(H16-I16,"")</f>
        <v>11369.999999999998</v>
      </c>
      <c r="K16" s="26">
        <f>IFERROR(($E$38/($H$39)*$H$39)*R40,"")</f>
        <v>68.22</v>
      </c>
      <c r="L16" s="26">
        <f>IFERROR(($E$38/($H$39)*$H$39)*S40,"")</f>
        <v>11.370000000000001</v>
      </c>
      <c r="M16" s="28">
        <f>IFERROR(K16+L16,"")</f>
        <v>79.59</v>
      </c>
      <c r="N16" s="29">
        <f>IFERROR(O16+P16+Q16+R16+S16+T16+U16+V16,"")</f>
        <v>11290.409999999998</v>
      </c>
      <c r="O16" s="26">
        <f t="shared" ref="O16:V16" si="6">IFERROR(($E$38/($H$39)*$H$39)*J40,"")</f>
        <v>682.19999999999993</v>
      </c>
      <c r="P16" s="26">
        <f t="shared" si="6"/>
        <v>4206.8999999999996</v>
      </c>
      <c r="Q16" s="26">
        <f t="shared" si="6"/>
        <v>5923.77</v>
      </c>
      <c r="R16" s="26">
        <f t="shared" si="6"/>
        <v>454.8</v>
      </c>
      <c r="S16" s="26">
        <f t="shared" si="6"/>
        <v>0</v>
      </c>
      <c r="T16" s="26">
        <f t="shared" si="6"/>
        <v>0</v>
      </c>
      <c r="U16" s="26">
        <f t="shared" si="6"/>
        <v>22.740000000000002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56250.000000000007</v>
      </c>
      <c r="I19" s="37">
        <f t="shared" si="7"/>
        <v>0</v>
      </c>
      <c r="J19" s="37">
        <f t="shared" si="7"/>
        <v>56250.000000000007</v>
      </c>
      <c r="K19" s="37">
        <f t="shared" si="7"/>
        <v>247.74</v>
      </c>
      <c r="L19" s="37">
        <f t="shared" si="7"/>
        <v>79.830000000000013</v>
      </c>
      <c r="M19" s="37">
        <f t="shared" si="7"/>
        <v>327.57000000000005</v>
      </c>
      <c r="N19" s="37">
        <f t="shared" si="7"/>
        <v>55922.429999999993</v>
      </c>
      <c r="O19" s="37">
        <f t="shared" si="7"/>
        <v>1522.02</v>
      </c>
      <c r="P19" s="37">
        <f t="shared" si="7"/>
        <v>12508.44</v>
      </c>
      <c r="Q19" s="37">
        <f t="shared" si="7"/>
        <v>35768.070000000007</v>
      </c>
      <c r="R19" s="37">
        <f t="shared" si="7"/>
        <v>5987.8200000000006</v>
      </c>
      <c r="S19" s="37">
        <f t="shared" si="7"/>
        <v>47.160000000000004</v>
      </c>
      <c r="T19" s="37">
        <f t="shared" si="7"/>
        <v>0</v>
      </c>
      <c r="U19" s="37">
        <f t="shared" si="7"/>
        <v>88.920000000000016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56249.999999999993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21300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745.50000000000011</v>
      </c>
      <c r="K31" s="198">
        <f t="shared" ref="K31:S31" si="9">$E30*K32</f>
        <v>6816</v>
      </c>
      <c r="L31" s="198">
        <f t="shared" si="9"/>
        <v>12630.9</v>
      </c>
      <c r="M31" s="198">
        <f t="shared" si="9"/>
        <v>958.5</v>
      </c>
      <c r="N31" s="198">
        <f t="shared" si="9"/>
        <v>0</v>
      </c>
      <c r="O31" s="198">
        <f t="shared" si="9"/>
        <v>0</v>
      </c>
      <c r="P31" s="198">
        <f t="shared" si="9"/>
        <v>42.6</v>
      </c>
      <c r="Q31" s="198">
        <f t="shared" si="9"/>
        <v>0</v>
      </c>
      <c r="R31" s="198">
        <f t="shared" si="9"/>
        <v>85.2</v>
      </c>
      <c r="S31" s="198">
        <f t="shared" si="9"/>
        <v>21.3</v>
      </c>
      <c r="T31" s="199">
        <f>SUM(J31:S31)</f>
        <v>21300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23580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94.320000000000007</v>
      </c>
      <c r="K35" s="198">
        <f t="shared" ref="K35:S35" si="10">$E34*K36</f>
        <v>1485.54</v>
      </c>
      <c r="L35" s="198">
        <f t="shared" si="10"/>
        <v>17213.399999999998</v>
      </c>
      <c r="M35" s="198">
        <f t="shared" si="10"/>
        <v>4574.5200000000004</v>
      </c>
      <c r="N35" s="198">
        <f t="shared" si="10"/>
        <v>47.160000000000004</v>
      </c>
      <c r="O35" s="198">
        <f t="shared" si="10"/>
        <v>0</v>
      </c>
      <c r="P35" s="198">
        <f t="shared" si="10"/>
        <v>23.580000000000002</v>
      </c>
      <c r="Q35" s="198">
        <f t="shared" si="10"/>
        <v>0</v>
      </c>
      <c r="R35" s="198">
        <f t="shared" si="10"/>
        <v>94.320000000000007</v>
      </c>
      <c r="S35" s="198">
        <f t="shared" si="10"/>
        <v>47.160000000000004</v>
      </c>
      <c r="T35" s="199">
        <f>SUM(J35:S35)</f>
        <v>23580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11370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682.19999999999993</v>
      </c>
      <c r="K39" s="198">
        <f t="shared" ref="K39:S39" si="11">$E38*K40</f>
        <v>4206.8999999999996</v>
      </c>
      <c r="L39" s="198">
        <f t="shared" si="11"/>
        <v>5923.77</v>
      </c>
      <c r="M39" s="198">
        <f t="shared" si="11"/>
        <v>454.8</v>
      </c>
      <c r="N39" s="198">
        <f t="shared" si="11"/>
        <v>0</v>
      </c>
      <c r="O39" s="198">
        <f t="shared" si="11"/>
        <v>0</v>
      </c>
      <c r="P39" s="198">
        <f t="shared" si="11"/>
        <v>22.740000000000002</v>
      </c>
      <c r="Q39" s="198">
        <f t="shared" si="11"/>
        <v>0</v>
      </c>
      <c r="R39" s="198">
        <f t="shared" si="11"/>
        <v>68.22</v>
      </c>
      <c r="S39" s="198">
        <f t="shared" si="11"/>
        <v>11.370000000000001</v>
      </c>
      <c r="T39" s="199">
        <f>SUM(J39:S39)</f>
        <v>11369.999999999998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45802.25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600</v>
      </c>
      <c r="C13" s="220">
        <f>'Grade out Information'!X26</f>
        <v>9000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660</v>
      </c>
      <c r="C27" s="222">
        <f>SUM(C13:C26)</f>
        <v>9900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L35" sqref="L35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21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0</v>
      </c>
      <c r="Y15" s="209">
        <f>K15+M15+O15+Q15+S15+U15+W15</f>
        <v>0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0</v>
      </c>
      <c r="Y16" s="209">
        <f>K16+M16+O16+Q16+S16+U16+W16</f>
        <v>0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3105</v>
      </c>
      <c r="J20" s="133">
        <f>X20*K20</f>
        <v>208.03500000000003</v>
      </c>
      <c r="K20" s="184">
        <f>Inputs!D36</f>
        <v>6.7000000000000004E-2</v>
      </c>
      <c r="L20" s="133">
        <f t="shared" si="0"/>
        <v>2266.65</v>
      </c>
      <c r="M20" s="184">
        <f>Inputs!D39</f>
        <v>0.73</v>
      </c>
      <c r="N20" s="133">
        <f t="shared" si="1"/>
        <v>602.37</v>
      </c>
      <c r="O20" s="184">
        <f>Inputs!D40</f>
        <v>0.19400000000000001</v>
      </c>
      <c r="P20" s="133">
        <f t="shared" si="2"/>
        <v>6.21</v>
      </c>
      <c r="Q20" s="184">
        <f>Inputs!D41</f>
        <v>2E-3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21.734999999999999</v>
      </c>
      <c r="W20" s="185">
        <f>Inputs!D43</f>
        <v>7.0000000000000001E-3</v>
      </c>
      <c r="X20" s="213">
        <f t="shared" si="6"/>
        <v>3105</v>
      </c>
      <c r="Y20" s="209">
        <f>K20+M20+O20+Q20+S20+U20+W20</f>
        <v>0.99999999999999989</v>
      </c>
      <c r="Z20" s="226">
        <f>Inputs!I38</f>
        <v>207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1395.0000000000002</v>
      </c>
      <c r="J21" s="133">
        <f>X21*K21</f>
        <v>93.465000000000003</v>
      </c>
      <c r="K21" s="184">
        <f>K20</f>
        <v>6.7000000000000004E-2</v>
      </c>
      <c r="L21" s="133">
        <f t="shared" si="0"/>
        <v>1018.35</v>
      </c>
      <c r="M21" s="184">
        <f>M20</f>
        <v>0.73</v>
      </c>
      <c r="N21" s="133">
        <f t="shared" si="1"/>
        <v>270.63</v>
      </c>
      <c r="O21" s="184">
        <f>O20</f>
        <v>0.19400000000000001</v>
      </c>
      <c r="P21" s="133">
        <f t="shared" si="2"/>
        <v>2.79</v>
      </c>
      <c r="Q21" s="184">
        <f>Q20</f>
        <v>2E-3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9.7650000000000006</v>
      </c>
      <c r="W21" s="185">
        <f>W20</f>
        <v>7.0000000000000001E-3</v>
      </c>
      <c r="X21" s="213">
        <f t="shared" si="6"/>
        <v>1395</v>
      </c>
      <c r="Y21" s="209">
        <f>K21+M21+O21+Q21+S21+U21+W21</f>
        <v>0.99999999999999989</v>
      </c>
      <c r="Z21" s="226">
        <f>Inputs!I39</f>
        <v>93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2034</v>
      </c>
      <c r="K26" s="139"/>
      <c r="L26" s="139">
        <f>SUM(L15:L25)</f>
        <v>5823.9000000000005</v>
      </c>
      <c r="M26" s="139"/>
      <c r="N26" s="139">
        <f>SUM(N15:N25)</f>
        <v>1066.5</v>
      </c>
      <c r="O26" s="139"/>
      <c r="P26" s="139">
        <f>SUM(P15:P25)</f>
        <v>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66.600000000000009</v>
      </c>
      <c r="W26" s="139"/>
      <c r="X26" s="139">
        <f>SUM(X15:X25)</f>
        <v>9000</v>
      </c>
      <c r="Y26" s="139"/>
      <c r="Z26" s="139">
        <f>SUM(Z15:Z25)</f>
        <v>600</v>
      </c>
      <c r="AA26" s="141">
        <f>IF(Z33=0,0,Z33/(H33+Z33))</f>
        <v>0</v>
      </c>
      <c r="AB26" s="139">
        <f>G26+X26</f>
        <v>9900</v>
      </c>
      <c r="AC26" s="139">
        <f>H26+Z26</f>
        <v>660</v>
      </c>
      <c r="AD26" s="141">
        <f>I26+AA26</f>
        <v>0</v>
      </c>
    </row>
    <row r="30" spans="1:30" x14ac:dyDescent="0.2">
      <c r="A30" s="3" t="s">
        <v>107</v>
      </c>
      <c r="B30">
        <f>J26</f>
        <v>2034</v>
      </c>
    </row>
    <row r="31" spans="1:30" x14ac:dyDescent="0.2">
      <c r="A31" s="3" t="s">
        <v>108</v>
      </c>
      <c r="B31">
        <f>L26</f>
        <v>5823.9000000000005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1066.5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66.600000000000009</v>
      </c>
    </row>
    <row r="38" spans="1:13" x14ac:dyDescent="0.2">
      <c r="A38" s="3" t="s">
        <v>128</v>
      </c>
      <c r="B38">
        <f>SUM(B30:B36)</f>
        <v>9000.0000000000018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19" sqref="E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N18" sqref="N1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21</v>
      </c>
      <c r="C7" s="151">
        <v>940716</v>
      </c>
      <c r="D7" s="188" t="s">
        <v>7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1507</v>
      </c>
      <c r="J7" s="189">
        <f>IF(H7="NEW",203, IF(H7="OLD",192,0))</f>
        <v>203</v>
      </c>
      <c r="K7" s="151">
        <v>1710</v>
      </c>
      <c r="L7" s="211">
        <f>IF(K7&gt;0,I7/E7,"NA")</f>
        <v>25.116666666666667</v>
      </c>
      <c r="M7" s="151">
        <v>943922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58.892857142857146</v>
      </c>
    </row>
    <row r="8" spans="1:16" x14ac:dyDescent="0.25">
      <c r="A8" s="148">
        <v>2</v>
      </c>
      <c r="B8" s="189">
        <f>Inputs!C$2</f>
        <v>21</v>
      </c>
      <c r="C8" s="151">
        <v>940717</v>
      </c>
      <c r="D8" s="188" t="s">
        <v>5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1511</v>
      </c>
      <c r="J8" s="189">
        <f>IF(H8="NEW",203, IF(H8="OLD",192,0))</f>
        <v>203</v>
      </c>
      <c r="K8" s="151">
        <v>1714</v>
      </c>
      <c r="L8" s="211">
        <f>IF(K8&gt;0,I8/E8,"NA")</f>
        <v>25.183333333333334</v>
      </c>
      <c r="M8" s="151">
        <v>943922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50.464285714285715</v>
      </c>
    </row>
    <row r="9" spans="1:16" x14ac:dyDescent="0.25">
      <c r="A9" s="148">
        <v>3</v>
      </c>
      <c r="B9" s="189">
        <f>Inputs!C$2</f>
        <v>21</v>
      </c>
      <c r="C9" s="151">
        <v>940718</v>
      </c>
      <c r="D9" s="188" t="s">
        <v>5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1505</v>
      </c>
      <c r="J9" s="189">
        <f>IF(H9="NEW",203, IF(H9="OLD",192,0))</f>
        <v>203</v>
      </c>
      <c r="K9" s="151">
        <v>1708</v>
      </c>
      <c r="L9" s="211">
        <f t="shared" ref="L9:L72" si="1">IF(K9&gt;0,I9/E9,"NA")</f>
        <v>25.083333333333332</v>
      </c>
      <c r="M9" s="151">
        <v>943922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50.464285714285715</v>
      </c>
    </row>
    <row r="10" spans="1:16" x14ac:dyDescent="0.25">
      <c r="A10" s="148">
        <v>4</v>
      </c>
      <c r="B10" s="189">
        <f>Inputs!C$2</f>
        <v>21</v>
      </c>
      <c r="C10" s="151">
        <v>940719</v>
      </c>
      <c r="D10" s="188" t="s">
        <v>7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1505</v>
      </c>
      <c r="J10" s="189">
        <f>IF(H10="NEW",203, IF(H10="OLD",192,0))</f>
        <v>203</v>
      </c>
      <c r="K10" s="151">
        <v>1708</v>
      </c>
      <c r="L10" s="211">
        <f t="shared" si="1"/>
        <v>25.083333333333332</v>
      </c>
      <c r="M10" s="151">
        <v>943922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58.892857142857146</v>
      </c>
    </row>
    <row r="11" spans="1:16" x14ac:dyDescent="0.25">
      <c r="A11" s="148">
        <v>5</v>
      </c>
      <c r="B11" s="189">
        <f>Inputs!C$2</f>
        <v>21</v>
      </c>
      <c r="C11" s="151">
        <v>940720</v>
      </c>
      <c r="D11" s="188" t="s">
        <v>7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1513</v>
      </c>
      <c r="J11" s="189">
        <f t="shared" ref="J11:J72" si="2">IF(H11="NEW",203, IF(H11="OLD",192,0))</f>
        <v>203</v>
      </c>
      <c r="K11" s="151">
        <v>1716</v>
      </c>
      <c r="L11" s="211">
        <f>IF(K11&gt;0,I11/E11,"NA")</f>
        <v>25.216666666666665</v>
      </c>
      <c r="M11" s="151">
        <v>943922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58.892857142857146</v>
      </c>
    </row>
    <row r="12" spans="1:16" x14ac:dyDescent="0.25">
      <c r="A12" s="148">
        <v>6</v>
      </c>
      <c r="B12" s="189">
        <f>Inputs!C$2</f>
        <v>21</v>
      </c>
      <c r="C12" s="151">
        <v>940723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1435</v>
      </c>
      <c r="J12" s="189">
        <f t="shared" si="2"/>
        <v>203</v>
      </c>
      <c r="K12" s="151">
        <v>1638</v>
      </c>
      <c r="L12" s="211">
        <f t="shared" si="1"/>
        <v>23.916666666666668</v>
      </c>
      <c r="M12" s="151">
        <v>943922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32.892857142857146</v>
      </c>
    </row>
    <row r="13" spans="1:16" x14ac:dyDescent="0.25">
      <c r="A13" s="148">
        <v>7</v>
      </c>
      <c r="B13" s="189">
        <f>Inputs!C$2</f>
        <v>21</v>
      </c>
      <c r="C13" s="151">
        <v>940724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1413</v>
      </c>
      <c r="J13" s="189">
        <f t="shared" si="2"/>
        <v>203</v>
      </c>
      <c r="K13" s="151">
        <v>1616</v>
      </c>
      <c r="L13" s="211">
        <f t="shared" si="1"/>
        <v>23.55</v>
      </c>
      <c r="M13" s="151">
        <v>943922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32.892857142857146</v>
      </c>
    </row>
    <row r="14" spans="1:16" x14ac:dyDescent="0.25">
      <c r="A14" s="148">
        <v>8</v>
      </c>
      <c r="B14" s="189">
        <f>Inputs!C$2</f>
        <v>21</v>
      </c>
      <c r="C14" s="151">
        <v>940725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1421</v>
      </c>
      <c r="J14" s="189">
        <f t="shared" si="2"/>
        <v>203</v>
      </c>
      <c r="K14" s="151">
        <v>1624</v>
      </c>
      <c r="L14" s="211">
        <f t="shared" si="1"/>
        <v>23.683333333333334</v>
      </c>
      <c r="M14" s="151">
        <v>943922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32.892857142857146</v>
      </c>
    </row>
    <row r="15" spans="1:16" x14ac:dyDescent="0.25">
      <c r="A15" s="148">
        <v>9</v>
      </c>
      <c r="B15" s="189">
        <f>Inputs!C$2</f>
        <v>21</v>
      </c>
      <c r="C15" s="151">
        <v>940726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1459</v>
      </c>
      <c r="J15" s="189">
        <f t="shared" si="2"/>
        <v>203</v>
      </c>
      <c r="K15" s="151">
        <v>1662</v>
      </c>
      <c r="L15" s="211">
        <f t="shared" si="1"/>
        <v>24.316666666666666</v>
      </c>
      <c r="M15" s="151">
        <v>943922</v>
      </c>
      <c r="N15" s="152" t="s">
        <v>238</v>
      </c>
      <c r="O15" s="157" t="s">
        <v>237</v>
      </c>
      <c r="P15" s="187">
        <f>IF(D15=Inputs!F$2,Inputs!I$2,IF(D15=Inputs!F$3,Inputs!I$3,IF(D15=Inputs!F$4,Inputs!I$4,IF(D15=Inputs!F$5,Inputs!I$5,"NA"))))</f>
        <v>32.892857142857146</v>
      </c>
    </row>
    <row r="16" spans="1:16" x14ac:dyDescent="0.25">
      <c r="A16" s="148">
        <v>10</v>
      </c>
      <c r="B16" s="189">
        <f>Inputs!C$2</f>
        <v>21</v>
      </c>
      <c r="C16" s="151">
        <v>940732</v>
      </c>
      <c r="D16" s="188" t="s">
        <v>9</v>
      </c>
      <c r="E16" s="148">
        <v>60</v>
      </c>
      <c r="F16" s="188"/>
      <c r="G16" s="188" t="s">
        <v>13</v>
      </c>
      <c r="H16" s="191" t="s">
        <v>220</v>
      </c>
      <c r="I16" s="210" t="str">
        <f t="shared" si="0"/>
        <v>NA</v>
      </c>
      <c r="J16" s="189">
        <f t="shared" si="2"/>
        <v>203</v>
      </c>
      <c r="K16" s="151"/>
      <c r="L16" s="211" t="str">
        <f t="shared" si="1"/>
        <v>NA</v>
      </c>
      <c r="M16" s="151">
        <v>943922</v>
      </c>
      <c r="N16" s="152" t="s">
        <v>238</v>
      </c>
      <c r="O16" s="157" t="s">
        <v>13</v>
      </c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21</v>
      </c>
      <c r="C17" s="151">
        <v>940735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1587</v>
      </c>
      <c r="J17" s="189">
        <f t="shared" si="2"/>
        <v>203</v>
      </c>
      <c r="K17" s="151">
        <v>1790</v>
      </c>
      <c r="L17" s="211">
        <f t="shared" si="1"/>
        <v>26.45</v>
      </c>
      <c r="M17" s="151">
        <v>943922</v>
      </c>
      <c r="N17" s="152" t="s">
        <v>238</v>
      </c>
      <c r="O17" s="157" t="s">
        <v>52</v>
      </c>
      <c r="P17" s="187">
        <f>IF(D17=Inputs!F$2,Inputs!I$2,IF(D17=Inputs!F$3,Inputs!I$3,IF(D17=Inputs!F$4,Inputs!I$4,IF(D17=Inputs!F$5,Inputs!I$5,"NA"))))</f>
        <v>32.892857142857146</v>
      </c>
    </row>
    <row r="18" spans="1:16" x14ac:dyDescent="0.25">
      <c r="A18" s="148">
        <v>12</v>
      </c>
      <c r="B18" s="189">
        <f>Inputs!C$2</f>
        <v>21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21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21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21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21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21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21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21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21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21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21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21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21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21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21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21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21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21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21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21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21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7" zoomScaleNormal="100" workbookViewId="0">
      <selection activeCell="J41" sqref="J4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21</v>
      </c>
      <c r="F2" s="166" t="s">
        <v>183</v>
      </c>
      <c r="G2" s="186">
        <v>45264</v>
      </c>
      <c r="I2" s="205">
        <f>(C$3-G2)/7</f>
        <v>76.892857142857139</v>
      </c>
      <c r="J2" s="230">
        <f>I2-19</f>
        <v>57.892857142857139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45802.25</v>
      </c>
      <c r="D3" s="247"/>
      <c r="F3" s="166" t="s">
        <v>7</v>
      </c>
      <c r="G3" s="186">
        <v>45390</v>
      </c>
      <c r="I3" s="205">
        <f>(C$3-G3)/7</f>
        <v>58.892857142857146</v>
      </c>
      <c r="J3" s="230">
        <f>I3-19</f>
        <v>39.892857142857146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32.892857142857146</v>
      </c>
      <c r="J4" s="230">
        <f>I4-19</f>
        <v>13.892857142857146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50.464285714285715</v>
      </c>
      <c r="J5" s="230">
        <f>I5-19</f>
        <v>31.464285714285715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0</v>
      </c>
      <c r="C10" s="168">
        <v>0</v>
      </c>
      <c r="E10" s="139">
        <v>3</v>
      </c>
      <c r="F10" s="168">
        <v>0</v>
      </c>
      <c r="G10" s="168">
        <v>0</v>
      </c>
    </row>
    <row r="11" spans="1:12" x14ac:dyDescent="0.2">
      <c r="A11" s="139">
        <v>6</v>
      </c>
      <c r="B11" s="168">
        <v>210</v>
      </c>
      <c r="C11" s="165"/>
      <c r="E11" s="139">
        <v>6</v>
      </c>
      <c r="F11" s="168">
        <v>220</v>
      </c>
      <c r="G11" s="165"/>
    </row>
    <row r="12" spans="1:12" x14ac:dyDescent="0.2">
      <c r="A12" s="139">
        <v>7</v>
      </c>
      <c r="B12" s="168">
        <v>200</v>
      </c>
      <c r="C12" s="168">
        <v>22</v>
      </c>
      <c r="E12" s="139">
        <v>7</v>
      </c>
      <c r="F12" s="168">
        <v>200</v>
      </c>
      <c r="G12" s="168">
        <v>22</v>
      </c>
    </row>
    <row r="13" spans="1:12" x14ac:dyDescent="0.2">
      <c r="A13" s="139">
        <v>11</v>
      </c>
      <c r="B13" s="168">
        <v>98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0</v>
      </c>
      <c r="C16" s="168">
        <v>0</v>
      </c>
      <c r="E16" s="139">
        <v>3</v>
      </c>
      <c r="F16" s="168">
        <v>0</v>
      </c>
      <c r="G16" s="168">
        <v>0</v>
      </c>
    </row>
    <row r="17" spans="1:11" x14ac:dyDescent="0.2">
      <c r="A17" s="139">
        <v>6</v>
      </c>
      <c r="B17" s="168">
        <v>228</v>
      </c>
      <c r="C17" s="165"/>
      <c r="E17" s="139">
        <v>6</v>
      </c>
      <c r="F17" s="168">
        <v>216</v>
      </c>
      <c r="G17" s="165"/>
    </row>
    <row r="18" spans="1:11" x14ac:dyDescent="0.2">
      <c r="A18" s="139">
        <v>7</v>
      </c>
      <c r="B18" s="168">
        <v>210</v>
      </c>
      <c r="C18" s="168">
        <v>23</v>
      </c>
      <c r="E18" s="139">
        <v>7</v>
      </c>
      <c r="F18" s="168">
        <v>204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0</v>
      </c>
      <c r="C23" s="168">
        <v>0</v>
      </c>
      <c r="E23" s="139">
        <v>3</v>
      </c>
      <c r="F23" s="168">
        <v>0</v>
      </c>
      <c r="G23" s="168">
        <v>0</v>
      </c>
    </row>
    <row r="24" spans="1:11" x14ac:dyDescent="0.2">
      <c r="A24" s="139">
        <v>6</v>
      </c>
      <c r="B24" s="168">
        <v>218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200</v>
      </c>
      <c r="C25" s="168">
        <v>22</v>
      </c>
      <c r="E25" s="139">
        <v>7</v>
      </c>
      <c r="F25" s="168">
        <v>202</v>
      </c>
      <c r="G25" s="168">
        <v>22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0</v>
      </c>
      <c r="C29" s="168">
        <v>0</v>
      </c>
      <c r="E29" s="139">
        <v>3</v>
      </c>
      <c r="F29" s="203">
        <f t="shared" ref="F29:G32" si="0">B10+F10+B16+F16+B23+F23+B29</f>
        <v>0</v>
      </c>
      <c r="G29" s="203">
        <f t="shared" si="0"/>
        <v>0</v>
      </c>
      <c r="I29" s="139">
        <v>3</v>
      </c>
      <c r="J29" s="203">
        <f t="shared" ref="J29:K31" si="1">F29*15</f>
        <v>0</v>
      </c>
      <c r="K29" s="203">
        <f t="shared" si="1"/>
        <v>0</v>
      </c>
    </row>
    <row r="30" spans="1:11" x14ac:dyDescent="0.2">
      <c r="A30" s="139">
        <v>6</v>
      </c>
      <c r="B30" s="168">
        <v>112</v>
      </c>
      <c r="C30" s="165"/>
      <c r="E30" s="139">
        <v>6</v>
      </c>
      <c r="F30" s="203">
        <f t="shared" si="0"/>
        <v>1420</v>
      </c>
      <c r="G30" s="204">
        <f t="shared" si="0"/>
        <v>0</v>
      </c>
      <c r="I30" s="139">
        <v>6</v>
      </c>
      <c r="J30" s="203">
        <f t="shared" si="1"/>
        <v>21300</v>
      </c>
      <c r="K30" s="204">
        <f t="shared" si="1"/>
        <v>0</v>
      </c>
    </row>
    <row r="31" spans="1:11" x14ac:dyDescent="0.2">
      <c r="A31" s="139">
        <v>7</v>
      </c>
      <c r="B31" s="168">
        <v>201</v>
      </c>
      <c r="C31" s="168">
        <v>22</v>
      </c>
      <c r="E31" s="139">
        <v>7</v>
      </c>
      <c r="F31" s="203">
        <f t="shared" si="0"/>
        <v>1417</v>
      </c>
      <c r="G31" s="203">
        <f t="shared" si="0"/>
        <v>155</v>
      </c>
      <c r="I31" s="139">
        <v>7</v>
      </c>
      <c r="J31" s="203">
        <f t="shared" si="1"/>
        <v>21255</v>
      </c>
      <c r="K31" s="203">
        <f t="shared" si="1"/>
        <v>2325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758</v>
      </c>
      <c r="G32" s="204">
        <f t="shared" si="0"/>
        <v>0</v>
      </c>
      <c r="I32" s="139">
        <v>11</v>
      </c>
      <c r="J32" s="203">
        <f>F32*15</f>
        <v>11370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0</v>
      </c>
    </row>
    <row r="36" spans="1:9" x14ac:dyDescent="0.2">
      <c r="A36" s="172" t="s">
        <v>107</v>
      </c>
      <c r="B36" s="201">
        <f>B37+B38</f>
        <v>0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225</v>
      </c>
      <c r="H36" s="245"/>
      <c r="I36" s="225">
        <v>0</v>
      </c>
    </row>
    <row r="37" spans="1:9" x14ac:dyDescent="0.2">
      <c r="A37" s="172" t="s">
        <v>200</v>
      </c>
      <c r="B37" s="173">
        <v>0</v>
      </c>
      <c r="C37" s="236">
        <v>3.5000000000000003E-2</v>
      </c>
      <c r="D37" s="173">
        <v>4.0000000000000001E-3</v>
      </c>
      <c r="E37" s="173">
        <v>0.06</v>
      </c>
      <c r="G37" s="245" t="s">
        <v>226</v>
      </c>
      <c r="H37" s="245"/>
      <c r="I37" s="225">
        <v>180</v>
      </c>
    </row>
    <row r="38" spans="1:9" x14ac:dyDescent="0.2">
      <c r="A38" s="172" t="s">
        <v>201</v>
      </c>
      <c r="B38" s="173">
        <v>0</v>
      </c>
      <c r="C38" s="173">
        <v>0.32</v>
      </c>
      <c r="D38" s="173">
        <v>6.3E-2</v>
      </c>
      <c r="E38" s="173">
        <v>0.37</v>
      </c>
      <c r="G38" s="245" t="s">
        <v>227</v>
      </c>
      <c r="H38" s="245"/>
      <c r="I38" s="225">
        <v>207</v>
      </c>
    </row>
    <row r="39" spans="1:9" x14ac:dyDescent="0.2">
      <c r="A39" s="172" t="s">
        <v>202</v>
      </c>
      <c r="B39" s="173">
        <v>0</v>
      </c>
      <c r="C39" s="173">
        <v>0.59299999999999997</v>
      </c>
      <c r="D39" s="173">
        <v>0.73</v>
      </c>
      <c r="E39" s="173">
        <v>0.52100000000000002</v>
      </c>
      <c r="G39" s="245" t="s">
        <v>228</v>
      </c>
      <c r="H39" s="245"/>
      <c r="I39" s="225">
        <v>93</v>
      </c>
    </row>
    <row r="40" spans="1:9" x14ac:dyDescent="0.2">
      <c r="A40" s="172" t="s">
        <v>203</v>
      </c>
      <c r="B40" s="173">
        <v>0</v>
      </c>
      <c r="C40" s="173">
        <v>4.4999999999999998E-2</v>
      </c>
      <c r="D40" s="173">
        <v>0.19400000000000001</v>
      </c>
      <c r="E40" s="173">
        <v>0.04</v>
      </c>
      <c r="G40" s="245" t="s">
        <v>229</v>
      </c>
      <c r="H40" s="245"/>
      <c r="I40" s="225">
        <v>120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5" t="s">
        <v>231</v>
      </c>
      <c r="H41" s="245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0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</row>
    <row r="44" spans="1:9" x14ac:dyDescent="0.2">
      <c r="A44" s="233" t="s">
        <v>232</v>
      </c>
      <c r="B44" s="232">
        <v>0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0</v>
      </c>
      <c r="C45" s="231">
        <f>J30</f>
        <v>21300</v>
      </c>
      <c r="D45" s="231">
        <f>J31</f>
        <v>21255</v>
      </c>
      <c r="E45" s="231">
        <f>J32</f>
        <v>11370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0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0</v>
      </c>
      <c r="C49" s="173">
        <v>2E-3</v>
      </c>
      <c r="D49" s="173">
        <v>1E-3</v>
      </c>
      <c r="E49" s="173">
        <v>2E-3</v>
      </c>
    </row>
    <row r="50" spans="1:5" x14ac:dyDescent="0.2">
      <c r="A50" s="172" t="s">
        <v>207</v>
      </c>
      <c r="B50" s="173">
        <v>0</v>
      </c>
      <c r="C50" s="173">
        <v>2E-3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2025-05-26T12:42:57Z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