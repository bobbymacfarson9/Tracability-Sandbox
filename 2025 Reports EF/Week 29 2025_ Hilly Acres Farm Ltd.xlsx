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52AF27D-D582-405E-A9F7-0AEC654EBED5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<sst xmlns="http://schemas.openxmlformats.org/spreadsheetml/2006/main" count="533" uniqueCount="240">
  <si>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</si>
  <si>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</si>
  <si>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</si>
  <si>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</si>
  <si>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</si>
  <si>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</si>
  <si>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</si>
  <si>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</si>
  <si>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</si>
  <si>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</si>
  <si>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</si>
  <si>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</si>
  <si>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</si>
  <si>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</si>
  <si>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</si>
  <si>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</si>
  <si>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</si>
  <si>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</si>
  <si>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</si>
  <si>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</si>
  <si>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</si>
  <si>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</si>
  <si>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</si>
  <si>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</si>
  <si>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</si>
  <si>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</si>
  <si>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</si>
  <si>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</si>
  <si>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</si>
  <si>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</si>
  <si>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</si>
  <si>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</si>
  <si>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</si>
  <si>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</si>
  <si>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</si>
  <si>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</si>
  <si>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</si>
  <si>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</si>
  <si>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</si>
  <si>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</si>
  <si>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</si>
  <si>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</si>
  <si>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</si>
  <si>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</si>
  <si>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</si>
  <si>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</si>
  <si>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</si>
  <si>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</si>
  <si>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</si>
  <si>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</si>
  <si>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</si>
  <si>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</si>
  <si>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</si>
  <si>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</si>
  <si>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</si>
  <si>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</si>
  <si>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</si>
  <si>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</si>
  <si>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</si>
  <si>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</si>
  <si>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</si>
  <si>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</si>
  <si>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</si>
  <si>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</si>
  <si>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</si>
  <si>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</si>
  <si>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</si>
  <si>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</si>
  <si>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</si>
  <si>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</si>
  <si>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</si>
  <si>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</si>
  <si>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</si>
  <si>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</si>
  <si>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</si>
  <si>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</si>
  <si>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</si>
  <si>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</si>
  <si>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</si>
  <si>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</si>
  <si>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</si>
  <si>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</si>
  <si>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</si>
  <si>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</si>
  <si>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</si>
  <si>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</si>
  <si>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</si>
  <si>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</si>
  <si>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</si>
  <si>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</si>
  <si>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</si>
  <si>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</si>
  <si>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</si>
  <si>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</si>
  <si>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</si>
  <si>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</si>
  <si>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</si>
  <si>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</si>
  <si>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</si>
  <si>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</si>
  <si>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</si>
  <si>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</si>
  <si>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</si>
  <si>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</si>
  <si>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</si>
  <si>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</si>
  <si>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</si>
  <si>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</si>
  <si>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</si>
  <si>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</si>
  <si>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</si>
  <si>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</si>
  <si>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</si>
  <si>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</si>
  <si>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</si>
  <si>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</si>
  <si>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</si>
  <si>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</si>
  <si>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</si>
  <si>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</si>
  <si>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</si>
  <si>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</si>
  <si>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</si>
  <si>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</si>
  <si>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</si>
  <si>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</si>
  <si>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</si>
  <si>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</si>
  <si>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</si>
  <si>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</si>
  <si>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</si>
  <si>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</si>
  <si>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</si>
  <si>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</si>
  <si>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</si>
  <si>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</si>
  <si>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</si>
  <si>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</si>
  <si>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</si>
  <si>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</si>
  <si>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</si>
  <si>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</si>
  <si>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</si>
  <si>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</si>
  <si>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</si>
  <si>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</si>
  <si>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</si>
  <si>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</si>
  <si>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</si>
  <si>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</si>
  <si>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</si>
  <si>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</si>
  <si>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</si>
  <si>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</si>
  <si>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</si>
  <si>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</si>
  <si>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</si>
  <si>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</si>
  <si>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</si>
  <si>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</si>
  <si>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</si>
  <si>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</si>
  <si>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</si>
  <si>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</si>
  <si>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</si>
  <si>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</si>
  <si>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</si>
  <si>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</si>
  <si>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</si>
  <si>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</si>
  <si>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</si>
  <si>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</si>
  <si>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</si>
  <si>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</si>
  <si>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</si>
  <si>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</si>
  <si>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</si>
  <si>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</si>
  <si>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</si>
  <si>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</si>
  <si>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</si>
  <si>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</si>
  <si>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</si>
  <si>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</si>
  <si>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</si>
  <si>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</si>
  <si>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</si>
  <si>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</si>
  <si>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</si>
  <si>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</si>
  <si>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</si>
  <si>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</si>
  <si>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</si>
  <si>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</si>
  <si>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</si>
  <si>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</si>
  <si>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</si>
  <si>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</si>
  <si>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</si>
  <si>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</si>
  <si>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</si>
  <si>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</si>
  <si>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</si>
  <si>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</si>
  <si>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</si>
  <si>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</si>
  <si>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</si>
  <si>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</si>
  <si>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</si>
  <si>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</si>
  <si>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</si>
  <si>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</si>
  <si>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</si>
  <si>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</si>
  <si>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</si>
  <si>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</si>
  <si>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</si>
  <si>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</si>
  <si>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</si>
  <si>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</si>
  <si>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</si>
  <si>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</si>
  <si>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</si>
  <si>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</si>
  <si>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</si>
  <si>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</si>
  <si>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</si>
  <si>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</si>
  <si>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</si>
  <si>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</si>
  <si>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</si>
  <si>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</si>
  <si>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</si>
  <si>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</si>
  <si>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</si>
  <si>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</si>
  <si>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</si>
  <si>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</si>
  <si>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</si>
  <si>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July 18/25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</si>
</sst>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29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45858.25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18627.955251514104</v>
      </c>
      <c r="I7" s="27">
        <v>0</v>
      </c>
      <c r="J7" s="26">
        <f>IFERROR(H7-I7,"")</f>
        <v>18627.955251514104</v>
      </c>
      <c r="K7" s="26">
        <f>IFERROR(($E$26/($H$27+$H$28)*$H$27)*R28,"")</f>
        <v>111.76773150908465</v>
      </c>
      <c r="L7" s="26">
        <f>IFERROR(($E$26/($H$27+$H$28)*$H$27)*S28,"")</f>
        <v>0</v>
      </c>
      <c r="M7" s="28">
        <f>IFERROR(K7+L7,"")</f>
        <v>111.76773150908465</v>
      </c>
      <c r="N7" s="29">
        <f>IFERROR(O7+P7+Q7+R7+S7+T7+U7+V7,"")</f>
        <v>18516.18752000502</v>
      </c>
      <c r="O7" s="26">
        <f t="shared" ref="O7:V7" si="0">IFERROR(($E$26/($H$27+$H$28)*$H$27)*J28,"")</f>
        <v>819.63003106662075</v>
      </c>
      <c r="P7" s="26">
        <f>IFERROR(($E$26/($H$27+$H$28)*$H$27)*K28,"")</f>
        <v>4880.5242758966961</v>
      </c>
      <c r="Q7" s="26">
        <f t="shared" si="0"/>
        <v>11195.401106159978</v>
      </c>
      <c r="R7" s="26">
        <f t="shared" si="0"/>
        <v>1490.2364201211287</v>
      </c>
      <c r="S7" s="26">
        <f t="shared" si="0"/>
        <v>18.627955251514109</v>
      </c>
      <c r="T7" s="26">
        <f t="shared" si="0"/>
        <v>0</v>
      </c>
      <c r="U7" s="26">
        <f t="shared" si="0"/>
        <v>111.76773150908465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1262.0447484858946</v>
      </c>
      <c r="I8" s="27">
        <v>0</v>
      </c>
      <c r="J8" s="26">
        <f>IFERROR(H8-I8,"")</f>
        <v>1262.0447484858946</v>
      </c>
      <c r="K8" s="26">
        <f>IFERROR(($E$26/($H$27+$H$28)*$H$28)*R28,"")</f>
        <v>7.5722684909153681</v>
      </c>
      <c r="L8" s="26">
        <f>IFERROR(($E$26/($H$27+$H$28)*$H$28)*S28,"")</f>
        <v>0</v>
      </c>
      <c r="M8" s="28">
        <f>IFERROR(K8+L8,"")</f>
        <v>7.5722684909153681</v>
      </c>
      <c r="N8" s="29">
        <f>IFERROR(O8+P8+Q8+R8+S8+T8+U8+V8,"")</f>
        <v>1254.4724799949793</v>
      </c>
      <c r="O8" s="26">
        <f t="shared" ref="O8:V8" si="1">IFERROR(($E$26/($H$27+$H$28)*$H$28)*J28,"")</f>
        <v>55.529968933379358</v>
      </c>
      <c r="P8" s="26">
        <f t="shared" si="1"/>
        <v>330.65572410330441</v>
      </c>
      <c r="Q8" s="26">
        <f t="shared" si="1"/>
        <v>758.48889384002268</v>
      </c>
      <c r="R8" s="26">
        <f t="shared" si="1"/>
        <v>100.96357987887157</v>
      </c>
      <c r="S8" s="26">
        <f t="shared" si="1"/>
        <v>1.2620447484858945</v>
      </c>
      <c r="T8" s="26">
        <f t="shared" si="1"/>
        <v>0</v>
      </c>
      <c r="U8" s="26">
        <f t="shared" si="1"/>
        <v>7.5722684909153681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22275.000000000004</v>
      </c>
      <c r="I10" s="27">
        <v>0</v>
      </c>
      <c r="J10" s="26">
        <f>IFERROR(H10-I10,"")</f>
        <v>22275.000000000004</v>
      </c>
      <c r="K10" s="26">
        <f>IFERROR(($E$30/($H$31+$H$32)*$H$31)*R32,"")</f>
        <v>334.125</v>
      </c>
      <c r="L10" s="26">
        <f>IFERROR(($E$30/($H$31+$H$32)*$H$31)*S32,"")</f>
        <v>22.275000000000002</v>
      </c>
      <c r="M10" s="28">
        <f>IFERROR(K10+L10,"")</f>
        <v>356.4</v>
      </c>
      <c r="N10" s="29">
        <f>IFERROR(O10+P10+Q10+R10+S10+T10+U10+V10,"")</f>
        <v>21918.600000000002</v>
      </c>
      <c r="O10" s="26">
        <f t="shared" ref="O10:V10" si="2">IFERROR(($E$30/($H$31+$H$32)*$H$31)*J32,"")</f>
        <v>1648.35</v>
      </c>
      <c r="P10" s="26">
        <f t="shared" si="2"/>
        <v>7172.55</v>
      </c>
      <c r="Q10" s="26">
        <f t="shared" si="2"/>
        <v>11917.125</v>
      </c>
      <c r="R10" s="26">
        <f t="shared" si="2"/>
        <v>1113.75</v>
      </c>
      <c r="S10" s="26">
        <f t="shared" si="2"/>
        <v>0</v>
      </c>
      <c r="T10" s="26">
        <f t="shared" si="2"/>
        <v>0</v>
      </c>
      <c r="U10" s="26">
        <f t="shared" si="2"/>
        <v>66.825000000000003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21231.829530723357</v>
      </c>
      <c r="I13" s="27">
        <v>0</v>
      </c>
      <c r="J13" s="26">
        <f>IFERROR(H13-I13,"")</f>
        <v>21231.829530723357</v>
      </c>
      <c r="K13" s="26">
        <f>IFERROR(($E$34/($H$35+$H$36)*$H$35)*R36,"")</f>
        <v>169.85463624578688</v>
      </c>
      <c r="L13" s="26">
        <f>IFERROR(($E$34/($H$35+$H$36)*$H$35)*S36,"")</f>
        <v>21.23182953072336</v>
      </c>
      <c r="M13" s="28">
        <f>IFERROR(K13+L13,"")</f>
        <v>191.08646577651024</v>
      </c>
      <c r="N13" s="29">
        <f>IFERROR(O13+P13+Q13+R13+S13+T13+U13+V13,"")</f>
        <v>21040.743064946848</v>
      </c>
      <c r="O13" s="26">
        <f t="shared" ref="O13:V13" si="4">IFERROR(($E$34/($H$35+$H$36)*$H$35)*J36,"")</f>
        <v>403.40476108374384</v>
      </c>
      <c r="P13" s="26">
        <f t="shared" si="4"/>
        <v>4501.1478605133525</v>
      </c>
      <c r="Q13" s="26">
        <f t="shared" si="4"/>
        <v>14204.093956053928</v>
      </c>
      <c r="R13" s="26">
        <f t="shared" si="4"/>
        <v>1889.6328282343791</v>
      </c>
      <c r="S13" s="26">
        <f t="shared" si="4"/>
        <v>21.23182953072336</v>
      </c>
      <c r="T13" s="26">
        <f t="shared" si="4"/>
        <v>0</v>
      </c>
      <c r="U13" s="26">
        <f t="shared" si="4"/>
        <v>21.23182953072336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2363.1704692766402</v>
      </c>
      <c r="I14" s="27">
        <v>0</v>
      </c>
      <c r="J14" s="26">
        <f>IFERROR(H14-I14,"")</f>
        <v>2363.1704692766402</v>
      </c>
      <c r="K14" s="26">
        <f>IFERROR(($E$34/($H$35+$H$36)*$H$36)*R36,"")</f>
        <v>18.90536375421312</v>
      </c>
      <c r="L14" s="26">
        <f>IFERROR(($E$34/($H$35+$H$36)*$H$36)*S36,"")</f>
        <v>2.36317046927664</v>
      </c>
      <c r="M14" s="28">
        <f>IFERROR(K14+L14,"")</f>
        <v>21.268534223489759</v>
      </c>
      <c r="N14" s="29">
        <f>IFERROR(O14+P14+Q14+R14+S14+T14+U14+V14,"")</f>
        <v>2341.9019350531503</v>
      </c>
      <c r="O14" s="26">
        <f t="shared" ref="O14:V14" si="5">IFERROR(($E$34/($H$35+$H$36)*$H$36)*J36,"")</f>
        <v>44.900238916256157</v>
      </c>
      <c r="P14" s="26">
        <f t="shared" si="5"/>
        <v>500.9921394866476</v>
      </c>
      <c r="Q14" s="26">
        <f t="shared" si="5"/>
        <v>1580.9610439460721</v>
      </c>
      <c r="R14" s="26">
        <f t="shared" si="5"/>
        <v>210.32217176562094</v>
      </c>
      <c r="S14" s="26">
        <f t="shared" si="5"/>
        <v>2.36317046927664</v>
      </c>
      <c r="T14" s="26">
        <f t="shared" si="5"/>
        <v>0</v>
      </c>
      <c r="U14" s="26">
        <f t="shared" si="5"/>
        <v>2.36317046927664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11565.000000000002</v>
      </c>
      <c r="I16" s="27">
        <v>0</v>
      </c>
      <c r="J16" s="26">
        <f>IFERROR(H16-I16,"")</f>
        <v>11565.000000000002</v>
      </c>
      <c r="K16" s="26">
        <f>IFERROR(($E$38/($H$39)*$H$39)*R40,"")</f>
        <v>69.39</v>
      </c>
      <c r="L16" s="26">
        <f>IFERROR(($E$38/($H$39)*$H$39)*S40,"")</f>
        <v>23.13</v>
      </c>
      <c r="M16" s="28">
        <f>IFERROR(K16+L16,"")</f>
        <v>92.52</v>
      </c>
      <c r="N16" s="29">
        <f>IFERROR(O16+P16+Q16+R16+S16+T16+U16+V16,"")</f>
        <v>11472.480000000001</v>
      </c>
      <c r="O16" s="26">
        <f t="shared" ref="O16:V16" si="6">IFERROR(($E$38/($H$39)*$H$39)*J40,"")</f>
        <v>624.51</v>
      </c>
      <c r="P16" s="26">
        <f t="shared" si="6"/>
        <v>3330.72</v>
      </c>
      <c r="Q16" s="26">
        <f t="shared" si="6"/>
        <v>6499.5300000000007</v>
      </c>
      <c r="R16" s="26">
        <f t="shared" si="6"/>
        <v>959.8950000000001</v>
      </c>
      <c r="S16" s="26">
        <f t="shared" si="6"/>
        <v>11.565</v>
      </c>
      <c r="T16" s="26">
        <f t="shared" si="6"/>
        <v>0</v>
      </c>
      <c r="U16" s="26">
        <f t="shared" si="6"/>
        <v>46.26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77325</v>
      </c>
      <c r="I19" s="37">
        <f t="shared" si="7"/>
        <v>0</v>
      </c>
      <c r="J19" s="37">
        <f t="shared" si="7"/>
        <v>77325</v>
      </c>
      <c r="K19" s="37">
        <f t="shared" si="7"/>
        <v>711.61500000000001</v>
      </c>
      <c r="L19" s="37">
        <f t="shared" si="7"/>
        <v>69</v>
      </c>
      <c r="M19" s="37">
        <f t="shared" si="7"/>
        <v>780.61500000000001</v>
      </c>
      <c r="N19" s="37">
        <f t="shared" si="7"/>
        <v>76544.385000000009</v>
      </c>
      <c r="O19" s="37">
        <f t="shared" si="7"/>
        <v>3596.3249999999998</v>
      </c>
      <c r="P19" s="37">
        <f t="shared" si="7"/>
        <v>20716.59</v>
      </c>
      <c r="Q19" s="37">
        <f t="shared" si="7"/>
        <v>46155.6</v>
      </c>
      <c r="R19" s="37">
        <f t="shared" si="7"/>
        <v>5764.8</v>
      </c>
      <c r="S19" s="37">
        <f t="shared" si="7"/>
        <v>55.05</v>
      </c>
      <c r="T19" s="37">
        <f t="shared" si="7"/>
        <v>0</v>
      </c>
      <c r="U19" s="37">
        <f t="shared" si="7"/>
        <v>256.02000000000004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77325.000000000015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19890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29845</v>
      </c>
      <c r="I27" s="30"/>
      <c r="J27" s="198">
        <f>$E$26*J28</f>
        <v>875.16</v>
      </c>
      <c r="K27" s="198">
        <f t="shared" ref="K27:S27" si="8">$E$26*K28</f>
        <v>5211.18</v>
      </c>
      <c r="L27" s="198">
        <f t="shared" si="8"/>
        <v>11953.89</v>
      </c>
      <c r="M27" s="198">
        <f t="shared" si="8"/>
        <v>1591.2</v>
      </c>
      <c r="N27" s="198">
        <f t="shared" si="8"/>
        <v>19.89</v>
      </c>
      <c r="O27" s="198">
        <f t="shared" si="8"/>
        <v>0</v>
      </c>
      <c r="P27" s="198">
        <f t="shared" si="8"/>
        <v>119.34</v>
      </c>
      <c r="Q27" s="198">
        <f t="shared" si="8"/>
        <v>0</v>
      </c>
      <c r="R27" s="198">
        <f t="shared" si="8"/>
        <v>119.34</v>
      </c>
      <c r="S27" s="198">
        <f t="shared" si="8"/>
        <v>0</v>
      </c>
      <c r="T27" s="199">
        <f>SUM(J27:S27)</f>
        <v>19890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2022</v>
      </c>
      <c r="I28" s="30"/>
      <c r="J28" s="197">
        <f>Inputs!B37</f>
        <v>4.3999999999999997E-2</v>
      </c>
      <c r="K28" s="197">
        <f>Inputs!B38</f>
        <v>0.26200000000000001</v>
      </c>
      <c r="L28" s="197">
        <f>Inputs!B39</f>
        <v>0.60099999999999998</v>
      </c>
      <c r="M28" s="197">
        <f>Inputs!B40</f>
        <v>0.08</v>
      </c>
      <c r="N28" s="197">
        <f>Inputs!B41</f>
        <v>1E-3</v>
      </c>
      <c r="O28" s="197">
        <v>0</v>
      </c>
      <c r="P28" s="197">
        <f>Inputs!B49</f>
        <v>6.0000000000000001E-3</v>
      </c>
      <c r="Q28" s="197">
        <f>Inputs!B42</f>
        <v>0</v>
      </c>
      <c r="R28" s="197">
        <f>Inputs!B50+Inputs!B48</f>
        <v>6.0000000000000001E-3</v>
      </c>
      <c r="S28" s="197">
        <f>Inputs!B47</f>
        <v>0</v>
      </c>
      <c r="T28" s="200">
        <f>SUM(J28:S28)</f>
        <v>1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22275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38790</v>
      </c>
      <c r="I31" s="26"/>
      <c r="J31" s="198">
        <f>$E30*J32</f>
        <v>1648.35</v>
      </c>
      <c r="K31" s="198">
        <f t="shared" ref="K31:S31" si="9">$E30*K32</f>
        <v>7172.55</v>
      </c>
      <c r="L31" s="198">
        <f t="shared" si="9"/>
        <v>11917.125</v>
      </c>
      <c r="M31" s="198">
        <f t="shared" si="9"/>
        <v>1113.75</v>
      </c>
      <c r="N31" s="198">
        <f t="shared" si="9"/>
        <v>0</v>
      </c>
      <c r="O31" s="198">
        <f t="shared" si="9"/>
        <v>0</v>
      </c>
      <c r="P31" s="198">
        <f t="shared" si="9"/>
        <v>66.825000000000003</v>
      </c>
      <c r="Q31" s="198">
        <f t="shared" si="9"/>
        <v>0</v>
      </c>
      <c r="R31" s="198">
        <f t="shared" si="9"/>
        <v>334.125</v>
      </c>
      <c r="S31" s="198">
        <f t="shared" si="9"/>
        <v>22.275000000000002</v>
      </c>
      <c r="T31" s="199">
        <f>SUM(J31:S31)</f>
        <v>22275.000000000004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7.3999999999999996E-2</v>
      </c>
      <c r="K32" s="197">
        <f>Inputs!C38</f>
        <v>0.32200000000000001</v>
      </c>
      <c r="L32" s="197">
        <f>Inputs!C39</f>
        <v>0.53500000000000003</v>
      </c>
      <c r="M32" s="197">
        <f>Inputs!C40</f>
        <v>0.05</v>
      </c>
      <c r="N32" s="197">
        <f>Inputs!C41</f>
        <v>0</v>
      </c>
      <c r="O32" s="197">
        <v>0</v>
      </c>
      <c r="P32" s="197">
        <f>Inputs!C49</f>
        <v>3.0000000000000001E-3</v>
      </c>
      <c r="Q32" s="197">
        <f>Inputs!C42</f>
        <v>0</v>
      </c>
      <c r="R32" s="197">
        <f>Inputs!C48+Inputs!C50</f>
        <v>1.4999999999999999E-2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23595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34707</v>
      </c>
      <c r="I35" s="30"/>
      <c r="J35" s="198">
        <f>$E34*J36</f>
        <v>448.30500000000001</v>
      </c>
      <c r="K35" s="198">
        <f t="shared" ref="K35:S35" si="10">$E34*K36</f>
        <v>5002.1399999999994</v>
      </c>
      <c r="L35" s="198">
        <f t="shared" si="10"/>
        <v>15785.055</v>
      </c>
      <c r="M35" s="198">
        <f t="shared" si="10"/>
        <v>2099.9549999999999</v>
      </c>
      <c r="N35" s="198">
        <f t="shared" si="10"/>
        <v>23.594999999999999</v>
      </c>
      <c r="O35" s="198">
        <f t="shared" si="10"/>
        <v>0</v>
      </c>
      <c r="P35" s="198">
        <f t="shared" si="10"/>
        <v>23.594999999999999</v>
      </c>
      <c r="Q35" s="198">
        <f t="shared" si="10"/>
        <v>0</v>
      </c>
      <c r="R35" s="198">
        <f t="shared" si="10"/>
        <v>188.76</v>
      </c>
      <c r="S35" s="198">
        <f t="shared" si="10"/>
        <v>23.594999999999999</v>
      </c>
      <c r="T35" s="199">
        <f>SUM(J35:S35)</f>
        <v>23595.000000000004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3863</v>
      </c>
      <c r="I36" s="30"/>
      <c r="J36" s="197">
        <f>Inputs!D37</f>
        <v>1.9E-2</v>
      </c>
      <c r="K36" s="197">
        <f>Inputs!D38</f>
        <v>0.21199999999999999</v>
      </c>
      <c r="L36" s="197">
        <f>Inputs!D39</f>
        <v>0.66900000000000004</v>
      </c>
      <c r="M36" s="197">
        <f>Inputs!D40</f>
        <v>8.8999999999999996E-2</v>
      </c>
      <c r="N36" s="197">
        <f>Inputs!D41</f>
        <v>1E-3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8.0000000000000002E-3</v>
      </c>
      <c r="S36" s="197">
        <f>Inputs!D47</f>
        <v>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11565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18761</v>
      </c>
      <c r="I39" s="30"/>
      <c r="J39" s="198">
        <f>$E38*J40</f>
        <v>624.51</v>
      </c>
      <c r="K39" s="198">
        <f t="shared" ref="K39:S39" si="11">$E38*K40</f>
        <v>3330.72</v>
      </c>
      <c r="L39" s="198">
        <f t="shared" si="11"/>
        <v>6499.5300000000007</v>
      </c>
      <c r="M39" s="198">
        <f t="shared" si="11"/>
        <v>959.8950000000001</v>
      </c>
      <c r="N39" s="198">
        <f t="shared" si="11"/>
        <v>11.565</v>
      </c>
      <c r="O39" s="198">
        <f t="shared" si="11"/>
        <v>0</v>
      </c>
      <c r="P39" s="198">
        <f t="shared" si="11"/>
        <v>46.26</v>
      </c>
      <c r="Q39" s="198">
        <f t="shared" si="11"/>
        <v>0</v>
      </c>
      <c r="R39" s="198">
        <f t="shared" si="11"/>
        <v>69.39</v>
      </c>
      <c r="S39" s="198">
        <f t="shared" si="11"/>
        <v>23.13</v>
      </c>
      <c r="T39" s="199">
        <f>SUM(J39:S39)</f>
        <v>11565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5.3999999999999999E-2</v>
      </c>
      <c r="K40" s="197">
        <f>Inputs!E38</f>
        <v>0.28799999999999998</v>
      </c>
      <c r="L40" s="197">
        <f>Inputs!E39</f>
        <v>0.56200000000000006</v>
      </c>
      <c r="M40" s="197">
        <f>Inputs!E40</f>
        <v>8.3000000000000004E-2</v>
      </c>
      <c r="N40" s="197">
        <f>Inputs!E41</f>
        <v>1E-3</v>
      </c>
      <c r="O40" s="197">
        <v>0</v>
      </c>
      <c r="P40" s="197">
        <f>Inputs!E49</f>
        <v>4.0000000000000001E-3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45858.25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29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1200</v>
      </c>
      <c r="C13" s="220">
        <f>'Grade out Information'!X26</f>
        <v>18000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1200</v>
      </c>
      <c r="C27" s="222">
        <f>SUM(C13:C26)</f>
        <v>18000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U33" sqref="U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29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16515</v>
      </c>
      <c r="J15" s="133">
        <f>X15*K15</f>
        <v>5053.59</v>
      </c>
      <c r="K15" s="184">
        <f>Inputs!B36</f>
        <v>0.30599999999999999</v>
      </c>
      <c r="L15" s="133">
        <f>X15*M15</f>
        <v>9925.5149999999994</v>
      </c>
      <c r="M15" s="184">
        <f>Inputs!B39</f>
        <v>0.60099999999999998</v>
      </c>
      <c r="N15" s="133">
        <f>X15*O15</f>
        <v>1321.2</v>
      </c>
      <c r="O15" s="184">
        <f>Inputs!B40</f>
        <v>0.08</v>
      </c>
      <c r="P15" s="133">
        <f>X15*Q15</f>
        <v>16.515000000000001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198.18</v>
      </c>
      <c r="W15" s="185">
        <f>Inputs!B43</f>
        <v>1.2E-2</v>
      </c>
      <c r="X15" s="213">
        <f>Z15*15</f>
        <v>16515</v>
      </c>
      <c r="Y15" s="209">
        <f>K15+M15+O15+Q15+S15+U15+W15</f>
        <v>1</v>
      </c>
      <c r="Z15" s="226">
        <f>Inputs!I35</f>
        <v>1101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1484.9999999999998</v>
      </c>
      <c r="J16" s="133">
        <f>X16*K16</f>
        <v>454.40999999999997</v>
      </c>
      <c r="K16" s="184">
        <f>K15</f>
        <v>0.30599999999999999</v>
      </c>
      <c r="L16" s="133">
        <f t="shared" ref="L16:L23" si="0">X16*M16</f>
        <v>892.48500000000001</v>
      </c>
      <c r="M16" s="184">
        <f>M15</f>
        <v>0.60099999999999998</v>
      </c>
      <c r="N16" s="133">
        <f t="shared" ref="N16:N21" si="1">X16*O16</f>
        <v>118.8</v>
      </c>
      <c r="O16" s="184">
        <f>O15</f>
        <v>0.08</v>
      </c>
      <c r="P16" s="133">
        <f t="shared" ref="P16:P23" si="2">X16*Q16</f>
        <v>1.4850000000000001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17.82</v>
      </c>
      <c r="W16" s="185">
        <f>W15</f>
        <v>1.2E-2</v>
      </c>
      <c r="X16" s="213">
        <f t="shared" ref="X16:X23" si="6">Z16*15</f>
        <v>1485</v>
      </c>
      <c r="Y16" s="209">
        <f>K16+M16+O16+Q16+S16+U16+W16</f>
        <v>1</v>
      </c>
      <c r="Z16" s="226">
        <f>Inputs!I36</f>
        <v>99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0.39600000000000002</v>
      </c>
      <c r="L18" s="133">
        <f t="shared" si="0"/>
        <v>0</v>
      </c>
      <c r="M18" s="184">
        <f>Inputs!C39</f>
        <v>0.53500000000000003</v>
      </c>
      <c r="N18" s="133">
        <f t="shared" si="1"/>
        <v>0</v>
      </c>
      <c r="O18" s="184">
        <f>Inputs!C40</f>
        <v>0.05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1.9E-2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0.23099999999999998</v>
      </c>
      <c r="L20" s="133">
        <f t="shared" si="0"/>
        <v>0</v>
      </c>
      <c r="M20" s="184">
        <f>Inputs!D39</f>
        <v>0.66900000000000004</v>
      </c>
      <c r="N20" s="133">
        <f t="shared" si="1"/>
        <v>0</v>
      </c>
      <c r="O20" s="184">
        <f>Inputs!D40</f>
        <v>8.8999999999999996E-2</v>
      </c>
      <c r="P20" s="133">
        <f t="shared" si="2"/>
        <v>0</v>
      </c>
      <c r="Q20" s="184">
        <f>Inputs!D41</f>
        <v>1E-3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0.01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0.23099999999999998</v>
      </c>
      <c r="L21" s="133">
        <f t="shared" si="0"/>
        <v>0</v>
      </c>
      <c r="M21" s="184">
        <f>M20</f>
        <v>0.66900000000000004</v>
      </c>
      <c r="N21" s="133">
        <f t="shared" si="1"/>
        <v>0</v>
      </c>
      <c r="O21" s="184">
        <f>O20</f>
        <v>8.8999999999999996E-2</v>
      </c>
      <c r="P21" s="133">
        <f t="shared" si="2"/>
        <v>0</v>
      </c>
      <c r="Q21" s="184">
        <f>Q20</f>
        <v>1E-3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0.01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0.34199999999999997</v>
      </c>
      <c r="L23" s="133">
        <f t="shared" si="0"/>
        <v>0</v>
      </c>
      <c r="M23" s="184">
        <f>Inputs!E39</f>
        <v>0.56200000000000006</v>
      </c>
      <c r="N23" s="133">
        <f>X23*O23</f>
        <v>0</v>
      </c>
      <c r="O23" s="184">
        <f>Inputs!E40</f>
        <v>8.3000000000000004E-2</v>
      </c>
      <c r="P23" s="133">
        <f t="shared" si="2"/>
        <v>0</v>
      </c>
      <c r="Q23" s="184">
        <f>Inputs!E41</f>
        <v>1E-3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1.2E-2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5508</v>
      </c>
      <c r="K26" s="139"/>
      <c r="L26" s="139">
        <f>SUM(L15:L25)</f>
        <v>10818</v>
      </c>
      <c r="M26" s="139"/>
      <c r="N26" s="139">
        <f>SUM(N15:N25)</f>
        <v>1440</v>
      </c>
      <c r="O26" s="139"/>
      <c r="P26" s="139">
        <f>SUM(P15:P25)</f>
        <v>18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216</v>
      </c>
      <c r="W26" s="139"/>
      <c r="X26" s="139">
        <f>SUM(X15:X25)</f>
        <v>18000</v>
      </c>
      <c r="Y26" s="139"/>
      <c r="Z26" s="139">
        <f>SUM(Z15:Z25)</f>
        <v>1200</v>
      </c>
      <c r="AA26" s="141">
        <f>IF(Z33=0,0,Z33/(H33+Z33))</f>
        <v>0</v>
      </c>
      <c r="AB26" s="139">
        <f>G26+X26</f>
        <v>18000</v>
      </c>
      <c r="AC26" s="139">
        <f>H26+Z26</f>
        <v>1200</v>
      </c>
      <c r="AD26" s="141">
        <f>I26+AA26</f>
        <v>0</v>
      </c>
    </row>
    <row r="30" spans="1:30" x14ac:dyDescent="0.2">
      <c r="A30" s="3" t="s">
        <v>106</v>
      </c>
      <c r="B30">
        <f>J26</f>
        <v>5508</v>
      </c>
    </row>
    <row r="31" spans="1:30" x14ac:dyDescent="0.2">
      <c r="A31" s="3" t="s">
        <v>107</v>
      </c>
      <c r="B31">
        <f>L26</f>
        <v>10818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1440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18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216</v>
      </c>
    </row>
    <row r="38" spans="1:13" x14ac:dyDescent="0.2">
      <c r="A38" s="3" t="s">
        <v>127</v>
      </c>
      <c r="B38">
        <f>SUM(B30:B36)</f>
        <v>18000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4" sqref="I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29845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2022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38790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34707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3863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18761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9" sqref="N2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29</v>
      </c>
      <c r="C7" s="151">
        <v>940918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1405</v>
      </c>
      <c r="J7" s="189">
        <f>IF(H7="NEW",203, IF(H7="OLD",192,0))</f>
        <v>203</v>
      </c>
      <c r="K7" s="151">
        <v>1608</v>
      </c>
      <c r="L7" s="211">
        <f>IF(K7&gt;0,I7/E7,"NA")</f>
        <v>23.416666666666668</v>
      </c>
      <c r="M7" s="151">
        <v>945677</v>
      </c>
      <c r="N7" s="152" t="s">
        <v>239</v>
      </c>
      <c r="O7" s="157" t="s">
        <v>230</v>
      </c>
      <c r="P7" s="187">
        <f>IF(D7=Inputs!F$2,Inputs!I$2,IF(D7=Inputs!F$3,Inputs!I$3,IF(D7=Inputs!F$4,Inputs!I$4,IF(D7=Inputs!F$5,Inputs!I$5,"NA"))))</f>
        <v>27.892857142857142</v>
      </c>
    </row>
    <row r="8" spans="1:16" x14ac:dyDescent="0.25">
      <c r="A8" s="148">
        <v>2</v>
      </c>
      <c r="B8" s="189">
        <f>Inputs!C$2</f>
        <v>29</v>
      </c>
      <c r="C8" s="151">
        <v>940919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1399</v>
      </c>
      <c r="J8" s="189">
        <f>IF(H8="NEW",203, IF(H8="OLD",192,0))</f>
        <v>203</v>
      </c>
      <c r="K8" s="151">
        <v>1602</v>
      </c>
      <c r="L8" s="211">
        <f>IF(K8&gt;0,I8/E8,"NA")</f>
        <v>23.316666666666666</v>
      </c>
      <c r="M8" s="151">
        <v>945677</v>
      </c>
      <c r="N8" s="152" t="s">
        <v>239</v>
      </c>
      <c r="O8" s="157" t="s">
        <v>50</v>
      </c>
      <c r="P8" s="187">
        <f>IF(D8=Inputs!F$2,Inputs!I$2,IF(D8=Inputs!F$3,Inputs!I$3,IF(D8=Inputs!F$4,Inputs!I$4,IF(D8=Inputs!F$5,Inputs!I$5,"NA"))))</f>
        <v>27.892857142857142</v>
      </c>
    </row>
    <row r="9" spans="1:16" x14ac:dyDescent="0.25">
      <c r="A9" s="148">
        <v>3</v>
      </c>
      <c r="B9" s="189">
        <f>Inputs!C$2</f>
        <v>29</v>
      </c>
      <c r="C9" s="151">
        <v>940920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1401</v>
      </c>
      <c r="J9" s="189">
        <f>IF(H9="NEW",203, IF(H9="OLD",192,0))</f>
        <v>203</v>
      </c>
      <c r="K9" s="151">
        <v>1604</v>
      </c>
      <c r="L9" s="211">
        <f t="shared" ref="L9:L72" si="1">IF(K9&gt;0,I9/E9,"NA")</f>
        <v>23.35</v>
      </c>
      <c r="M9" s="151">
        <v>945677</v>
      </c>
      <c r="N9" s="152" t="s">
        <v>239</v>
      </c>
      <c r="O9" s="157" t="s">
        <v>230</v>
      </c>
      <c r="P9" s="187">
        <f>IF(D9=Inputs!F$2,Inputs!I$2,IF(D9=Inputs!F$3,Inputs!I$3,IF(D9=Inputs!F$4,Inputs!I$4,IF(D9=Inputs!F$5,Inputs!I$5,"NA"))))</f>
        <v>27.892857142857142</v>
      </c>
    </row>
    <row r="10" spans="1:16" x14ac:dyDescent="0.25">
      <c r="A10" s="148">
        <v>4</v>
      </c>
      <c r="B10" s="189">
        <f>Inputs!C$2</f>
        <v>29</v>
      </c>
      <c r="C10" s="151">
        <v>940921</v>
      </c>
      <c r="D10" s="188" t="s">
        <v>234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1405</v>
      </c>
      <c r="J10" s="189">
        <f>IF(H10="NEW",203, IF(H10="OLD",192,0))</f>
        <v>203</v>
      </c>
      <c r="K10" s="151">
        <v>1608</v>
      </c>
      <c r="L10" s="211">
        <f t="shared" si="1"/>
        <v>23.416666666666668</v>
      </c>
      <c r="M10" s="151">
        <v>945677</v>
      </c>
      <c r="N10" s="152" t="s">
        <v>239</v>
      </c>
      <c r="O10" s="157" t="s">
        <v>50</v>
      </c>
      <c r="P10" s="187">
        <f>IF(D10=Inputs!F$2,Inputs!I$2,IF(D10=Inputs!F$3,Inputs!I$3,IF(D10=Inputs!F$4,Inputs!I$4,IF(D10=Inputs!F$5,Inputs!I$5,"NA"))))</f>
        <v>27.892857142857142</v>
      </c>
    </row>
    <row r="11" spans="1:16" x14ac:dyDescent="0.25">
      <c r="A11" s="148">
        <v>5</v>
      </c>
      <c r="B11" s="189">
        <f>Inputs!C$2</f>
        <v>29</v>
      </c>
      <c r="C11" s="151">
        <v>940922</v>
      </c>
      <c r="D11" s="188" t="s">
        <v>234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1399</v>
      </c>
      <c r="J11" s="189">
        <f t="shared" ref="J11:J72" si="2">IF(H11="NEW",203, IF(H11="OLD",192,0))</f>
        <v>203</v>
      </c>
      <c r="K11" s="151">
        <v>1602</v>
      </c>
      <c r="L11" s="211">
        <f>IF(K11&gt;0,I11/E11,"NA")</f>
        <v>23.316666666666666</v>
      </c>
      <c r="M11" s="151">
        <v>945677</v>
      </c>
      <c r="N11" s="152" t="s">
        <v>239</v>
      </c>
      <c r="O11" s="157" t="s">
        <v>50</v>
      </c>
      <c r="P11" s="187">
        <f>IF(D11=Inputs!F$2,Inputs!I$2,IF(D11=Inputs!F$3,Inputs!I$3,IF(D11=Inputs!F$4,Inputs!I$4,IF(D11=Inputs!F$5,Inputs!I$5,"NA"))))</f>
        <v>27.892857142857142</v>
      </c>
    </row>
    <row r="12" spans="1:16" x14ac:dyDescent="0.25">
      <c r="A12" s="148">
        <v>6</v>
      </c>
      <c r="B12" s="189">
        <f>Inputs!C$2</f>
        <v>29</v>
      </c>
      <c r="C12" s="151">
        <v>940923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1409</v>
      </c>
      <c r="J12" s="189">
        <f t="shared" si="2"/>
        <v>203</v>
      </c>
      <c r="K12" s="151">
        <v>1612</v>
      </c>
      <c r="L12" s="211">
        <f t="shared" si="1"/>
        <v>23.483333333333334</v>
      </c>
      <c r="M12" s="151">
        <v>945677</v>
      </c>
      <c r="N12" s="152" t="s">
        <v>239</v>
      </c>
      <c r="O12" s="157" t="s">
        <v>230</v>
      </c>
      <c r="P12" s="187">
        <f>IF(D12=Inputs!F$2,Inputs!I$2,IF(D12=Inputs!F$3,Inputs!I$3,IF(D12=Inputs!F$4,Inputs!I$4,IF(D12=Inputs!F$5,Inputs!I$5,"NA"))))</f>
        <v>27.892857142857142</v>
      </c>
    </row>
    <row r="13" spans="1:16" x14ac:dyDescent="0.25">
      <c r="A13" s="148">
        <v>7</v>
      </c>
      <c r="B13" s="189">
        <f>Inputs!C$2</f>
        <v>29</v>
      </c>
      <c r="C13" s="151">
        <v>940924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1411</v>
      </c>
      <c r="J13" s="189">
        <f t="shared" si="2"/>
        <v>203</v>
      </c>
      <c r="K13" s="151">
        <v>1614</v>
      </c>
      <c r="L13" s="211">
        <f t="shared" si="1"/>
        <v>23.516666666666666</v>
      </c>
      <c r="M13" s="151">
        <v>945677</v>
      </c>
      <c r="N13" s="152" t="s">
        <v>239</v>
      </c>
      <c r="O13" s="157" t="s">
        <v>230</v>
      </c>
      <c r="P13" s="187">
        <f>IF(D13=Inputs!F$2,Inputs!I$2,IF(D13=Inputs!F$3,Inputs!I$3,IF(D13=Inputs!F$4,Inputs!I$4,IF(D13=Inputs!F$5,Inputs!I$5,"NA"))))</f>
        <v>27.892857142857142</v>
      </c>
    </row>
    <row r="14" spans="1:16" x14ac:dyDescent="0.25">
      <c r="A14" s="148">
        <v>8</v>
      </c>
      <c r="B14" s="189">
        <f>Inputs!C$2</f>
        <v>29</v>
      </c>
      <c r="C14" s="151">
        <v>940925</v>
      </c>
      <c r="D14" s="188" t="s">
        <v>234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1397</v>
      </c>
      <c r="J14" s="189">
        <f t="shared" si="2"/>
        <v>203</v>
      </c>
      <c r="K14" s="151">
        <v>1600</v>
      </c>
      <c r="L14" s="211">
        <f t="shared" si="1"/>
        <v>23.283333333333335</v>
      </c>
      <c r="M14" s="151">
        <v>945677</v>
      </c>
      <c r="N14" s="152" t="s">
        <v>239</v>
      </c>
      <c r="O14" s="157" t="s">
        <v>230</v>
      </c>
      <c r="P14" s="187">
        <f>IF(D14=Inputs!F$2,Inputs!I$2,IF(D14=Inputs!F$3,Inputs!I$3,IF(D14=Inputs!F$4,Inputs!I$4,IF(D14=Inputs!F$5,Inputs!I$5,"NA"))))</f>
        <v>27.892857142857142</v>
      </c>
    </row>
    <row r="15" spans="1:16" x14ac:dyDescent="0.25">
      <c r="A15" s="148">
        <v>9</v>
      </c>
      <c r="B15" s="189">
        <f>Inputs!C$2</f>
        <v>29</v>
      </c>
      <c r="C15" s="151">
        <v>940926</v>
      </c>
      <c r="D15" s="188" t="s">
        <v>234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1421</v>
      </c>
      <c r="J15" s="189">
        <f t="shared" si="2"/>
        <v>203</v>
      </c>
      <c r="K15" s="151">
        <v>1624</v>
      </c>
      <c r="L15" s="211">
        <f t="shared" si="1"/>
        <v>23.683333333333334</v>
      </c>
      <c r="M15" s="151">
        <v>945677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27.892857142857142</v>
      </c>
    </row>
    <row r="16" spans="1:16" x14ac:dyDescent="0.25">
      <c r="A16" s="148">
        <v>10</v>
      </c>
      <c r="B16" s="189">
        <f>Inputs!C$2</f>
        <v>29</v>
      </c>
      <c r="C16" s="151">
        <v>940927</v>
      </c>
      <c r="D16" s="188" t="s">
        <v>234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1405</v>
      </c>
      <c r="J16" s="189">
        <f t="shared" si="2"/>
        <v>203</v>
      </c>
      <c r="K16" s="151">
        <v>1608</v>
      </c>
      <c r="L16" s="211">
        <f t="shared" si="1"/>
        <v>23.416666666666668</v>
      </c>
      <c r="M16" s="151">
        <v>945677</v>
      </c>
      <c r="N16" s="152" t="s">
        <v>239</v>
      </c>
      <c r="O16" s="157" t="s">
        <v>230</v>
      </c>
      <c r="P16" s="187">
        <f>IF(D16=Inputs!F$2,Inputs!I$2,IF(D16=Inputs!F$3,Inputs!I$3,IF(D16=Inputs!F$4,Inputs!I$4,IF(D16=Inputs!F$5,Inputs!I$5,"NA"))))</f>
        <v>27.892857142857142</v>
      </c>
    </row>
    <row r="17" spans="1:16" x14ac:dyDescent="0.25">
      <c r="A17" s="148">
        <v>11</v>
      </c>
      <c r="B17" s="189">
        <f>Inputs!C$2</f>
        <v>29</v>
      </c>
      <c r="C17" s="151">
        <v>940928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1407</v>
      </c>
      <c r="J17" s="189">
        <f t="shared" si="2"/>
        <v>203</v>
      </c>
      <c r="K17" s="151">
        <v>1610</v>
      </c>
      <c r="L17" s="211">
        <f t="shared" si="1"/>
        <v>23.45</v>
      </c>
      <c r="M17" s="151">
        <v>945677</v>
      </c>
      <c r="N17" s="152" t="s">
        <v>239</v>
      </c>
      <c r="O17" s="157" t="s">
        <v>50</v>
      </c>
      <c r="P17" s="187">
        <f>IF(D17=Inputs!F$2,Inputs!I$2,IF(D17=Inputs!F$3,Inputs!I$3,IF(D17=Inputs!F$4,Inputs!I$4,IF(D17=Inputs!F$5,Inputs!I$5,"NA"))))</f>
        <v>27.892857142857142</v>
      </c>
    </row>
    <row r="18" spans="1:16" x14ac:dyDescent="0.25">
      <c r="A18" s="148">
        <v>12</v>
      </c>
      <c r="B18" s="189">
        <f>Inputs!C$2</f>
        <v>29</v>
      </c>
      <c r="C18" s="151">
        <v>940929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1419</v>
      </c>
      <c r="J18" s="189">
        <f t="shared" si="2"/>
        <v>203</v>
      </c>
      <c r="K18" s="151">
        <v>1622</v>
      </c>
      <c r="L18" s="211">
        <f t="shared" si="1"/>
        <v>23.65</v>
      </c>
      <c r="M18" s="151">
        <v>945677</v>
      </c>
      <c r="N18" s="152" t="s">
        <v>239</v>
      </c>
      <c r="O18" s="157" t="s">
        <v>230</v>
      </c>
      <c r="P18" s="187">
        <f>IF(D18=Inputs!F$2,Inputs!I$2,IF(D18=Inputs!F$3,Inputs!I$3,IF(D18=Inputs!F$4,Inputs!I$4,IF(D18=Inputs!F$5,Inputs!I$5,"NA"))))</f>
        <v>27.892857142857142</v>
      </c>
    </row>
    <row r="19" spans="1:16" x14ac:dyDescent="0.25">
      <c r="A19" s="148">
        <v>13</v>
      </c>
      <c r="B19" s="189">
        <f>Inputs!C$2</f>
        <v>29</v>
      </c>
      <c r="C19" s="151">
        <v>940930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1427</v>
      </c>
      <c r="J19" s="189">
        <f t="shared" si="2"/>
        <v>203</v>
      </c>
      <c r="K19" s="151">
        <v>1630</v>
      </c>
      <c r="L19" s="211">
        <f t="shared" si="1"/>
        <v>23.783333333333335</v>
      </c>
      <c r="M19" s="151">
        <v>945677</v>
      </c>
      <c r="N19" s="152" t="s">
        <v>239</v>
      </c>
      <c r="O19" s="157" t="s">
        <v>50</v>
      </c>
      <c r="P19" s="187">
        <f>IF(D19=Inputs!F$2,Inputs!I$2,IF(D19=Inputs!F$3,Inputs!I$3,IF(D19=Inputs!F$4,Inputs!I$4,IF(D19=Inputs!F$5,Inputs!I$5,"NA"))))</f>
        <v>27.892857142857142</v>
      </c>
    </row>
    <row r="20" spans="1:16" x14ac:dyDescent="0.25">
      <c r="A20" s="148">
        <v>14</v>
      </c>
      <c r="B20" s="189">
        <f>Inputs!C$2</f>
        <v>29</v>
      </c>
      <c r="C20" s="151">
        <v>940931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1407</v>
      </c>
      <c r="J20" s="189">
        <f t="shared" si="2"/>
        <v>203</v>
      </c>
      <c r="K20" s="151">
        <v>1610</v>
      </c>
      <c r="L20" s="211">
        <f t="shared" si="1"/>
        <v>23.45</v>
      </c>
      <c r="M20" s="151">
        <v>945677</v>
      </c>
      <c r="N20" s="152" t="s">
        <v>239</v>
      </c>
      <c r="O20" s="157" t="s">
        <v>50</v>
      </c>
      <c r="P20" s="187">
        <f>IF(D20=Inputs!F$2,Inputs!I$2,IF(D20=Inputs!F$3,Inputs!I$3,IF(D20=Inputs!F$4,Inputs!I$4,IF(D20=Inputs!F$5,Inputs!I$5,"NA"))))</f>
        <v>27.892857142857142</v>
      </c>
    </row>
    <row r="21" spans="1:16" x14ac:dyDescent="0.25">
      <c r="A21" s="148">
        <v>15</v>
      </c>
      <c r="B21" s="189">
        <f>Inputs!C$2</f>
        <v>29</v>
      </c>
      <c r="C21" s="151">
        <v>940932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1421</v>
      </c>
      <c r="J21" s="189">
        <f t="shared" si="2"/>
        <v>203</v>
      </c>
      <c r="K21" s="151">
        <v>1624</v>
      </c>
      <c r="L21" s="211">
        <f t="shared" si="1"/>
        <v>23.683333333333334</v>
      </c>
      <c r="M21" s="151">
        <v>945677</v>
      </c>
      <c r="N21" s="152" t="s">
        <v>239</v>
      </c>
      <c r="O21" s="157" t="s">
        <v>230</v>
      </c>
      <c r="P21" s="187">
        <f>IF(D21=Inputs!F$2,Inputs!I$2,IF(D21=Inputs!F$3,Inputs!I$3,IF(D21=Inputs!F$4,Inputs!I$4,IF(D21=Inputs!F$5,Inputs!I$5,"NA"))))</f>
        <v>27.892857142857142</v>
      </c>
    </row>
    <row r="22" spans="1:16" x14ac:dyDescent="0.25">
      <c r="A22" s="148">
        <v>16</v>
      </c>
      <c r="B22" s="189">
        <f>Inputs!C$2</f>
        <v>29</v>
      </c>
      <c r="C22" s="151">
        <v>940933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1429</v>
      </c>
      <c r="J22" s="189">
        <f t="shared" si="2"/>
        <v>203</v>
      </c>
      <c r="K22" s="235">
        <v>1632</v>
      </c>
      <c r="L22" s="211">
        <f t="shared" si="1"/>
        <v>23.816666666666666</v>
      </c>
      <c r="M22" s="151">
        <v>945677</v>
      </c>
      <c r="N22" s="152" t="s">
        <v>239</v>
      </c>
      <c r="O22" s="157" t="s">
        <v>50</v>
      </c>
      <c r="P22" s="187">
        <f>IF(D22=Inputs!F$2,Inputs!I$2,IF(D22=Inputs!F$3,Inputs!I$3,IF(D22=Inputs!F$4,Inputs!I$4,IF(D22=Inputs!F$5,Inputs!I$5,"NA"))))</f>
        <v>27.892857142857142</v>
      </c>
    </row>
    <row r="23" spans="1:16" x14ac:dyDescent="0.25">
      <c r="A23" s="148">
        <v>17</v>
      </c>
      <c r="B23" s="189">
        <f>Inputs!C$2</f>
        <v>29</v>
      </c>
      <c r="C23" s="151">
        <v>940934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1435</v>
      </c>
      <c r="J23" s="189">
        <f t="shared" si="2"/>
        <v>203</v>
      </c>
      <c r="K23" s="151">
        <v>1638</v>
      </c>
      <c r="L23" s="211">
        <f t="shared" si="1"/>
        <v>23.916666666666668</v>
      </c>
      <c r="M23" s="151">
        <v>945677</v>
      </c>
      <c r="N23" s="152" t="s">
        <v>239</v>
      </c>
      <c r="O23" s="157" t="s">
        <v>50</v>
      </c>
      <c r="P23" s="187">
        <f>IF(D23=Inputs!F$2,Inputs!I$2,IF(D23=Inputs!F$3,Inputs!I$3,IF(D23=Inputs!F$4,Inputs!I$4,IF(D23=Inputs!F$5,Inputs!I$5,"NA"))))</f>
        <v>27.892857142857142</v>
      </c>
    </row>
    <row r="24" spans="1:16" x14ac:dyDescent="0.25">
      <c r="A24" s="148">
        <v>18</v>
      </c>
      <c r="B24" s="189">
        <f>Inputs!C$2</f>
        <v>29</v>
      </c>
      <c r="C24" s="151">
        <v>940935</v>
      </c>
      <c r="D24" s="188" t="s">
        <v>234</v>
      </c>
      <c r="E24" s="148">
        <v>60</v>
      </c>
      <c r="F24" s="188" t="s">
        <v>119</v>
      </c>
      <c r="G24" s="188"/>
      <c r="H24" s="191" t="s">
        <v>215</v>
      </c>
      <c r="I24" s="210">
        <f t="shared" si="0"/>
        <v>1449</v>
      </c>
      <c r="J24" s="189">
        <f t="shared" si="2"/>
        <v>203</v>
      </c>
      <c r="K24" s="151">
        <v>1652</v>
      </c>
      <c r="L24" s="211">
        <f t="shared" si="1"/>
        <v>24.15</v>
      </c>
      <c r="M24" s="151">
        <v>945677</v>
      </c>
      <c r="N24" s="152" t="s">
        <v>239</v>
      </c>
      <c r="O24" s="157" t="s">
        <v>50</v>
      </c>
      <c r="P24" s="187">
        <f>IF(D24=Inputs!F$2,Inputs!I$2,IF(D24=Inputs!F$3,Inputs!I$3,IF(D24=Inputs!F$4,Inputs!I$4,IF(D24=Inputs!F$5,Inputs!I$5,"NA"))))</f>
        <v>27.892857142857142</v>
      </c>
    </row>
    <row r="25" spans="1:16" x14ac:dyDescent="0.25">
      <c r="A25" s="148">
        <v>19</v>
      </c>
      <c r="B25" s="189">
        <f>Inputs!C$2</f>
        <v>29</v>
      </c>
      <c r="C25" s="151">
        <v>940936</v>
      </c>
      <c r="D25" s="188" t="s">
        <v>234</v>
      </c>
      <c r="E25" s="148">
        <v>60</v>
      </c>
      <c r="F25" s="188" t="s">
        <v>119</v>
      </c>
      <c r="G25" s="188"/>
      <c r="H25" s="191" t="s">
        <v>215</v>
      </c>
      <c r="I25" s="210">
        <f t="shared" si="0"/>
        <v>1425</v>
      </c>
      <c r="J25" s="189">
        <f t="shared" si="2"/>
        <v>203</v>
      </c>
      <c r="K25" s="151">
        <v>1628</v>
      </c>
      <c r="L25" s="211">
        <f t="shared" si="1"/>
        <v>23.75</v>
      </c>
      <c r="M25" s="151">
        <v>945677</v>
      </c>
      <c r="N25" s="152" t="s">
        <v>239</v>
      </c>
      <c r="O25" s="157" t="s">
        <v>230</v>
      </c>
      <c r="P25" s="187">
        <f>IF(D25=Inputs!F$2,Inputs!I$2,IF(D25=Inputs!F$3,Inputs!I$3,IF(D25=Inputs!F$4,Inputs!I$4,IF(D25=Inputs!F$5,Inputs!I$5,"NA"))))</f>
        <v>27.892857142857142</v>
      </c>
    </row>
    <row r="26" spans="1:16" x14ac:dyDescent="0.25">
      <c r="A26" s="148">
        <v>20</v>
      </c>
      <c r="B26" s="189">
        <f>Inputs!C$2</f>
        <v>29</v>
      </c>
      <c r="C26" s="151">
        <v>940937</v>
      </c>
      <c r="D26" s="188" t="s">
        <v>234</v>
      </c>
      <c r="E26" s="148">
        <v>60</v>
      </c>
      <c r="F26" s="188" t="s">
        <v>119</v>
      </c>
      <c r="G26" s="188"/>
      <c r="H26" s="191" t="s">
        <v>215</v>
      </c>
      <c r="I26" s="210">
        <f t="shared" si="0"/>
        <v>1423</v>
      </c>
      <c r="J26" s="189">
        <f t="shared" si="2"/>
        <v>203</v>
      </c>
      <c r="K26" s="151">
        <v>1626</v>
      </c>
      <c r="L26" s="211">
        <f t="shared" si="1"/>
        <v>23.716666666666665</v>
      </c>
      <c r="M26" s="151">
        <v>945677</v>
      </c>
      <c r="N26" s="152" t="s">
        <v>239</v>
      </c>
      <c r="O26" s="157" t="s">
        <v>50</v>
      </c>
      <c r="P26" s="187">
        <f>IF(D26=Inputs!F$2,Inputs!I$2,IF(D26=Inputs!F$3,Inputs!I$3,IF(D26=Inputs!F$4,Inputs!I$4,IF(D26=Inputs!F$5,Inputs!I$5,"NA"))))</f>
        <v>27.892857142857142</v>
      </c>
    </row>
    <row r="27" spans="1:16" x14ac:dyDescent="0.25">
      <c r="A27" s="148">
        <v>21</v>
      </c>
      <c r="B27" s="189">
        <f>Inputs!C$2</f>
        <v>29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29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29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29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29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29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29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29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29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29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29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29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29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29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29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29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29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29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29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29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29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29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29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29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29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29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29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29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29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29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29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29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29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29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29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29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29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29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29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29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29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29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29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29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29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29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29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29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29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29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29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29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29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29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29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29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K12" sqref="K12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29</v>
      </c>
      <c r="F2" s="166" t="s">
        <v>234</v>
      </c>
      <c r="G2" s="186">
        <v>45663</v>
      </c>
      <c r="I2" s="205">
        <f>(C$3-G2)/7</f>
        <v>27.892857142857142</v>
      </c>
      <c r="J2" s="230">
        <f>I2-19</f>
        <v>8.8928571428571423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45858.25</v>
      </c>
      <c r="D3" s="247"/>
      <c r="F3" s="166" t="s">
        <v>6</v>
      </c>
      <c r="G3" s="186">
        <v>45390</v>
      </c>
      <c r="I3" s="205">
        <f>(C$3-G3)/7</f>
        <v>66.892857142857139</v>
      </c>
      <c r="J3" s="230">
        <f>I3-19</f>
        <v>47.892857142857139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40.892857142857146</v>
      </c>
      <c r="J4" s="230">
        <f>I4-19</f>
        <v>21.892857142857146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58.464285714285715</v>
      </c>
      <c r="J5" s="230">
        <f>I5-19</f>
        <v>39.464285714285715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155</v>
      </c>
      <c r="C10" s="168">
        <v>17</v>
      </c>
      <c r="E10" s="139">
        <v>10</v>
      </c>
      <c r="F10" s="168">
        <v>155</v>
      </c>
      <c r="G10" s="168">
        <v>18</v>
      </c>
    </row>
    <row r="11" spans="1:12" x14ac:dyDescent="0.2">
      <c r="A11" s="139">
        <v>6</v>
      </c>
      <c r="B11" s="168">
        <v>215</v>
      </c>
      <c r="C11" s="165"/>
      <c r="E11" s="139">
        <v>6</v>
      </c>
      <c r="F11" s="168">
        <v>218</v>
      </c>
      <c r="G11" s="165"/>
    </row>
    <row r="12" spans="1:12" x14ac:dyDescent="0.2">
      <c r="A12" s="139">
        <v>7</v>
      </c>
      <c r="B12" s="168">
        <v>192</v>
      </c>
      <c r="C12" s="168">
        <v>22</v>
      </c>
      <c r="E12" s="139">
        <v>7</v>
      </c>
      <c r="F12" s="168">
        <v>191</v>
      </c>
      <c r="G12" s="168">
        <v>23</v>
      </c>
    </row>
    <row r="13" spans="1:12" x14ac:dyDescent="0.2">
      <c r="A13" s="139">
        <v>11</v>
      </c>
      <c r="B13" s="168">
        <v>102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238</v>
      </c>
      <c r="C16" s="168">
        <v>18</v>
      </c>
      <c r="E16" s="139">
        <v>10</v>
      </c>
      <c r="F16" s="168">
        <v>164</v>
      </c>
      <c r="G16" s="168">
        <v>18</v>
      </c>
    </row>
    <row r="17" spans="1:11" x14ac:dyDescent="0.2">
      <c r="A17" s="139">
        <v>6</v>
      </c>
      <c r="B17" s="168">
        <v>212</v>
      </c>
      <c r="C17" s="165"/>
      <c r="E17" s="139">
        <v>6</v>
      </c>
      <c r="F17" s="168">
        <v>189</v>
      </c>
      <c r="G17" s="165"/>
    </row>
    <row r="18" spans="1:11" x14ac:dyDescent="0.2">
      <c r="A18" s="139">
        <v>7</v>
      </c>
      <c r="B18" s="168">
        <v>198</v>
      </c>
      <c r="C18" s="168">
        <v>22</v>
      </c>
      <c r="E18" s="139">
        <v>7</v>
      </c>
      <c r="F18" s="168">
        <v>227</v>
      </c>
      <c r="G18" s="168">
        <v>22</v>
      </c>
    </row>
    <row r="19" spans="1:11" x14ac:dyDescent="0.2">
      <c r="A19" s="139">
        <v>11</v>
      </c>
      <c r="B19" s="168">
        <v>122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165</v>
      </c>
      <c r="C23" s="168">
        <v>12</v>
      </c>
      <c r="E23" s="139">
        <v>10</v>
      </c>
      <c r="F23" s="168">
        <v>172</v>
      </c>
      <c r="G23" s="168">
        <v>12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215</v>
      </c>
      <c r="G24" s="165"/>
    </row>
    <row r="25" spans="1:11" x14ac:dyDescent="0.2">
      <c r="A25" s="139">
        <v>7</v>
      </c>
      <c r="B25" s="168">
        <v>205</v>
      </c>
      <c r="C25" s="168">
        <v>25</v>
      </c>
      <c r="E25" s="139">
        <v>7</v>
      </c>
      <c r="F25" s="168">
        <v>199</v>
      </c>
      <c r="G25" s="168">
        <v>22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170</v>
      </c>
      <c r="C29" s="168">
        <v>12</v>
      </c>
      <c r="E29" s="139">
        <v>10</v>
      </c>
      <c r="F29" s="203">
        <f t="shared" ref="F29:G32" si="0">B10+F10+B16+F16+B23+F23+B29</f>
        <v>1219</v>
      </c>
      <c r="G29" s="203">
        <f t="shared" si="0"/>
        <v>107</v>
      </c>
      <c r="I29" s="139">
        <v>10</v>
      </c>
      <c r="J29" s="203">
        <f t="shared" ref="J29:K31" si="1">F29*15</f>
        <v>18285</v>
      </c>
      <c r="K29" s="203">
        <f t="shared" si="1"/>
        <v>1605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1485</v>
      </c>
      <c r="G30" s="204">
        <f t="shared" si="0"/>
        <v>0</v>
      </c>
      <c r="I30" s="139">
        <v>6</v>
      </c>
      <c r="J30" s="203">
        <f t="shared" si="1"/>
        <v>22275</v>
      </c>
      <c r="K30" s="204">
        <f t="shared" si="1"/>
        <v>0</v>
      </c>
    </row>
    <row r="31" spans="1:11" x14ac:dyDescent="0.2">
      <c r="A31" s="139">
        <v>7</v>
      </c>
      <c r="B31" s="168">
        <v>200</v>
      </c>
      <c r="C31" s="168">
        <v>25</v>
      </c>
      <c r="E31" s="139">
        <v>7</v>
      </c>
      <c r="F31" s="203">
        <f t="shared" si="0"/>
        <v>1412</v>
      </c>
      <c r="G31" s="203">
        <f t="shared" si="0"/>
        <v>161</v>
      </c>
      <c r="I31" s="139">
        <v>7</v>
      </c>
      <c r="J31" s="203">
        <f t="shared" si="1"/>
        <v>21180</v>
      </c>
      <c r="K31" s="203">
        <f t="shared" si="1"/>
        <v>2415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771</v>
      </c>
      <c r="G32" s="204">
        <f t="shared" si="0"/>
        <v>0</v>
      </c>
      <c r="I32" s="139">
        <v>11</v>
      </c>
      <c r="J32" s="203">
        <f>F32*15</f>
        <v>11565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1101</v>
      </c>
    </row>
    <row r="36" spans="1:9" x14ac:dyDescent="0.2">
      <c r="A36" s="172" t="s">
        <v>106</v>
      </c>
      <c r="B36" s="201">
        <f>B37+B38</f>
        <v>0.30599999999999999</v>
      </c>
      <c r="C36" s="201">
        <f>C37+C38</f>
        <v>0.39600000000000002</v>
      </c>
      <c r="D36" s="201">
        <f>D37+D38</f>
        <v>0.23099999999999998</v>
      </c>
      <c r="E36" s="201">
        <f>E37+E38</f>
        <v>0.34199999999999997</v>
      </c>
      <c r="G36" s="245" t="s">
        <v>232</v>
      </c>
      <c r="H36" s="245"/>
      <c r="I36" s="225">
        <v>99</v>
      </c>
    </row>
    <row r="37" spans="1:9" x14ac:dyDescent="0.2">
      <c r="A37" s="172" t="s">
        <v>195</v>
      </c>
      <c r="B37" s="173">
        <v>4.3999999999999997E-2</v>
      </c>
      <c r="C37" s="236">
        <v>7.3999999999999996E-2</v>
      </c>
      <c r="D37" s="173">
        <v>1.9E-2</v>
      </c>
      <c r="E37" s="173">
        <v>5.3999999999999999E-2</v>
      </c>
      <c r="G37" s="245" t="s">
        <v>219</v>
      </c>
      <c r="H37" s="245"/>
      <c r="I37" s="225">
        <v>0</v>
      </c>
    </row>
    <row r="38" spans="1:9" x14ac:dyDescent="0.2">
      <c r="A38" s="172" t="s">
        <v>196</v>
      </c>
      <c r="B38" s="173">
        <v>0.26200000000000001</v>
      </c>
      <c r="C38" s="173">
        <v>0.32200000000000001</v>
      </c>
      <c r="D38" s="173">
        <v>0.21199999999999999</v>
      </c>
      <c r="E38" s="173">
        <v>0.28799999999999998</v>
      </c>
      <c r="G38" s="245" t="s">
        <v>220</v>
      </c>
      <c r="H38" s="245"/>
      <c r="I38" s="225">
        <v>0</v>
      </c>
    </row>
    <row r="39" spans="1:9" x14ac:dyDescent="0.2">
      <c r="A39" s="172" t="s">
        <v>197</v>
      </c>
      <c r="B39" s="173">
        <v>0.60099999999999998</v>
      </c>
      <c r="C39" s="173">
        <v>0.53500000000000003</v>
      </c>
      <c r="D39" s="173">
        <v>0.66900000000000004</v>
      </c>
      <c r="E39" s="173">
        <v>0.56200000000000006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0.08</v>
      </c>
      <c r="C40" s="173">
        <v>0.05</v>
      </c>
      <c r="D40" s="173">
        <v>8.8999999999999996E-2</v>
      </c>
      <c r="E40" s="173">
        <v>8.3000000000000004E-2</v>
      </c>
      <c r="G40" s="245" t="s">
        <v>222</v>
      </c>
      <c r="H40" s="245"/>
      <c r="I40" s="225">
        <v>0</v>
      </c>
    </row>
    <row r="41" spans="1:9" x14ac:dyDescent="0.2">
      <c r="A41" s="172" t="s">
        <v>207</v>
      </c>
      <c r="B41" s="173">
        <v>1E-3</v>
      </c>
      <c r="C41" s="173">
        <v>0</v>
      </c>
      <c r="D41" s="173">
        <v>1E-3</v>
      </c>
      <c r="E41" s="173">
        <v>1E-3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1.2E-2</v>
      </c>
      <c r="C43" s="202">
        <f>SUM(C47:C50)</f>
        <v>1.9E-2</v>
      </c>
      <c r="D43" s="202">
        <f>SUM(D47:D50)</f>
        <v>0.01</v>
      </c>
      <c r="E43" s="202">
        <f>SUM(E47:E50)</f>
        <v>1.2E-2</v>
      </c>
    </row>
    <row r="44" spans="1:9" x14ac:dyDescent="0.2">
      <c r="A44" s="233" t="s">
        <v>225</v>
      </c>
      <c r="B44" s="232">
        <v>61.89</v>
      </c>
      <c r="C44" s="232">
        <v>62.96</v>
      </c>
      <c r="D44" s="232">
        <v>61.1</v>
      </c>
      <c r="E44" s="232">
        <v>62.21</v>
      </c>
    </row>
    <row r="45" spans="1:9" x14ac:dyDescent="0.2">
      <c r="A45" s="233" t="s">
        <v>227</v>
      </c>
      <c r="B45" s="231">
        <f>J29+K29</f>
        <v>19890</v>
      </c>
      <c r="C45" s="231">
        <f>J30</f>
        <v>22275</v>
      </c>
      <c r="D45" s="231">
        <f>J31</f>
        <v>21180</v>
      </c>
      <c r="E45" s="231">
        <f>J32</f>
        <v>11565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1E-3</v>
      </c>
      <c r="E47" s="173">
        <v>2E-3</v>
      </c>
    </row>
    <row r="48" spans="1:9" x14ac:dyDescent="0.2">
      <c r="A48" s="172" t="s">
        <v>200</v>
      </c>
      <c r="B48" s="173">
        <v>1E-3</v>
      </c>
      <c r="C48" s="173">
        <v>4.0000000000000001E-3</v>
      </c>
      <c r="D48" s="173">
        <v>3.0000000000000001E-3</v>
      </c>
      <c r="E48" s="173">
        <v>1E-3</v>
      </c>
    </row>
    <row r="49" spans="1:5" x14ac:dyDescent="0.2">
      <c r="A49" s="172" t="s">
        <v>201</v>
      </c>
      <c r="B49" s="173">
        <v>6.0000000000000001E-3</v>
      </c>
      <c r="C49" s="173">
        <v>3.0000000000000001E-3</v>
      </c>
      <c r="D49" s="173">
        <v>1E-3</v>
      </c>
      <c r="E49" s="173">
        <v>4.0000000000000001E-3</v>
      </c>
    </row>
    <row r="50" spans="1:5" x14ac:dyDescent="0.2">
      <c r="A50" s="172" t="s">
        <v>202</v>
      </c>
      <c r="B50" s="173">
        <v>5.0000000000000001E-3</v>
      </c>
      <c r="C50" s="173">
        <v>1.0999999999999999E-2</v>
      </c>
      <c r="D50" s="173">
        <v>5.0000000000000001E-3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2025-07-21T16:47:56Z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