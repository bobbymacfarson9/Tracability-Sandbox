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E36E8037-D932-4585-AD53-91CCB359CC0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P37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<sst xmlns="http://schemas.openxmlformats.org/spreadsheetml/2006/main" count="593" uniqueCount="239">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</sst>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19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45788.25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11190.217736448176</v>
      </c>
      <c r="I7" s="27">
        <v>0</v>
      </c>
      <c r="J7" s="26">
        <f>IFERROR(H7-I7,"")</f>
        <v>11190.217736448176</v>
      </c>
      <c r="K7" s="26">
        <f>IFERROR(($E$26/($H$27+$H$28)*$H$27)*R28,"")</f>
        <v>55.951088682240879</v>
      </c>
      <c r="L7" s="26">
        <f>IFERROR(($E$26/($H$27+$H$28)*$H$27)*S28,"")</f>
        <v>22.380435472896352</v>
      </c>
      <c r="M7" s="28">
        <f>IFERROR(K7+L7,"")</f>
        <v>78.331524155137231</v>
      </c>
      <c r="N7" s="29">
        <f>IFERROR(O7+P7+Q7+R7+S7+T7+U7+V7,"")</f>
        <v>11111.886212293039</v>
      </c>
      <c r="O7" s="26">
        <f t="shared" ref="O7:V7" si="0">IFERROR(($E$26/($H$27+$H$28)*$H$27)*J28,"")</f>
        <v>1107.8315559083694</v>
      </c>
      <c r="P7" s="26">
        <f>IFERROR(($E$26/($H$27+$H$28)*$H$27)*K28,"")</f>
        <v>4352.9946994783404</v>
      </c>
      <c r="Q7" s="26">
        <f t="shared" si="0"/>
        <v>5348.9240780222281</v>
      </c>
      <c r="R7" s="26">
        <f t="shared" si="0"/>
        <v>279.7554434112044</v>
      </c>
      <c r="S7" s="26">
        <f t="shared" si="0"/>
        <v>0</v>
      </c>
      <c r="T7" s="26">
        <f t="shared" si="0"/>
        <v>0</v>
      </c>
      <c r="U7" s="26">
        <f t="shared" si="0"/>
        <v>22.380435472896352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1079.782263551826</v>
      </c>
      <c r="I8" s="27">
        <v>0</v>
      </c>
      <c r="J8" s="26">
        <f>IFERROR(H8-I8,"")</f>
        <v>1079.782263551826</v>
      </c>
      <c r="K8" s="26">
        <f>IFERROR(($E$26/($H$27+$H$28)*$H$28)*R28,"")</f>
        <v>5.3989113177591301</v>
      </c>
      <c r="L8" s="26">
        <f>IFERROR(($E$26/($H$27+$H$28)*$H$28)*S28,"")</f>
        <v>2.1595645271036519</v>
      </c>
      <c r="M8" s="28">
        <f>IFERROR(K8+L8,"")</f>
        <v>7.558475844862782</v>
      </c>
      <c r="N8" s="29">
        <f>IFERROR(O8+P8+Q8+R8+S8+T8+U8+V8,"")</f>
        <v>1072.2237877069631</v>
      </c>
      <c r="O8" s="26">
        <f t="shared" ref="O8:V8" si="1">IFERROR(($E$26/($H$27+$H$28)*$H$28)*J28,"")</f>
        <v>106.89844409163078</v>
      </c>
      <c r="P8" s="26">
        <f t="shared" si="1"/>
        <v>420.0353005216603</v>
      </c>
      <c r="Q8" s="26">
        <f t="shared" si="1"/>
        <v>516.1359219777728</v>
      </c>
      <c r="R8" s="26">
        <f t="shared" si="1"/>
        <v>26.99455658879565</v>
      </c>
      <c r="S8" s="26">
        <f t="shared" si="1"/>
        <v>0</v>
      </c>
      <c r="T8" s="26">
        <f t="shared" si="1"/>
        <v>0</v>
      </c>
      <c r="U8" s="26">
        <f t="shared" si="1"/>
        <v>2.1595645271036519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22545</v>
      </c>
      <c r="I10" s="27">
        <v>0</v>
      </c>
      <c r="J10" s="26">
        <f>IFERROR(H10-I10,"")</f>
        <v>22545</v>
      </c>
      <c r="K10" s="26">
        <f>IFERROR(($E$30/($H$31+$H$32)*$H$31)*R32,"")</f>
        <v>90.18</v>
      </c>
      <c r="L10" s="26">
        <f>IFERROR(($E$30/($H$31+$H$32)*$H$31)*S32,"")</f>
        <v>22.545000000000002</v>
      </c>
      <c r="M10" s="28">
        <f>IFERROR(K10+L10,"")</f>
        <v>112.72500000000001</v>
      </c>
      <c r="N10" s="29">
        <f>IFERROR(O10+P10+Q10+R10+S10+T10+U10+V10,"")</f>
        <v>22432.275000000001</v>
      </c>
      <c r="O10" s="26">
        <f t="shared" ref="O10:V10" si="2">IFERROR(($E$30/($H$31+$H$32)*$H$31)*J32,"")</f>
        <v>789.07500000000005</v>
      </c>
      <c r="P10" s="26">
        <f t="shared" si="2"/>
        <v>7214.4000000000005</v>
      </c>
      <c r="Q10" s="26">
        <f t="shared" si="2"/>
        <v>13369.184999999999</v>
      </c>
      <c r="R10" s="26">
        <f t="shared" si="2"/>
        <v>1014.525</v>
      </c>
      <c r="S10" s="26">
        <f t="shared" si="2"/>
        <v>0</v>
      </c>
      <c r="T10" s="26">
        <f t="shared" si="2"/>
        <v>0</v>
      </c>
      <c r="U10" s="26">
        <f t="shared" si="2"/>
        <v>45.09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19461.346049328404</v>
      </c>
      <c r="I13" s="27">
        <v>0</v>
      </c>
      <c r="J13" s="26">
        <f>IFERROR(H13-I13,"")</f>
        <v>19461.346049328404</v>
      </c>
      <c r="K13" s="26">
        <f>IFERROR(($E$34/($H$35+$H$36)*$H$35)*R36,"")</f>
        <v>77.845384197313606</v>
      </c>
      <c r="L13" s="26">
        <f>IFERROR(($E$34/($H$35+$H$36)*$H$35)*S36,"")</f>
        <v>38.922692098656803</v>
      </c>
      <c r="M13" s="28">
        <f>IFERROR(K13+L13,"")</f>
        <v>116.76807629597042</v>
      </c>
      <c r="N13" s="29">
        <f>IFERROR(O13+P13+Q13+R13+S13+T13+U13+V13,"")</f>
        <v>19344.577973032432</v>
      </c>
      <c r="O13" s="26">
        <f t="shared" ref="O13:V13" si="4">IFERROR(($E$34/($H$35+$H$36)*$H$35)*J36,"")</f>
        <v>77.845384197313606</v>
      </c>
      <c r="P13" s="26">
        <f t="shared" si="4"/>
        <v>1226.0648011076892</v>
      </c>
      <c r="Q13" s="26">
        <f t="shared" si="4"/>
        <v>14206.782616009732</v>
      </c>
      <c r="R13" s="26">
        <f t="shared" si="4"/>
        <v>3775.5011335697095</v>
      </c>
      <c r="S13" s="26">
        <f t="shared" si="4"/>
        <v>38.922692098656803</v>
      </c>
      <c r="T13" s="26">
        <f t="shared" si="4"/>
        <v>0</v>
      </c>
      <c r="U13" s="26">
        <f t="shared" si="4"/>
        <v>19.461346049328402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2168.6539506716013</v>
      </c>
      <c r="I14" s="27">
        <v>0</v>
      </c>
      <c r="J14" s="26">
        <f>IFERROR(H14-I14,"")</f>
        <v>2168.6539506716013</v>
      </c>
      <c r="K14" s="26">
        <f>IFERROR(($E$34/($H$35+$H$36)*$H$36)*R36,"")</f>
        <v>8.6746158026864055</v>
      </c>
      <c r="L14" s="26">
        <f>IFERROR(($E$34/($H$35+$H$36)*$H$36)*S36,"")</f>
        <v>4.3373079013432028</v>
      </c>
      <c r="M14" s="28">
        <f>IFERROR(K14+L14,"")</f>
        <v>13.011923704029609</v>
      </c>
      <c r="N14" s="29">
        <f>IFERROR(O14+P14+Q14+R14+S14+T14+U14+V14,"")</f>
        <v>2155.6420269675718</v>
      </c>
      <c r="O14" s="26">
        <f t="shared" ref="O14:V14" si="5">IFERROR(($E$34/($H$35+$H$36)*$H$36)*J36,"")</f>
        <v>8.6746158026864055</v>
      </c>
      <c r="P14" s="26">
        <f t="shared" si="5"/>
        <v>136.62519889231089</v>
      </c>
      <c r="Q14" s="26">
        <f t="shared" si="5"/>
        <v>1583.1173839902688</v>
      </c>
      <c r="R14" s="26">
        <f t="shared" si="5"/>
        <v>420.71886643029063</v>
      </c>
      <c r="S14" s="26">
        <f t="shared" si="5"/>
        <v>4.3373079013432028</v>
      </c>
      <c r="T14" s="26">
        <f t="shared" si="5"/>
        <v>0</v>
      </c>
      <c r="U14" s="26">
        <f t="shared" si="5"/>
        <v>2.1686539506716014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11415.000000000002</v>
      </c>
      <c r="I16" s="27">
        <v>0</v>
      </c>
      <c r="J16" s="26">
        <f>IFERROR(H16-I16,"")</f>
        <v>11415.000000000002</v>
      </c>
      <c r="K16" s="26">
        <f>IFERROR(($E$38/($H$39)*$H$39)*R40,"")</f>
        <v>68.490000000000009</v>
      </c>
      <c r="L16" s="26">
        <f>IFERROR(($E$38/($H$39)*$H$39)*S40,"")</f>
        <v>11.415000000000003</v>
      </c>
      <c r="M16" s="28">
        <f>IFERROR(K16+L16,"")</f>
        <v>79.905000000000015</v>
      </c>
      <c r="N16" s="29">
        <f>IFERROR(O16+P16+Q16+R16+S16+T16+U16+V16,"")</f>
        <v>11335.095000000001</v>
      </c>
      <c r="O16" s="26">
        <f t="shared" ref="O16:V16" si="6">IFERROR(($E$38/($H$39)*$H$39)*J40,"")</f>
        <v>684.90000000000009</v>
      </c>
      <c r="P16" s="26">
        <f t="shared" si="6"/>
        <v>4223.55</v>
      </c>
      <c r="Q16" s="26">
        <f t="shared" si="6"/>
        <v>5947.2150000000011</v>
      </c>
      <c r="R16" s="26">
        <f t="shared" si="6"/>
        <v>456.60000000000008</v>
      </c>
      <c r="S16" s="26">
        <f t="shared" si="6"/>
        <v>0</v>
      </c>
      <c r="T16" s="26">
        <f t="shared" si="6"/>
        <v>0</v>
      </c>
      <c r="U16" s="26">
        <f t="shared" si="6"/>
        <v>22.830000000000005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67860.000000000015</v>
      </c>
      <c r="I19" s="37">
        <f t="shared" si="7"/>
        <v>0</v>
      </c>
      <c r="J19" s="37">
        <f t="shared" si="7"/>
        <v>67860.000000000015</v>
      </c>
      <c r="K19" s="37">
        <f t="shared" si="7"/>
        <v>306.54000000000008</v>
      </c>
      <c r="L19" s="37">
        <f t="shared" si="7"/>
        <v>101.76000000000002</v>
      </c>
      <c r="M19" s="37">
        <f t="shared" si="7"/>
        <v>408.30000000000007</v>
      </c>
      <c r="N19" s="37">
        <f t="shared" si="7"/>
        <v>67451.700000000012</v>
      </c>
      <c r="O19" s="37">
        <f t="shared" si="7"/>
        <v>2775.2250000000004</v>
      </c>
      <c r="P19" s="37">
        <f t="shared" si="7"/>
        <v>17573.669999999998</v>
      </c>
      <c r="Q19" s="37">
        <f t="shared" si="7"/>
        <v>40971.360000000008</v>
      </c>
      <c r="R19" s="37">
        <f t="shared" si="7"/>
        <v>5974.0950000000003</v>
      </c>
      <c r="S19" s="37">
        <f t="shared" si="7"/>
        <v>43.260000000000005</v>
      </c>
      <c r="T19" s="37">
        <f t="shared" si="7"/>
        <v>0</v>
      </c>
      <c r="U19" s="37">
        <f t="shared" si="7"/>
        <v>114.09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67860.000000000015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12270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20105</v>
      </c>
      <c r="I27" s="30"/>
      <c r="J27" s="198">
        <f>$E$26*J28</f>
        <v>1214.73</v>
      </c>
      <c r="K27" s="198">
        <f t="shared" ref="K27:S27" si="8">$E$26*K28</f>
        <v>4773.03</v>
      </c>
      <c r="L27" s="198">
        <f t="shared" si="8"/>
        <v>5865.0599999999995</v>
      </c>
      <c r="M27" s="198">
        <f t="shared" si="8"/>
        <v>306.75</v>
      </c>
      <c r="N27" s="198">
        <f t="shared" si="8"/>
        <v>0</v>
      </c>
      <c r="O27" s="198">
        <f t="shared" si="8"/>
        <v>0</v>
      </c>
      <c r="P27" s="198">
        <f t="shared" si="8"/>
        <v>24.54</v>
      </c>
      <c r="Q27" s="198">
        <f t="shared" si="8"/>
        <v>0</v>
      </c>
      <c r="R27" s="198">
        <f t="shared" si="8"/>
        <v>61.35</v>
      </c>
      <c r="S27" s="198">
        <f t="shared" si="8"/>
        <v>24.54</v>
      </c>
      <c r="T27" s="199">
        <f>SUM(J27:S27)</f>
        <v>12270.000000000002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22545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38898</v>
      </c>
      <c r="I31" s="26"/>
      <c r="J31" s="198">
        <f>$E30*J32</f>
        <v>789.07500000000005</v>
      </c>
      <c r="K31" s="198">
        <f t="shared" ref="K31:S31" si="9">$E30*K32</f>
        <v>7214.4000000000005</v>
      </c>
      <c r="L31" s="198">
        <f t="shared" si="9"/>
        <v>13369.184999999999</v>
      </c>
      <c r="M31" s="198">
        <f t="shared" si="9"/>
        <v>1014.525</v>
      </c>
      <c r="N31" s="198">
        <f t="shared" si="9"/>
        <v>0</v>
      </c>
      <c r="O31" s="198">
        <f t="shared" si="9"/>
        <v>0</v>
      </c>
      <c r="P31" s="198">
        <f t="shared" si="9"/>
        <v>45.09</v>
      </c>
      <c r="Q31" s="198">
        <f t="shared" si="9"/>
        <v>0</v>
      </c>
      <c r="R31" s="198">
        <f t="shared" si="9"/>
        <v>90.18</v>
      </c>
      <c r="S31" s="198">
        <f t="shared" si="9"/>
        <v>22.545000000000002</v>
      </c>
      <c r="T31" s="199">
        <f>SUM(J31:S31)</f>
        <v>22545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21630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34765</v>
      </c>
      <c r="I35" s="30"/>
      <c r="J35" s="198">
        <f>$E34*J36</f>
        <v>86.52</v>
      </c>
      <c r="K35" s="198">
        <f t="shared" ref="K35:S35" si="10">$E34*K36</f>
        <v>1362.69</v>
      </c>
      <c r="L35" s="198">
        <f t="shared" si="10"/>
        <v>15789.9</v>
      </c>
      <c r="M35" s="198">
        <f t="shared" si="10"/>
        <v>4196.22</v>
      </c>
      <c r="N35" s="198">
        <f t="shared" si="10"/>
        <v>43.26</v>
      </c>
      <c r="O35" s="198">
        <f t="shared" si="10"/>
        <v>0</v>
      </c>
      <c r="P35" s="198">
        <f t="shared" si="10"/>
        <v>21.63</v>
      </c>
      <c r="Q35" s="198">
        <f t="shared" si="10"/>
        <v>0</v>
      </c>
      <c r="R35" s="198">
        <f t="shared" si="10"/>
        <v>86.52</v>
      </c>
      <c r="S35" s="198">
        <f t="shared" si="10"/>
        <v>43.26</v>
      </c>
      <c r="T35" s="199">
        <f>SUM(J35:S35)</f>
        <v>21630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3874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</v>
      </c>
      <c r="M36" s="197">
        <f>Inputs!D40</f>
        <v>0.19400000000000001</v>
      </c>
      <c r="N36" s="197">
        <f>Inputs!D41</f>
        <v>2E-3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11415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18857</v>
      </c>
      <c r="I39" s="30"/>
      <c r="J39" s="198">
        <f>$E38*J40</f>
        <v>684.9</v>
      </c>
      <c r="K39" s="198">
        <f t="shared" ref="K39:S39" si="11">$E38*K40</f>
        <v>4223.55</v>
      </c>
      <c r="L39" s="198">
        <f t="shared" si="11"/>
        <v>5947.2150000000001</v>
      </c>
      <c r="M39" s="198">
        <f t="shared" si="11"/>
        <v>456.6</v>
      </c>
      <c r="N39" s="198">
        <f t="shared" si="11"/>
        <v>0</v>
      </c>
      <c r="O39" s="198">
        <f t="shared" si="11"/>
        <v>0</v>
      </c>
      <c r="P39" s="198">
        <f t="shared" si="11"/>
        <v>22.830000000000002</v>
      </c>
      <c r="Q39" s="198">
        <f t="shared" si="11"/>
        <v>0</v>
      </c>
      <c r="R39" s="198">
        <f t="shared" si="11"/>
        <v>68.489999999999995</v>
      </c>
      <c r="S39" s="198">
        <f t="shared" si="11"/>
        <v>11.415000000000001</v>
      </c>
      <c r="T39" s="199">
        <f>SUM(J39:S39)</f>
        <v>11415.000000000002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45788.25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19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1800</v>
      </c>
      <c r="C13" s="220">
        <f>'Grade out Information'!X26</f>
        <v>27000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120</v>
      </c>
      <c r="C21" s="220">
        <f>'Grade out Information'!E11</f>
        <v>1800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1920</v>
      </c>
      <c r="C27" s="222">
        <f>SUM(C13:C26)</f>
        <v>28800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P37" sqref="P37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19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1800</v>
      </c>
      <c r="F11" s="217"/>
      <c r="G11" s="228">
        <f>SUM(C11:F11)</f>
        <v>1800</v>
      </c>
      <c r="H11" s="229">
        <f>G11/15</f>
        <v>120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11339.999999999998</v>
      </c>
      <c r="J15" s="133">
        <f>X15*K15</f>
        <v>5533.92</v>
      </c>
      <c r="K15" s="184">
        <f>Inputs!B36</f>
        <v>0.48799999999999999</v>
      </c>
      <c r="L15" s="133">
        <f>X15*M15</f>
        <v>5420.5199999999995</v>
      </c>
      <c r="M15" s="184">
        <f>Inputs!B39</f>
        <v>0.47799999999999998</v>
      </c>
      <c r="N15" s="133">
        <f>X15*O15</f>
        <v>283.5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102.06000000000002</v>
      </c>
      <c r="W15" s="185">
        <f>Inputs!B43</f>
        <v>9.0000000000000011E-3</v>
      </c>
      <c r="X15" s="213">
        <f>Z15*15</f>
        <v>11340</v>
      </c>
      <c r="Y15" s="209">
        <f>K15+M15+O15+Q15+S15+U15+W15</f>
        <v>1</v>
      </c>
      <c r="Z15" s="226">
        <f>Inputs!I35</f>
        <v>756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2160</v>
      </c>
      <c r="J16" s="133">
        <f>X16*K16</f>
        <v>1054.08</v>
      </c>
      <c r="K16" s="184">
        <f>K15</f>
        <v>0.48799999999999999</v>
      </c>
      <c r="L16" s="133">
        <f t="shared" ref="L16:L23" si="0">X16*M16</f>
        <v>1032.48</v>
      </c>
      <c r="M16" s="184">
        <f>M15</f>
        <v>0.47799999999999998</v>
      </c>
      <c r="N16" s="133">
        <f t="shared" ref="N16:N21" si="1">X16*O16</f>
        <v>54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19.440000000000001</v>
      </c>
      <c r="W16" s="185">
        <f>W15</f>
        <v>9.0000000000000011E-3</v>
      </c>
      <c r="X16" s="213">
        <f t="shared" ref="X16:X23" si="6">Z16*15</f>
        <v>2160</v>
      </c>
      <c r="Y16" s="209">
        <f>K16+M16+O16+Q16+S16+U16+W16</f>
        <v>1</v>
      </c>
      <c r="Z16" s="226">
        <f>Inputs!I36</f>
        <v>144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2700</v>
      </c>
      <c r="J18" s="133">
        <f>X18*K18</f>
        <v>958.5</v>
      </c>
      <c r="K18" s="184">
        <f>Inputs!C36</f>
        <v>0.35499999999999998</v>
      </c>
      <c r="L18" s="133">
        <f t="shared" si="0"/>
        <v>1601.1</v>
      </c>
      <c r="M18" s="184">
        <f>Inputs!C39</f>
        <v>0.59299999999999997</v>
      </c>
      <c r="N18" s="133">
        <f t="shared" si="1"/>
        <v>121.5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18.900000000000002</v>
      </c>
      <c r="W18" s="185">
        <f>Inputs!C43</f>
        <v>7.0000000000000001E-3</v>
      </c>
      <c r="X18" s="213">
        <f t="shared" si="6"/>
        <v>2700</v>
      </c>
      <c r="Y18" s="209">
        <f>K18+M18+O18+Q18+S18+U18+W18</f>
        <v>1</v>
      </c>
      <c r="Z18" s="226">
        <f>Inputs!I37</f>
        <v>180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4530</v>
      </c>
      <c r="J20" s="133">
        <f>X20*K20</f>
        <v>303.51</v>
      </c>
      <c r="K20" s="184">
        <f>Inputs!D36</f>
        <v>6.7000000000000004E-2</v>
      </c>
      <c r="L20" s="133">
        <f t="shared" si="0"/>
        <v>3306.9</v>
      </c>
      <c r="M20" s="184">
        <f>Inputs!D39</f>
        <v>0.73</v>
      </c>
      <c r="N20" s="133">
        <f t="shared" si="1"/>
        <v>878.82</v>
      </c>
      <c r="O20" s="184">
        <f>Inputs!D40</f>
        <v>0.19400000000000001</v>
      </c>
      <c r="P20" s="133">
        <f t="shared" si="2"/>
        <v>9.06</v>
      </c>
      <c r="Q20" s="184">
        <f>Inputs!D41</f>
        <v>2E-3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31.71</v>
      </c>
      <c r="W20" s="185">
        <f>Inputs!D43</f>
        <v>7.0000000000000001E-3</v>
      </c>
      <c r="X20" s="213">
        <f t="shared" si="6"/>
        <v>4530</v>
      </c>
      <c r="Y20" s="209">
        <f>K20+M20+O20+Q20+S20+U20+W20</f>
        <v>0.99999999999999989</v>
      </c>
      <c r="Z20" s="226">
        <f>Inputs!I38</f>
        <v>302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870</v>
      </c>
      <c r="J21" s="133">
        <f>X21*K21</f>
        <v>58.290000000000006</v>
      </c>
      <c r="K21" s="184">
        <f>K20</f>
        <v>6.7000000000000004E-2</v>
      </c>
      <c r="L21" s="133">
        <f t="shared" si="0"/>
        <v>635.1</v>
      </c>
      <c r="M21" s="184">
        <f>M20</f>
        <v>0.73</v>
      </c>
      <c r="N21" s="133">
        <f t="shared" si="1"/>
        <v>168.78</v>
      </c>
      <c r="O21" s="184">
        <f>O20</f>
        <v>0.19400000000000001</v>
      </c>
      <c r="P21" s="133">
        <f t="shared" si="2"/>
        <v>1.74</v>
      </c>
      <c r="Q21" s="184">
        <f>Q20</f>
        <v>2E-3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6.09</v>
      </c>
      <c r="W21" s="185">
        <f>W20</f>
        <v>7.0000000000000001E-3</v>
      </c>
      <c r="X21" s="213">
        <f t="shared" si="6"/>
        <v>870</v>
      </c>
      <c r="Y21" s="209">
        <f>K21+M21+O21+Q21+S21+U21+W21</f>
        <v>0.99999999999999989</v>
      </c>
      <c r="Z21" s="226">
        <f>Inputs!I39</f>
        <v>58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5400</v>
      </c>
      <c r="J23" s="133">
        <f>X23*K23</f>
        <v>2322</v>
      </c>
      <c r="K23" s="184">
        <f>Inputs!E36</f>
        <v>0.43</v>
      </c>
      <c r="L23" s="133">
        <f t="shared" si="0"/>
        <v>2813.4</v>
      </c>
      <c r="M23" s="184">
        <f>Inputs!E39</f>
        <v>0.52100000000000002</v>
      </c>
      <c r="N23" s="133">
        <f>X23*O23</f>
        <v>216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48.600000000000009</v>
      </c>
      <c r="W23" s="218">
        <f>Inputs!E43</f>
        <v>9.0000000000000011E-3</v>
      </c>
      <c r="X23" s="213">
        <f t="shared" si="6"/>
        <v>5400</v>
      </c>
      <c r="Y23" s="209">
        <f>K23+M23+O23+Q23+S23+U23+W23</f>
        <v>1</v>
      </c>
      <c r="Z23" s="226">
        <f>Inputs!I40</f>
        <v>360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1800</v>
      </c>
      <c r="F26" s="139">
        <f>SUM(F11:F25)</f>
        <v>0</v>
      </c>
      <c r="G26" s="139">
        <f>G11+G12</f>
        <v>1800</v>
      </c>
      <c r="H26" s="139">
        <f>SUM(H11+H12)</f>
        <v>120</v>
      </c>
      <c r="I26" s="141"/>
      <c r="J26" s="139">
        <f>SUM(J15:J25)</f>
        <v>10230.299999999999</v>
      </c>
      <c r="K26" s="139"/>
      <c r="L26" s="139">
        <f>SUM(L15:L25)</f>
        <v>14809.5</v>
      </c>
      <c r="M26" s="139"/>
      <c r="N26" s="139">
        <f>SUM(N15:N25)</f>
        <v>1722.6000000000001</v>
      </c>
      <c r="O26" s="139"/>
      <c r="P26" s="139">
        <f>SUM(P15:P25)</f>
        <v>10.8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226.8</v>
      </c>
      <c r="W26" s="139"/>
      <c r="X26" s="139">
        <f>SUM(X15:X25)</f>
        <v>27000</v>
      </c>
      <c r="Y26" s="139"/>
      <c r="Z26" s="139">
        <f>SUM(Z15:Z25)</f>
        <v>1800</v>
      </c>
      <c r="AA26" s="141">
        <f>IF(Z33=0,0,Z33/(H33+Z33))</f>
        <v>0</v>
      </c>
      <c r="AB26" s="139">
        <f>G26+X26</f>
        <v>28800</v>
      </c>
      <c r="AC26" s="139">
        <f>H26+Z26</f>
        <v>1920</v>
      </c>
      <c r="AD26" s="141">
        <f>I26+AA26</f>
        <v>0</v>
      </c>
    </row>
    <row r="30" spans="1:30" x14ac:dyDescent="0.2">
      <c r="A30" s="3" t="s">
        <v>107</v>
      </c>
      <c r="B30">
        <f>J26</f>
        <v>10230.299999999999</v>
      </c>
    </row>
    <row r="31" spans="1:30" x14ac:dyDescent="0.2">
      <c r="A31" s="3" t="s">
        <v>108</v>
      </c>
      <c r="B31">
        <f>L26</f>
        <v>14809.5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1722.6000000000001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10.8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226.8</v>
      </c>
    </row>
    <row r="38" spans="1:13" x14ac:dyDescent="0.2">
      <c r="A38" s="3" t="s">
        <v>128</v>
      </c>
      <c r="B38">
        <f>SUM(B30:B36)</f>
        <v>26999.999999999996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20105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38898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34765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3874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18857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G23" sqref="G23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19</v>
      </c>
      <c r="C7" s="151">
        <v>940660</v>
      </c>
      <c r="D7" s="188" t="s">
        <v>5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1497</v>
      </c>
      <c r="J7" s="189">
        <f>IF(H7="NEW",203, IF(H7="OLD",192,0))</f>
        <v>203</v>
      </c>
      <c r="K7" s="151">
        <v>1700</v>
      </c>
      <c r="L7" s="211">
        <f>IF(K7&gt;0,I7/E7,"NA")</f>
        <v>24.95</v>
      </c>
      <c r="M7" s="151">
        <v>129110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48.464285714285715</v>
      </c>
    </row>
    <row r="8" spans="1:16" x14ac:dyDescent="0.25">
      <c r="A8" s="148">
        <v>2</v>
      </c>
      <c r="B8" s="189">
        <f>Inputs!C$2</f>
        <v>19</v>
      </c>
      <c r="C8" s="151">
        <v>940661</v>
      </c>
      <c r="D8" s="188" t="s">
        <v>5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1507</v>
      </c>
      <c r="J8" s="189">
        <f>IF(H8="NEW",203, IF(H8="OLD",192,0))</f>
        <v>203</v>
      </c>
      <c r="K8" s="151">
        <v>1710</v>
      </c>
      <c r="L8" s="211">
        <f>IF(K8&gt;0,I8/E8,"NA")</f>
        <v>25.116666666666667</v>
      </c>
      <c r="M8" s="151">
        <v>129110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48.464285714285715</v>
      </c>
    </row>
    <row r="9" spans="1:16" x14ac:dyDescent="0.25">
      <c r="A9" s="148">
        <v>3</v>
      </c>
      <c r="B9" s="189">
        <f>Inputs!C$2</f>
        <v>19</v>
      </c>
      <c r="C9" s="151">
        <v>940662</v>
      </c>
      <c r="D9" s="188" t="s">
        <v>183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1499</v>
      </c>
      <c r="J9" s="189">
        <f>IF(H9="NEW",203, IF(H9="OLD",192,0))</f>
        <v>203</v>
      </c>
      <c r="K9" s="151">
        <v>1702</v>
      </c>
      <c r="L9" s="211">
        <f t="shared" ref="L9:L72" si="1">IF(K9&gt;0,I9/E9,"NA")</f>
        <v>24.983333333333334</v>
      </c>
      <c r="M9" s="151">
        <v>129110</v>
      </c>
      <c r="N9" s="152" t="s">
        <v>238</v>
      </c>
      <c r="O9" s="157" t="s">
        <v>237</v>
      </c>
      <c r="P9" s="187">
        <f>IF(D9=Inputs!F$2,Inputs!I$2,IF(D9=Inputs!F$3,Inputs!I$3,IF(D9=Inputs!F$4,Inputs!I$4,IF(D9=Inputs!F$5,Inputs!I$5,"NA"))))</f>
        <v>74.892857142857139</v>
      </c>
    </row>
    <row r="10" spans="1:16" x14ac:dyDescent="0.25">
      <c r="A10" s="148">
        <v>4</v>
      </c>
      <c r="B10" s="189">
        <f>Inputs!C$2</f>
        <v>19</v>
      </c>
      <c r="C10" s="151">
        <v>940663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1509</v>
      </c>
      <c r="J10" s="189">
        <f>IF(H10="NEW",203, IF(H10="OLD",192,0))</f>
        <v>203</v>
      </c>
      <c r="K10" s="151">
        <v>1712</v>
      </c>
      <c r="L10" s="211">
        <f t="shared" si="1"/>
        <v>25.15</v>
      </c>
      <c r="M10" s="151">
        <v>129110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74.892857142857139</v>
      </c>
    </row>
    <row r="11" spans="1:16" x14ac:dyDescent="0.25">
      <c r="A11" s="148">
        <v>5</v>
      </c>
      <c r="B11" s="189">
        <f>Inputs!C$2</f>
        <v>19</v>
      </c>
      <c r="C11" s="151">
        <v>940664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1517</v>
      </c>
      <c r="J11" s="189">
        <f t="shared" ref="J11:J72" si="2">IF(H11="NEW",203, IF(H11="OLD",192,0))</f>
        <v>203</v>
      </c>
      <c r="K11" s="151">
        <v>1720</v>
      </c>
      <c r="L11" s="211">
        <f>IF(K11&gt;0,I11/E11,"NA")</f>
        <v>25.283333333333335</v>
      </c>
      <c r="M11" s="151">
        <v>129110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74.892857142857139</v>
      </c>
    </row>
    <row r="12" spans="1:16" x14ac:dyDescent="0.25">
      <c r="A12" s="148">
        <v>6</v>
      </c>
      <c r="B12" s="189">
        <f>Inputs!C$2</f>
        <v>19</v>
      </c>
      <c r="C12" s="151">
        <v>940665</v>
      </c>
      <c r="D12" s="188" t="s">
        <v>7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1497</v>
      </c>
      <c r="J12" s="189">
        <f t="shared" si="2"/>
        <v>203</v>
      </c>
      <c r="K12" s="151">
        <v>1700</v>
      </c>
      <c r="L12" s="211">
        <f t="shared" si="1"/>
        <v>24.95</v>
      </c>
      <c r="M12" s="151">
        <v>129110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56.892857142857146</v>
      </c>
    </row>
    <row r="13" spans="1:16" x14ac:dyDescent="0.25">
      <c r="A13" s="148">
        <v>7</v>
      </c>
      <c r="B13" s="189">
        <f>Inputs!C$2</f>
        <v>19</v>
      </c>
      <c r="C13" s="151">
        <v>940666</v>
      </c>
      <c r="D13" s="188" t="s">
        <v>7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1493</v>
      </c>
      <c r="J13" s="189">
        <f t="shared" si="2"/>
        <v>203</v>
      </c>
      <c r="K13" s="151">
        <v>1696</v>
      </c>
      <c r="L13" s="211">
        <f t="shared" si="1"/>
        <v>24.883333333333333</v>
      </c>
      <c r="M13" s="151">
        <v>129110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56.892857142857146</v>
      </c>
    </row>
    <row r="14" spans="1:16" x14ac:dyDescent="0.25">
      <c r="A14" s="148">
        <v>8</v>
      </c>
      <c r="B14" s="189">
        <f>Inputs!C$2</f>
        <v>19</v>
      </c>
      <c r="C14" s="151">
        <v>940667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1493</v>
      </c>
      <c r="J14" s="189">
        <f t="shared" si="2"/>
        <v>203</v>
      </c>
      <c r="K14" s="151">
        <v>1696</v>
      </c>
      <c r="L14" s="211">
        <f t="shared" si="1"/>
        <v>24.883333333333333</v>
      </c>
      <c r="M14" s="151">
        <v>129110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56.892857142857146</v>
      </c>
    </row>
    <row r="15" spans="1:16" x14ac:dyDescent="0.25">
      <c r="A15" s="148">
        <v>9</v>
      </c>
      <c r="B15" s="189">
        <f>Inputs!C$2</f>
        <v>19</v>
      </c>
      <c r="C15" s="151">
        <v>940668</v>
      </c>
      <c r="D15" s="188" t="s">
        <v>5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1503</v>
      </c>
      <c r="J15" s="189">
        <f t="shared" si="2"/>
        <v>203</v>
      </c>
      <c r="K15" s="151">
        <v>1706</v>
      </c>
      <c r="L15" s="211">
        <f t="shared" si="1"/>
        <v>25.05</v>
      </c>
      <c r="M15" s="151">
        <v>129110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48.464285714285715</v>
      </c>
    </row>
    <row r="16" spans="1:16" x14ac:dyDescent="0.25">
      <c r="A16" s="148">
        <v>10</v>
      </c>
      <c r="B16" s="189">
        <f>Inputs!C$2</f>
        <v>19</v>
      </c>
      <c r="C16" s="151">
        <v>940669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1521</v>
      </c>
      <c r="J16" s="189">
        <f t="shared" si="2"/>
        <v>203</v>
      </c>
      <c r="K16" s="151">
        <v>1724</v>
      </c>
      <c r="L16" s="211">
        <f t="shared" si="1"/>
        <v>25.35</v>
      </c>
      <c r="M16" s="151">
        <v>129110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74.892857142857139</v>
      </c>
    </row>
    <row r="17" spans="1:16" x14ac:dyDescent="0.25">
      <c r="A17" s="148">
        <v>11</v>
      </c>
      <c r="B17" s="189">
        <f>Inputs!C$2</f>
        <v>19</v>
      </c>
      <c r="C17" s="151">
        <v>940670</v>
      </c>
      <c r="D17" s="188" t="s">
        <v>5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1517</v>
      </c>
      <c r="J17" s="189">
        <f t="shared" si="2"/>
        <v>203</v>
      </c>
      <c r="K17" s="151">
        <v>1720</v>
      </c>
      <c r="L17" s="211">
        <f t="shared" si="1"/>
        <v>25.283333333333335</v>
      </c>
      <c r="M17" s="151">
        <v>129110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48.464285714285715</v>
      </c>
    </row>
    <row r="18" spans="1:16" x14ac:dyDescent="0.25">
      <c r="A18" s="148">
        <v>12</v>
      </c>
      <c r="B18" s="189">
        <f>Inputs!C$2</f>
        <v>19</v>
      </c>
      <c r="C18" s="151">
        <v>940671</v>
      </c>
      <c r="D18" s="188" t="s">
        <v>183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1501</v>
      </c>
      <c r="J18" s="189">
        <f t="shared" si="2"/>
        <v>203</v>
      </c>
      <c r="K18" s="151">
        <v>1704</v>
      </c>
      <c r="L18" s="211">
        <f t="shared" si="1"/>
        <v>25.016666666666666</v>
      </c>
      <c r="M18" s="151">
        <v>129110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74.892857142857139</v>
      </c>
    </row>
    <row r="19" spans="1:16" x14ac:dyDescent="0.25">
      <c r="A19" s="148">
        <v>13</v>
      </c>
      <c r="B19" s="189">
        <f>Inputs!C$2</f>
        <v>19</v>
      </c>
      <c r="C19" s="151">
        <v>940672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1419</v>
      </c>
      <c r="J19" s="189">
        <f t="shared" si="2"/>
        <v>203</v>
      </c>
      <c r="K19" s="151">
        <v>1622</v>
      </c>
      <c r="L19" s="211">
        <f t="shared" si="1"/>
        <v>23.65</v>
      </c>
      <c r="M19" s="151">
        <v>129110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30.892857142857142</v>
      </c>
    </row>
    <row r="20" spans="1:16" x14ac:dyDescent="0.25">
      <c r="A20" s="148">
        <v>14</v>
      </c>
      <c r="B20" s="189">
        <f>Inputs!C$2</f>
        <v>19</v>
      </c>
      <c r="C20" s="151">
        <v>940673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1419</v>
      </c>
      <c r="J20" s="189">
        <f t="shared" si="2"/>
        <v>203</v>
      </c>
      <c r="K20" s="151">
        <v>1622</v>
      </c>
      <c r="L20" s="211">
        <f t="shared" si="1"/>
        <v>23.65</v>
      </c>
      <c r="M20" s="151">
        <v>129110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30.892857142857142</v>
      </c>
    </row>
    <row r="21" spans="1:16" x14ac:dyDescent="0.25">
      <c r="A21" s="148">
        <v>15</v>
      </c>
      <c r="B21" s="189">
        <f>Inputs!C$2</f>
        <v>19</v>
      </c>
      <c r="C21" s="151">
        <v>940674</v>
      </c>
      <c r="D21" s="188" t="s">
        <v>181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1421</v>
      </c>
      <c r="J21" s="189">
        <f t="shared" si="2"/>
        <v>203</v>
      </c>
      <c r="K21" s="151">
        <v>1624</v>
      </c>
      <c r="L21" s="211">
        <f t="shared" si="1"/>
        <v>23.683333333333334</v>
      </c>
      <c r="M21" s="151">
        <v>129110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30.892857142857142</v>
      </c>
    </row>
    <row r="22" spans="1:16" x14ac:dyDescent="0.25">
      <c r="A22" s="148">
        <v>16</v>
      </c>
      <c r="B22" s="189">
        <f>Inputs!C$2</f>
        <v>19</v>
      </c>
      <c r="C22" s="151">
        <v>940675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1477</v>
      </c>
      <c r="J22" s="189">
        <f t="shared" si="2"/>
        <v>203</v>
      </c>
      <c r="K22" s="235">
        <v>1680</v>
      </c>
      <c r="L22" s="211">
        <f t="shared" si="1"/>
        <v>24.616666666666667</v>
      </c>
      <c r="M22" s="151">
        <v>129110</v>
      </c>
      <c r="N22" s="152" t="s">
        <v>238</v>
      </c>
      <c r="O22" s="157" t="s">
        <v>52</v>
      </c>
      <c r="P22" s="187">
        <f>IF(D22=Inputs!F$2,Inputs!I$2,IF(D22=Inputs!F$3,Inputs!I$3,IF(D22=Inputs!F$4,Inputs!I$4,IF(D22=Inputs!F$5,Inputs!I$5,"NA"))))</f>
        <v>74.892857142857139</v>
      </c>
    </row>
    <row r="23" spans="1:16" x14ac:dyDescent="0.25">
      <c r="A23" s="148">
        <v>17</v>
      </c>
      <c r="B23" s="189">
        <f>Inputs!C$2</f>
        <v>19</v>
      </c>
      <c r="C23" s="151">
        <v>940676</v>
      </c>
      <c r="D23" s="188" t="s">
        <v>183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1511</v>
      </c>
      <c r="J23" s="189">
        <f t="shared" si="2"/>
        <v>203</v>
      </c>
      <c r="K23" s="151">
        <v>1714</v>
      </c>
      <c r="L23" s="211">
        <f t="shared" si="1"/>
        <v>25.183333333333334</v>
      </c>
      <c r="M23" s="151">
        <v>129110</v>
      </c>
      <c r="N23" s="152" t="s">
        <v>238</v>
      </c>
      <c r="O23" s="157" t="s">
        <v>51</v>
      </c>
      <c r="P23" s="187">
        <f>IF(D23=Inputs!F$2,Inputs!I$2,IF(D23=Inputs!F$3,Inputs!I$3,IF(D23=Inputs!F$4,Inputs!I$4,IF(D23=Inputs!F$5,Inputs!I$5,"NA"))))</f>
        <v>74.892857142857139</v>
      </c>
    </row>
    <row r="24" spans="1:16" x14ac:dyDescent="0.25">
      <c r="A24" s="148">
        <v>18</v>
      </c>
      <c r="B24" s="189">
        <f>Inputs!C$2</f>
        <v>19</v>
      </c>
      <c r="C24" s="151">
        <v>940677</v>
      </c>
      <c r="D24" s="188" t="s">
        <v>181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1465</v>
      </c>
      <c r="J24" s="189">
        <f t="shared" si="2"/>
        <v>203</v>
      </c>
      <c r="K24" s="151">
        <v>1668</v>
      </c>
      <c r="L24" s="211">
        <f t="shared" si="1"/>
        <v>24.416666666666668</v>
      </c>
      <c r="M24" s="151">
        <v>129110</v>
      </c>
      <c r="N24" s="152" t="s">
        <v>238</v>
      </c>
      <c r="O24" s="157" t="s">
        <v>237</v>
      </c>
      <c r="P24" s="187">
        <f>IF(D24=Inputs!F$2,Inputs!I$2,IF(D24=Inputs!F$3,Inputs!I$3,IF(D24=Inputs!F$4,Inputs!I$4,IF(D24=Inputs!F$5,Inputs!I$5,"NA"))))</f>
        <v>30.892857142857142</v>
      </c>
    </row>
    <row r="25" spans="1:16" x14ac:dyDescent="0.25">
      <c r="A25" s="148">
        <v>19</v>
      </c>
      <c r="B25" s="189">
        <f>Inputs!C$2</f>
        <v>19</v>
      </c>
      <c r="C25" s="151">
        <v>940678</v>
      </c>
      <c r="D25" s="188" t="s">
        <v>183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1525</v>
      </c>
      <c r="J25" s="189">
        <f t="shared" si="2"/>
        <v>203</v>
      </c>
      <c r="K25" s="151">
        <v>1728</v>
      </c>
      <c r="L25" s="211">
        <f t="shared" si="1"/>
        <v>25.416666666666668</v>
      </c>
      <c r="M25" s="151">
        <v>129110</v>
      </c>
      <c r="N25" s="152" t="s">
        <v>238</v>
      </c>
      <c r="O25" s="157" t="s">
        <v>51</v>
      </c>
      <c r="P25" s="187">
        <f>IF(D25=Inputs!F$2,Inputs!I$2,IF(D25=Inputs!F$3,Inputs!I$3,IF(D25=Inputs!F$4,Inputs!I$4,IF(D25=Inputs!F$5,Inputs!I$5,"NA"))))</f>
        <v>74.892857142857139</v>
      </c>
    </row>
    <row r="26" spans="1:16" x14ac:dyDescent="0.25">
      <c r="A26" s="148">
        <v>20</v>
      </c>
      <c r="B26" s="189">
        <f>Inputs!C$2</f>
        <v>19</v>
      </c>
      <c r="C26" s="151">
        <v>940679</v>
      </c>
      <c r="D26" s="188" t="s">
        <v>183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1525</v>
      </c>
      <c r="J26" s="189">
        <f t="shared" si="2"/>
        <v>203</v>
      </c>
      <c r="K26" s="151">
        <v>1728</v>
      </c>
      <c r="L26" s="211">
        <f t="shared" si="1"/>
        <v>25.416666666666668</v>
      </c>
      <c r="M26" s="151">
        <v>129110</v>
      </c>
      <c r="N26" s="152" t="s">
        <v>238</v>
      </c>
      <c r="O26" s="157" t="s">
        <v>237</v>
      </c>
      <c r="P26" s="187">
        <f>IF(D26=Inputs!F$2,Inputs!I$2,IF(D26=Inputs!F$3,Inputs!I$3,IF(D26=Inputs!F$4,Inputs!I$4,IF(D26=Inputs!F$5,Inputs!I$5,"NA"))))</f>
        <v>74.892857142857139</v>
      </c>
    </row>
    <row r="27" spans="1:16" x14ac:dyDescent="0.25">
      <c r="A27" s="148">
        <v>21</v>
      </c>
      <c r="B27" s="189">
        <f>Inputs!C$2</f>
        <v>19</v>
      </c>
      <c r="C27" s="151">
        <v>940680</v>
      </c>
      <c r="D27" s="188" t="s">
        <v>183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1533</v>
      </c>
      <c r="J27" s="189">
        <f t="shared" si="2"/>
        <v>203</v>
      </c>
      <c r="K27" s="151">
        <v>1736</v>
      </c>
      <c r="L27" s="211">
        <f t="shared" si="1"/>
        <v>25.55</v>
      </c>
      <c r="M27" s="151">
        <v>129110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74.892857142857139</v>
      </c>
    </row>
    <row r="28" spans="1:16" x14ac:dyDescent="0.25">
      <c r="A28" s="148">
        <v>22</v>
      </c>
      <c r="B28" s="189">
        <f>Inputs!C$2</f>
        <v>19</v>
      </c>
      <c r="C28" s="151">
        <v>940681</v>
      </c>
      <c r="D28" s="188" t="s">
        <v>183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1545</v>
      </c>
      <c r="J28" s="189">
        <f t="shared" si="2"/>
        <v>203</v>
      </c>
      <c r="K28" s="151">
        <v>1748</v>
      </c>
      <c r="L28" s="211">
        <f t="shared" si="1"/>
        <v>25.75</v>
      </c>
      <c r="M28" s="151">
        <v>129110</v>
      </c>
      <c r="N28" s="152" t="s">
        <v>238</v>
      </c>
      <c r="O28" s="157" t="s">
        <v>237</v>
      </c>
      <c r="P28" s="187">
        <f>IF(D28=Inputs!F$2,Inputs!I$2,IF(D28=Inputs!F$3,Inputs!I$3,IF(D28=Inputs!F$4,Inputs!I$4,IF(D28=Inputs!F$5,Inputs!I$5,"NA"))))</f>
        <v>74.892857142857139</v>
      </c>
    </row>
    <row r="29" spans="1:16" x14ac:dyDescent="0.25">
      <c r="A29" s="148">
        <v>23</v>
      </c>
      <c r="B29" s="189">
        <f>Inputs!C$2</f>
        <v>19</v>
      </c>
      <c r="C29" s="151">
        <v>940682</v>
      </c>
      <c r="D29" s="188" t="s">
        <v>183</v>
      </c>
      <c r="E29" s="148">
        <v>60</v>
      </c>
      <c r="F29" s="188" t="s">
        <v>120</v>
      </c>
      <c r="G29" s="188"/>
      <c r="H29" s="191" t="s">
        <v>220</v>
      </c>
      <c r="I29" s="210">
        <f t="shared" si="0"/>
        <v>1557</v>
      </c>
      <c r="J29" s="189">
        <f t="shared" si="2"/>
        <v>203</v>
      </c>
      <c r="K29" s="151">
        <v>1760</v>
      </c>
      <c r="L29" s="211">
        <f t="shared" si="1"/>
        <v>25.95</v>
      </c>
      <c r="M29" s="151">
        <v>129110</v>
      </c>
      <c r="N29" s="152" t="s">
        <v>238</v>
      </c>
      <c r="O29" s="157" t="s">
        <v>51</v>
      </c>
      <c r="P29" s="187">
        <f>IF(D29=Inputs!F$2,Inputs!I$2,IF(D29=Inputs!F$3,Inputs!I$3,IF(D29=Inputs!F$4,Inputs!I$4,IF(D29=Inputs!F$5,Inputs!I$5,"NA"))))</f>
        <v>74.892857142857139</v>
      </c>
    </row>
    <row r="30" spans="1:16" x14ac:dyDescent="0.25">
      <c r="A30" s="148">
        <v>24</v>
      </c>
      <c r="B30" s="189">
        <f>Inputs!C$2</f>
        <v>19</v>
      </c>
      <c r="C30" s="151">
        <v>940683</v>
      </c>
      <c r="D30" s="188" t="s">
        <v>183</v>
      </c>
      <c r="E30" s="148">
        <v>60</v>
      </c>
      <c r="F30" s="188" t="s">
        <v>120</v>
      </c>
      <c r="G30" s="188"/>
      <c r="H30" s="191" t="s">
        <v>220</v>
      </c>
      <c r="I30" s="210">
        <f t="shared" si="0"/>
        <v>1537</v>
      </c>
      <c r="J30" s="189">
        <f t="shared" si="2"/>
        <v>203</v>
      </c>
      <c r="K30" s="151">
        <v>1740</v>
      </c>
      <c r="L30" s="211">
        <f t="shared" si="1"/>
        <v>25.616666666666667</v>
      </c>
      <c r="M30" s="151">
        <v>129110</v>
      </c>
      <c r="N30" s="152" t="s">
        <v>238</v>
      </c>
      <c r="O30" s="157" t="s">
        <v>237</v>
      </c>
      <c r="P30" s="187">
        <f>IF(D30=Inputs!F$2,Inputs!I$2,IF(D30=Inputs!F$3,Inputs!I$3,IF(D30=Inputs!F$4,Inputs!I$4,IF(D30=Inputs!F$5,Inputs!I$5,"NA"))))</f>
        <v>74.892857142857139</v>
      </c>
    </row>
    <row r="31" spans="1:16" x14ac:dyDescent="0.25">
      <c r="A31" s="148">
        <v>25</v>
      </c>
      <c r="B31" s="189">
        <f>Inputs!C$2</f>
        <v>19</v>
      </c>
      <c r="C31" s="151">
        <v>940684</v>
      </c>
      <c r="D31" s="188" t="s">
        <v>181</v>
      </c>
      <c r="E31" s="148">
        <v>60</v>
      </c>
      <c r="F31" s="188" t="s">
        <v>120</v>
      </c>
      <c r="G31" s="188"/>
      <c r="H31" s="191" t="s">
        <v>220</v>
      </c>
      <c r="I31" s="210">
        <f t="shared" si="0"/>
        <v>1451</v>
      </c>
      <c r="J31" s="189">
        <f t="shared" si="2"/>
        <v>203</v>
      </c>
      <c r="K31" s="151">
        <v>1654</v>
      </c>
      <c r="L31" s="211">
        <f t="shared" si="1"/>
        <v>24.183333333333334</v>
      </c>
      <c r="M31" s="151">
        <v>129110</v>
      </c>
      <c r="N31" s="152" t="s">
        <v>238</v>
      </c>
      <c r="O31" s="157" t="s">
        <v>237</v>
      </c>
      <c r="P31" s="187">
        <f>IF(D31=Inputs!F$2,Inputs!I$2,IF(D31=Inputs!F$3,Inputs!I$3,IF(D31=Inputs!F$4,Inputs!I$4,IF(D31=Inputs!F$5,Inputs!I$5,"NA"))))</f>
        <v>30.892857142857142</v>
      </c>
    </row>
    <row r="32" spans="1:16" x14ac:dyDescent="0.25">
      <c r="A32" s="148">
        <v>26</v>
      </c>
      <c r="B32" s="189">
        <f>Inputs!C$2</f>
        <v>19</v>
      </c>
      <c r="C32" s="151">
        <v>940685</v>
      </c>
      <c r="D32" s="188" t="s">
        <v>181</v>
      </c>
      <c r="E32" s="148">
        <v>60</v>
      </c>
      <c r="F32" s="188" t="s">
        <v>120</v>
      </c>
      <c r="G32" s="188"/>
      <c r="H32" s="191" t="s">
        <v>220</v>
      </c>
      <c r="I32" s="210">
        <f t="shared" si="0"/>
        <v>1437</v>
      </c>
      <c r="J32" s="189">
        <f t="shared" si="2"/>
        <v>203</v>
      </c>
      <c r="K32" s="151">
        <v>1640</v>
      </c>
      <c r="L32" s="211">
        <f t="shared" si="1"/>
        <v>23.95</v>
      </c>
      <c r="M32" s="151">
        <v>129110</v>
      </c>
      <c r="N32" s="152" t="s">
        <v>238</v>
      </c>
      <c r="O32" s="157" t="s">
        <v>51</v>
      </c>
      <c r="P32" s="187">
        <f>IF(D32=Inputs!F$2,Inputs!I$2,IF(D32=Inputs!F$3,Inputs!I$3,IF(D32=Inputs!F$4,Inputs!I$4,IF(D32=Inputs!F$5,Inputs!I$5,"NA"))))</f>
        <v>30.892857142857142</v>
      </c>
    </row>
    <row r="33" spans="1:16" x14ac:dyDescent="0.25">
      <c r="A33" s="148">
        <v>27</v>
      </c>
      <c r="B33" s="189">
        <f>Inputs!C$2</f>
        <v>19</v>
      </c>
      <c r="C33" s="151">
        <v>940686</v>
      </c>
      <c r="D33" s="188" t="s">
        <v>9</v>
      </c>
      <c r="E33" s="148">
        <v>60</v>
      </c>
      <c r="F33" s="188" t="s">
        <v>120</v>
      </c>
      <c r="G33" s="188" t="s">
        <v>13</v>
      </c>
      <c r="H33" s="191" t="s">
        <v>220</v>
      </c>
      <c r="I33" s="210" t="str">
        <f t="shared" si="0"/>
        <v>NA</v>
      </c>
      <c r="J33" s="189">
        <f t="shared" si="2"/>
        <v>203</v>
      </c>
      <c r="K33" s="151"/>
      <c r="L33" s="211" t="str">
        <f t="shared" si="1"/>
        <v>NA</v>
      </c>
      <c r="M33" s="151">
        <v>129110</v>
      </c>
      <c r="N33" s="152" t="s">
        <v>238</v>
      </c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19</v>
      </c>
      <c r="C34" s="151">
        <v>940687</v>
      </c>
      <c r="D34" s="188" t="s">
        <v>9</v>
      </c>
      <c r="E34" s="148">
        <v>60</v>
      </c>
      <c r="F34" s="188" t="s">
        <v>120</v>
      </c>
      <c r="G34" s="188" t="s">
        <v>13</v>
      </c>
      <c r="H34" s="191" t="s">
        <v>220</v>
      </c>
      <c r="I34" s="210" t="str">
        <f t="shared" si="0"/>
        <v>NA</v>
      </c>
      <c r="J34" s="189">
        <f t="shared" si="2"/>
        <v>203</v>
      </c>
      <c r="K34" s="151"/>
      <c r="L34" s="211" t="str">
        <f t="shared" si="1"/>
        <v>NA</v>
      </c>
      <c r="M34" s="151">
        <v>129110</v>
      </c>
      <c r="N34" s="152" t="s">
        <v>238</v>
      </c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19</v>
      </c>
      <c r="C35" s="151">
        <v>940688</v>
      </c>
      <c r="D35" s="188" t="s">
        <v>5</v>
      </c>
      <c r="E35" s="148">
        <v>60</v>
      </c>
      <c r="F35" s="188" t="s">
        <v>120</v>
      </c>
      <c r="G35" s="188"/>
      <c r="H35" s="191" t="s">
        <v>220</v>
      </c>
      <c r="I35" s="210">
        <f t="shared" si="0"/>
        <v>1537</v>
      </c>
      <c r="J35" s="189">
        <f t="shared" si="2"/>
        <v>203</v>
      </c>
      <c r="K35" s="151">
        <v>1740</v>
      </c>
      <c r="L35" s="211">
        <f t="shared" si="1"/>
        <v>25.616666666666667</v>
      </c>
      <c r="M35" s="151">
        <v>129110</v>
      </c>
      <c r="N35" s="152" t="s">
        <v>238</v>
      </c>
      <c r="O35" s="157" t="s">
        <v>51</v>
      </c>
      <c r="P35" s="187">
        <f>IF(D35=Inputs!F$2,Inputs!I$2,IF(D35=Inputs!F$3,Inputs!I$3,IF(D35=Inputs!F$4,Inputs!I$4,IF(D35=Inputs!F$5,Inputs!I$5,"NA"))))</f>
        <v>48.464285714285715</v>
      </c>
    </row>
    <row r="36" spans="1:16" x14ac:dyDescent="0.25">
      <c r="A36" s="148">
        <v>30</v>
      </c>
      <c r="B36" s="189">
        <f>Inputs!C$2</f>
        <v>19</v>
      </c>
      <c r="C36" s="151">
        <v>940689</v>
      </c>
      <c r="D36" s="188" t="s">
        <v>5</v>
      </c>
      <c r="E36" s="148">
        <v>60</v>
      </c>
      <c r="F36" s="188" t="s">
        <v>120</v>
      </c>
      <c r="G36" s="188"/>
      <c r="H36" s="191" t="s">
        <v>220</v>
      </c>
      <c r="I36" s="210">
        <f t="shared" si="0"/>
        <v>1529</v>
      </c>
      <c r="J36" s="189">
        <f t="shared" si="2"/>
        <v>203</v>
      </c>
      <c r="K36" s="151">
        <v>1732</v>
      </c>
      <c r="L36" s="211">
        <f t="shared" si="1"/>
        <v>25.483333333333334</v>
      </c>
      <c r="M36" s="151">
        <v>129110</v>
      </c>
      <c r="N36" s="152" t="s">
        <v>238</v>
      </c>
      <c r="O36" s="157" t="s">
        <v>51</v>
      </c>
      <c r="P36" s="187">
        <f>IF(D36=Inputs!F$2,Inputs!I$2,IF(D36=Inputs!F$3,Inputs!I$3,IF(D36=Inputs!F$4,Inputs!I$4,IF(D36=Inputs!F$5,Inputs!I$5,"NA"))))</f>
        <v>48.464285714285715</v>
      </c>
    </row>
    <row r="37" spans="1:16" x14ac:dyDescent="0.25">
      <c r="A37" s="148">
        <v>31</v>
      </c>
      <c r="B37" s="189">
        <f>Inputs!C$2</f>
        <v>19</v>
      </c>
      <c r="C37" s="151">
        <v>940690</v>
      </c>
      <c r="D37" s="188" t="s">
        <v>183</v>
      </c>
      <c r="E37" s="148">
        <v>60</v>
      </c>
      <c r="F37" s="188" t="s">
        <v>120</v>
      </c>
      <c r="G37" s="188"/>
      <c r="H37" s="191" t="s">
        <v>220</v>
      </c>
      <c r="I37" s="210">
        <f t="shared" si="0"/>
        <v>1535</v>
      </c>
      <c r="J37" s="189">
        <f t="shared" si="2"/>
        <v>203</v>
      </c>
      <c r="K37" s="151">
        <v>1738</v>
      </c>
      <c r="L37" s="211">
        <f t="shared" si="1"/>
        <v>25.583333333333332</v>
      </c>
      <c r="M37" s="151">
        <v>129110</v>
      </c>
      <c r="N37" s="152" t="s">
        <v>238</v>
      </c>
      <c r="O37" s="157" t="s">
        <v>51</v>
      </c>
      <c r="P37" s="187">
        <f>IF(D37=Inputs!F$2,Inputs!I$2,IF(D37=Inputs!F$3,Inputs!I$3,IF(D37=Inputs!F$4,Inputs!I$4,IF(D37=Inputs!F$5,Inputs!I$5,"NA"))))</f>
        <v>74.892857142857139</v>
      </c>
    </row>
    <row r="38" spans="1:16" x14ac:dyDescent="0.25">
      <c r="A38" s="148">
        <v>32</v>
      </c>
      <c r="B38" s="189">
        <f>Inputs!C$2</f>
        <v>19</v>
      </c>
      <c r="C38" s="151">
        <v>940691</v>
      </c>
      <c r="D38" s="188" t="s">
        <v>183</v>
      </c>
      <c r="E38" s="148">
        <v>60</v>
      </c>
      <c r="F38" s="188" t="s">
        <v>120</v>
      </c>
      <c r="G38" s="188"/>
      <c r="H38" s="191" t="s">
        <v>220</v>
      </c>
      <c r="I38" s="210">
        <f t="shared" si="0"/>
        <v>1499</v>
      </c>
      <c r="J38" s="189">
        <f t="shared" si="2"/>
        <v>203</v>
      </c>
      <c r="K38" s="151">
        <v>1702</v>
      </c>
      <c r="L38" s="211">
        <f t="shared" si="1"/>
        <v>24.983333333333334</v>
      </c>
      <c r="M38" s="151">
        <v>129110</v>
      </c>
      <c r="N38" s="152" t="s">
        <v>238</v>
      </c>
      <c r="O38" s="157" t="s">
        <v>237</v>
      </c>
      <c r="P38" s="187">
        <f>IF(D38=Inputs!F$2,Inputs!I$2,IF(D38=Inputs!F$3,Inputs!I$3,IF(D38=Inputs!F$4,Inputs!I$4,IF(D38=Inputs!F$5,Inputs!I$5,"NA"))))</f>
        <v>74.892857142857139</v>
      </c>
    </row>
    <row r="39" spans="1:16" x14ac:dyDescent="0.25">
      <c r="A39" s="148">
        <v>33</v>
      </c>
      <c r="B39" s="189">
        <f>Inputs!C$2</f>
        <v>19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19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19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19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19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19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19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19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19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19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19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19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19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19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19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19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19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19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19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19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19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19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19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19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19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19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19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19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19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19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19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19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19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19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19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19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19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19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19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19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19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19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19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19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J38" sqref="J38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19</v>
      </c>
      <c r="F2" s="166" t="s">
        <v>183</v>
      </c>
      <c r="G2" s="186">
        <v>45264</v>
      </c>
      <c r="I2" s="205">
        <f>(C$3-G2)/7</f>
        <v>74.892857142857139</v>
      </c>
      <c r="J2" s="230">
        <f>I2-19</f>
        <v>55.892857142857139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45788.25</v>
      </c>
      <c r="D3" s="247"/>
      <c r="F3" s="166" t="s">
        <v>7</v>
      </c>
      <c r="G3" s="186">
        <v>45390</v>
      </c>
      <c r="I3" s="205">
        <f>(C$3-G3)/7</f>
        <v>56.892857142857146</v>
      </c>
      <c r="J3" s="230">
        <f>I3-19</f>
        <v>37.892857142857146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30.892857142857142</v>
      </c>
      <c r="J4" s="230">
        <f>I4-19</f>
        <v>11.892857142857142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48.464285714285715</v>
      </c>
      <c r="J5" s="230">
        <f>I5-19</f>
        <v>29.464285714285715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92</v>
      </c>
      <c r="C10" s="168">
        <v>10</v>
      </c>
      <c r="E10" s="139">
        <v>3</v>
      </c>
      <c r="F10" s="168">
        <v>111</v>
      </c>
      <c r="G10" s="168">
        <v>13</v>
      </c>
    </row>
    <row r="11" spans="1:12" x14ac:dyDescent="0.2">
      <c r="A11" s="139">
        <v>6</v>
      </c>
      <c r="B11" s="168">
        <v>206</v>
      </c>
      <c r="C11" s="165"/>
      <c r="E11" s="139">
        <v>6</v>
      </c>
      <c r="F11" s="168">
        <v>214</v>
      </c>
      <c r="G11" s="165"/>
    </row>
    <row r="12" spans="1:12" x14ac:dyDescent="0.2">
      <c r="A12" s="139">
        <v>7</v>
      </c>
      <c r="B12" s="168">
        <v>182</v>
      </c>
      <c r="C12" s="168">
        <v>20</v>
      </c>
      <c r="E12" s="139">
        <v>7</v>
      </c>
      <c r="F12" s="168">
        <v>204</v>
      </c>
      <c r="G12" s="168">
        <v>22</v>
      </c>
    </row>
    <row r="13" spans="1:12" x14ac:dyDescent="0.2">
      <c r="A13" s="139">
        <v>11</v>
      </c>
      <c r="B13" s="168">
        <v>95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108</v>
      </c>
      <c r="C16" s="168">
        <v>11</v>
      </c>
      <c r="E16" s="139">
        <v>3</v>
      </c>
      <c r="F16" s="168">
        <v>108</v>
      </c>
      <c r="G16" s="168">
        <v>11</v>
      </c>
    </row>
    <row r="17" spans="1:11" x14ac:dyDescent="0.2">
      <c r="A17" s="139">
        <v>6</v>
      </c>
      <c r="B17" s="168">
        <v>222</v>
      </c>
      <c r="C17" s="165"/>
      <c r="E17" s="139">
        <v>6</v>
      </c>
      <c r="F17" s="168">
        <v>217</v>
      </c>
      <c r="G17" s="165"/>
    </row>
    <row r="18" spans="1:11" x14ac:dyDescent="0.2">
      <c r="A18" s="139">
        <v>7</v>
      </c>
      <c r="B18" s="168">
        <v>103</v>
      </c>
      <c r="C18" s="168">
        <v>23</v>
      </c>
      <c r="E18" s="139">
        <v>7</v>
      </c>
      <c r="F18" s="168">
        <v>199</v>
      </c>
      <c r="G18" s="168">
        <v>22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111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11</v>
      </c>
      <c r="E23" s="139">
        <v>3</v>
      </c>
      <c r="F23" s="168">
        <v>107</v>
      </c>
      <c r="G23" s="168">
        <v>11</v>
      </c>
    </row>
    <row r="24" spans="1:11" x14ac:dyDescent="0.2">
      <c r="A24" s="139">
        <v>6</v>
      </c>
      <c r="B24" s="168">
        <v>216</v>
      </c>
      <c r="C24" s="165"/>
      <c r="E24" s="139">
        <v>6</v>
      </c>
      <c r="F24" s="168">
        <v>210</v>
      </c>
      <c r="G24" s="165"/>
    </row>
    <row r="25" spans="1:11" x14ac:dyDescent="0.2">
      <c r="A25" s="139">
        <v>7</v>
      </c>
      <c r="B25" s="168">
        <v>199</v>
      </c>
      <c r="C25" s="168">
        <v>22</v>
      </c>
      <c r="E25" s="139">
        <v>7</v>
      </c>
      <c r="F25" s="168">
        <v>201</v>
      </c>
      <c r="G25" s="168">
        <v>22</v>
      </c>
    </row>
    <row r="26" spans="1:11" x14ac:dyDescent="0.2">
      <c r="A26" s="139">
        <v>11</v>
      </c>
      <c r="B26" s="168">
        <v>112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108</v>
      </c>
      <c r="C29" s="168">
        <v>10</v>
      </c>
      <c r="E29" s="139">
        <v>3</v>
      </c>
      <c r="F29" s="203">
        <f t="shared" ref="F29:G32" si="0">B10+F10+B16+F16+B23+F23+B29</f>
        <v>741</v>
      </c>
      <c r="G29" s="203">
        <f t="shared" si="0"/>
        <v>77</v>
      </c>
      <c r="I29" s="139">
        <v>3</v>
      </c>
      <c r="J29" s="203">
        <f t="shared" ref="J29:K31" si="1">F29*15</f>
        <v>11115</v>
      </c>
      <c r="K29" s="203">
        <f t="shared" si="1"/>
        <v>1155</v>
      </c>
    </row>
    <row r="30" spans="1:11" x14ac:dyDescent="0.2">
      <c r="A30" s="139">
        <v>6</v>
      </c>
      <c r="B30" s="168">
        <v>218</v>
      </c>
      <c r="C30" s="165"/>
      <c r="E30" s="139">
        <v>6</v>
      </c>
      <c r="F30" s="203">
        <f t="shared" si="0"/>
        <v>1503</v>
      </c>
      <c r="G30" s="204">
        <f t="shared" si="0"/>
        <v>0</v>
      </c>
      <c r="I30" s="139">
        <v>6</v>
      </c>
      <c r="J30" s="203">
        <f t="shared" si="1"/>
        <v>22545</v>
      </c>
      <c r="K30" s="204">
        <f t="shared" si="1"/>
        <v>0</v>
      </c>
    </row>
    <row r="31" spans="1:11" x14ac:dyDescent="0.2">
      <c r="A31" s="139">
        <v>7</v>
      </c>
      <c r="B31" s="168">
        <v>201</v>
      </c>
      <c r="C31" s="168">
        <v>22</v>
      </c>
      <c r="E31" s="139">
        <v>7</v>
      </c>
      <c r="F31" s="203">
        <f t="shared" si="0"/>
        <v>1289</v>
      </c>
      <c r="G31" s="203">
        <f t="shared" si="0"/>
        <v>153</v>
      </c>
      <c r="I31" s="139">
        <v>7</v>
      </c>
      <c r="J31" s="203">
        <f t="shared" si="1"/>
        <v>19335</v>
      </c>
      <c r="K31" s="203">
        <f t="shared" si="1"/>
        <v>2295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761</v>
      </c>
      <c r="G32" s="204">
        <f t="shared" si="0"/>
        <v>0</v>
      </c>
      <c r="I32" s="139">
        <v>11</v>
      </c>
      <c r="J32" s="203">
        <f>F32*15</f>
        <v>11415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756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225</v>
      </c>
      <c r="H36" s="245"/>
      <c r="I36" s="225">
        <v>144</v>
      </c>
    </row>
    <row r="37" spans="1:9" x14ac:dyDescent="0.2">
      <c r="A37" s="172" t="s">
        <v>200</v>
      </c>
      <c r="B37" s="173">
        <v>9.9000000000000005E-2</v>
      </c>
      <c r="C37" s="236">
        <v>3.5000000000000003E-2</v>
      </c>
      <c r="D37" s="173">
        <v>4.0000000000000001E-3</v>
      </c>
      <c r="E37" s="173">
        <v>0.06</v>
      </c>
      <c r="G37" s="245" t="s">
        <v>226</v>
      </c>
      <c r="H37" s="245"/>
      <c r="I37" s="225">
        <v>180</v>
      </c>
    </row>
    <row r="38" spans="1:9" x14ac:dyDescent="0.2">
      <c r="A38" s="172" t="s">
        <v>201</v>
      </c>
      <c r="B38" s="173">
        <v>0.38900000000000001</v>
      </c>
      <c r="C38" s="173">
        <v>0.32</v>
      </c>
      <c r="D38" s="173">
        <v>6.3E-2</v>
      </c>
      <c r="E38" s="173">
        <v>0.37</v>
      </c>
      <c r="G38" s="245" t="s">
        <v>227</v>
      </c>
      <c r="H38" s="245"/>
      <c r="I38" s="225">
        <v>302</v>
      </c>
    </row>
    <row r="39" spans="1:9" x14ac:dyDescent="0.2">
      <c r="A39" s="172" t="s">
        <v>202</v>
      </c>
      <c r="B39" s="173">
        <v>0.47799999999999998</v>
      </c>
      <c r="C39" s="173">
        <v>0.59299999999999997</v>
      </c>
      <c r="D39" s="173">
        <v>0.73</v>
      </c>
      <c r="E39" s="173">
        <v>0.52100000000000002</v>
      </c>
      <c r="G39" s="245" t="s">
        <v>228</v>
      </c>
      <c r="H39" s="245"/>
      <c r="I39" s="225">
        <v>58</v>
      </c>
    </row>
    <row r="40" spans="1:9" x14ac:dyDescent="0.2">
      <c r="A40" s="172" t="s">
        <v>203</v>
      </c>
      <c r="B40" s="173">
        <v>2.5000000000000001E-2</v>
      </c>
      <c r="C40" s="173">
        <v>4.4999999999999998E-2</v>
      </c>
      <c r="D40" s="173">
        <v>0.19400000000000001</v>
      </c>
      <c r="E40" s="173">
        <v>0.04</v>
      </c>
      <c r="G40" s="245" t="s">
        <v>229</v>
      </c>
      <c r="H40" s="245"/>
      <c r="I40" s="225">
        <v>360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2E-3</v>
      </c>
      <c r="E41" s="173">
        <v>0</v>
      </c>
      <c r="G41" s="245" t="s">
        <v>231</v>
      </c>
      <c r="H41" s="245"/>
      <c r="I41" s="225">
        <v>120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7.0000000000000001E-3</v>
      </c>
      <c r="D43" s="202">
        <f>SUM(D47:D50)</f>
        <v>7.0000000000000001E-3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12270</v>
      </c>
      <c r="C45" s="231">
        <f>J30</f>
        <v>22545</v>
      </c>
      <c r="D45" s="231">
        <f>J31</f>
        <v>19335</v>
      </c>
      <c r="E45" s="231">
        <f>J32</f>
        <v>11415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2E-3</v>
      </c>
      <c r="D50" s="173">
        <v>2E-3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2025-05-12T13:36:38Z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