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70A4555E-EC0C-4892-93E2-CDE55FB8248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J7" i="6" l="1"/>
  <c r="I11" i="6"/>
  <c r="I71" i="6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I7" i="6"/>
  <c r="L7" i="6" s="1"/>
  <c r="G1" i="2"/>
  <c r="C3" i="8"/>
  <c r="I3" i="8" s="1"/>
  <c r="J3" i="8" s="1"/>
  <c r="P36" i="2"/>
  <c r="B43" i="8"/>
  <c r="W15" i="5" s="1"/>
  <c r="C43" i="8"/>
  <c r="W17" i="5" s="1"/>
  <c r="E43" i="8"/>
  <c r="W23" i="5" s="1"/>
  <c r="D43" i="8"/>
  <c r="W20" i="5" s="1"/>
  <c r="E9" i="4"/>
  <c r="Z23" i="5"/>
  <c r="X23" i="5" s="1"/>
  <c r="Z18" i="5"/>
  <c r="X18" i="5" s="1"/>
  <c r="Z17" i="5"/>
  <c r="X17" i="5" s="1"/>
  <c r="T17" i="5" s="1"/>
  <c r="Z15" i="5"/>
  <c r="X15" i="5" s="1"/>
  <c r="Z21" i="5"/>
  <c r="X21" i="5" s="1"/>
  <c r="T21" i="5" s="1"/>
  <c r="Z20" i="5"/>
  <c r="F6" i="4"/>
  <c r="G12" i="5"/>
  <c r="H12" i="5" s="1"/>
  <c r="S40" i="2"/>
  <c r="R40" i="2"/>
  <c r="Q40" i="2"/>
  <c r="P40" i="2"/>
  <c r="N40" i="2"/>
  <c r="M40" i="2"/>
  <c r="L40" i="2"/>
  <c r="K40" i="2"/>
  <c r="J40" i="2"/>
  <c r="S32" i="2"/>
  <c r="R32" i="2"/>
  <c r="Q32" i="2"/>
  <c r="P32" i="2"/>
  <c r="N32" i="2"/>
  <c r="M32" i="2"/>
  <c r="L32" i="2"/>
  <c r="K32" i="2"/>
  <c r="J32" i="2"/>
  <c r="R28" i="2"/>
  <c r="S28" i="2"/>
  <c r="Q28" i="2"/>
  <c r="P28" i="2"/>
  <c r="N28" i="2"/>
  <c r="M28" i="2"/>
  <c r="L28" i="2"/>
  <c r="K28" i="2"/>
  <c r="J28" i="2"/>
  <c r="S36" i="2"/>
  <c r="R36" i="2"/>
  <c r="Q36" i="2"/>
  <c r="N36" i="2"/>
  <c r="M36" i="2"/>
  <c r="L36" i="2"/>
  <c r="K36" i="2"/>
  <c r="J36" i="2"/>
  <c r="H39" i="2"/>
  <c r="H32" i="2"/>
  <c r="H31" i="2"/>
  <c r="H27" i="2"/>
  <c r="H36" i="2"/>
  <c r="H35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28" i="2"/>
  <c r="T40" i="2"/>
  <c r="T32" i="2"/>
  <c r="T36" i="2"/>
  <c r="G26" i="5"/>
  <c r="T23" i="5"/>
  <c r="T18" i="5"/>
  <c r="Z26" i="5"/>
  <c r="X20" i="5"/>
  <c r="T15" i="5"/>
  <c r="AC26" i="5" l="1"/>
  <c r="X26" i="5"/>
  <c r="AB26" i="5" s="1"/>
  <c r="T20" i="5"/>
  <c r="T26" i="5" s="1"/>
  <c r="S23" i="5" l="1"/>
  <c r="R23" i="5" s="1"/>
  <c r="Q23" i="5"/>
  <c r="P23" i="5" s="1"/>
  <c r="O23" i="5"/>
  <c r="N23" i="5" s="1"/>
  <c r="M23" i="5"/>
  <c r="L23" i="5" s="1"/>
  <c r="S17" i="5"/>
  <c r="Q17" i="5"/>
  <c r="O17" i="5"/>
  <c r="M17" i="5"/>
  <c r="A8" i="5"/>
  <c r="S15" i="5"/>
  <c r="R15" i="5" s="1"/>
  <c r="Q15" i="5"/>
  <c r="P15" i="5" s="1"/>
  <c r="O15" i="5"/>
  <c r="N15" i="5" s="1"/>
  <c r="M15" i="5"/>
  <c r="L15" i="5" s="1"/>
  <c r="S20" i="5"/>
  <c r="Q20" i="5"/>
  <c r="O20" i="5"/>
  <c r="M20" i="5"/>
  <c r="B36" i="8"/>
  <c r="K15" i="5" s="1"/>
  <c r="J15" i="5" s="1"/>
  <c r="C36" i="8"/>
  <c r="K17" i="5" s="1"/>
  <c r="E36" i="8"/>
  <c r="K23" i="5" s="1"/>
  <c r="J23" i="5" s="1"/>
  <c r="D36" i="8"/>
  <c r="K20" i="5" s="1"/>
  <c r="V15" i="5"/>
  <c r="V23" i="5"/>
  <c r="B52" i="8"/>
  <c r="C52" i="8"/>
  <c r="E52" i="8"/>
  <c r="D52" i="8"/>
  <c r="G32" i="8"/>
  <c r="K32" i="8" s="1"/>
  <c r="G29" i="8"/>
  <c r="K29" i="8" s="1"/>
  <c r="G30" i="8"/>
  <c r="K30" i="8" s="1"/>
  <c r="G31" i="8"/>
  <c r="K31" i="8" s="1"/>
  <c r="F32" i="8"/>
  <c r="J32" i="8" s="1"/>
  <c r="F30" i="8"/>
  <c r="J30" i="8" s="1"/>
  <c r="C45" i="8" s="1"/>
  <c r="F29" i="8"/>
  <c r="J29" i="8" s="1"/>
  <c r="F31" i="8"/>
  <c r="J31" i="8" s="1"/>
  <c r="D45" i="8" l="1"/>
  <c r="E26" i="2"/>
  <c r="B45" i="8"/>
  <c r="E38" i="2"/>
  <c r="K39" i="2" s="1"/>
  <c r="E45" i="8"/>
  <c r="S18" i="5"/>
  <c r="R18" i="5" s="1"/>
  <c r="R17" i="5"/>
  <c r="S21" i="5"/>
  <c r="R21" i="5" s="1"/>
  <c r="R20" i="5"/>
  <c r="E34" i="2"/>
  <c r="I15" i="5"/>
  <c r="I23" i="5"/>
  <c r="W18" i="5"/>
  <c r="V18" i="5" s="1"/>
  <c r="V17" i="5"/>
  <c r="Q21" i="5"/>
  <c r="P21" i="5" s="1"/>
  <c r="P20" i="5"/>
  <c r="Q18" i="5"/>
  <c r="P18" i="5" s="1"/>
  <c r="P17" i="5"/>
  <c r="O18" i="5"/>
  <c r="N18" i="5" s="1"/>
  <c r="N17" i="5"/>
  <c r="M18" i="5"/>
  <c r="L18" i="5" s="1"/>
  <c r="L17" i="5"/>
  <c r="K18" i="5"/>
  <c r="J18" i="5" s="1"/>
  <c r="J17" i="5"/>
  <c r="W21" i="5"/>
  <c r="V21" i="5" s="1"/>
  <c r="V20" i="5"/>
  <c r="O21" i="5"/>
  <c r="N21" i="5" s="1"/>
  <c r="N20" i="5"/>
  <c r="M21" i="5"/>
  <c r="L21" i="5" s="1"/>
  <c r="L20" i="5"/>
  <c r="K21" i="5"/>
  <c r="J21" i="5" s="1"/>
  <c r="Y20" i="5"/>
  <c r="J20" i="5"/>
  <c r="E30" i="2"/>
  <c r="G2" i="2"/>
  <c r="B3" i="4"/>
  <c r="I4" i="8"/>
  <c r="P7" i="6" s="1"/>
  <c r="I2" i="8"/>
  <c r="Y23" i="5"/>
  <c r="Y15" i="5"/>
  <c r="O13" i="2" l="1"/>
  <c r="O14" i="2"/>
  <c r="Q31" i="2"/>
  <c r="O11" i="2"/>
  <c r="O10" i="2"/>
  <c r="S27" i="2"/>
  <c r="O7" i="2"/>
  <c r="P38" i="6"/>
  <c r="P37" i="6"/>
  <c r="P33" i="6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J2" i="8"/>
  <c r="O27" i="2"/>
  <c r="L39" i="2"/>
  <c r="S39" i="2"/>
  <c r="Q39" i="2"/>
  <c r="R39" i="2"/>
  <c r="O39" i="2"/>
  <c r="M39" i="2"/>
  <c r="J39" i="2"/>
  <c r="M27" i="2"/>
  <c r="R27" i="2"/>
  <c r="J27" i="2"/>
  <c r="N39" i="2"/>
  <c r="P39" i="2"/>
  <c r="P35" i="2"/>
  <c r="P13" i="2"/>
  <c r="N27" i="2"/>
  <c r="P27" i="2"/>
  <c r="K27" i="2"/>
  <c r="Q27" i="2"/>
  <c r="L27" i="2"/>
  <c r="J5" i="8"/>
  <c r="J4" i="8"/>
  <c r="R26" i="5"/>
  <c r="N35" i="2"/>
  <c r="S35" i="2"/>
  <c r="O35" i="2"/>
  <c r="Q35" i="2"/>
  <c r="J35" i="2"/>
  <c r="K35" i="2"/>
  <c r="M35" i="2"/>
  <c r="L35" i="2"/>
  <c r="R35" i="2"/>
  <c r="N26" i="5"/>
  <c r="L26" i="5"/>
  <c r="B31" i="5" s="1"/>
  <c r="P26" i="5"/>
  <c r="I17" i="5"/>
  <c r="I18" i="5"/>
  <c r="V26" i="5"/>
  <c r="Y21" i="5"/>
  <c r="I21" i="5"/>
  <c r="J26" i="5"/>
  <c r="B30" i="5" s="1"/>
  <c r="I20" i="5"/>
  <c r="J31" i="2"/>
  <c r="M31" i="2"/>
  <c r="L31" i="2"/>
  <c r="R31" i="2"/>
  <c r="N31" i="2"/>
  <c r="K31" i="2"/>
  <c r="P31" i="2"/>
  <c r="S31" i="2"/>
  <c r="O31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18" i="5"/>
  <c r="Y17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27" i="2"/>
  <c r="T31" i="2"/>
  <c r="T35" i="2"/>
  <c r="I19" i="2"/>
  <c r="B13" i="4" l="1"/>
  <c r="C27" i="4"/>
  <c r="S11" i="2"/>
  <c r="S13" i="2"/>
  <c r="S8" i="2"/>
  <c r="L8" i="2"/>
  <c r="T8" i="2"/>
  <c r="R14" i="2"/>
  <c r="T13" i="2"/>
  <c r="G32" i="4"/>
  <c r="G42" i="4" s="1"/>
  <c r="B34" i="5"/>
  <c r="B36" i="5"/>
  <c r="B33" i="5"/>
  <c r="Q14" i="2"/>
  <c r="U14" i="2"/>
  <c r="V13" i="2"/>
  <c r="P14" i="2"/>
  <c r="B32" i="5"/>
  <c r="B35" i="5"/>
  <c r="S10" i="2"/>
  <c r="U8" i="2"/>
  <c r="U7" i="2"/>
  <c r="K11" i="2"/>
  <c r="B18" i="4"/>
  <c r="B27" i="4" l="1"/>
  <c r="B38" i="5"/>
  <c r="T7" i="2"/>
  <c r="S7" i="2"/>
  <c r="L7" i="2"/>
  <c r="Q8" i="2"/>
  <c r="Q7" i="2"/>
  <c r="P8" i="2"/>
  <c r="P7" i="2"/>
  <c r="O8" i="2"/>
  <c r="V7" i="2"/>
  <c r="V8" i="2"/>
  <c r="K8" i="2"/>
  <c r="M8" i="2" s="1"/>
  <c r="K7" i="2"/>
  <c r="V11" i="2"/>
  <c r="V10" i="2"/>
  <c r="U11" i="2"/>
  <c r="U10" i="2"/>
  <c r="R11" i="2"/>
  <c r="R10" i="2"/>
  <c r="Q11" i="2"/>
  <c r="Q10" i="2"/>
  <c r="R13" i="2"/>
  <c r="E42" i="4"/>
  <c r="AD26" i="5"/>
  <c r="M16" i="2"/>
  <c r="T14" i="2"/>
  <c r="N16" i="2"/>
  <c r="S14" i="2"/>
  <c r="Q13" i="2"/>
  <c r="U13" i="2"/>
  <c r="V14" i="2"/>
  <c r="L14" i="2"/>
  <c r="L13" i="2"/>
  <c r="P10" i="2"/>
  <c r="P11" i="2"/>
  <c r="L11" i="2"/>
  <c r="L10" i="2"/>
  <c r="K13" i="2"/>
  <c r="K14" i="2"/>
  <c r="K10" i="2"/>
  <c r="T11" i="2"/>
  <c r="T10" i="2"/>
  <c r="R8" i="2"/>
  <c r="R7" i="2"/>
  <c r="M7" i="2" l="1"/>
  <c r="N7" i="2"/>
  <c r="N8" i="2"/>
  <c r="H8" i="2" s="1"/>
  <c r="J8" i="2" s="1"/>
  <c r="V19" i="2"/>
  <c r="U19" i="2"/>
  <c r="Q19" i="2"/>
  <c r="M10" i="2"/>
  <c r="H16" i="2"/>
  <c r="J16" i="2" s="1"/>
  <c r="T19" i="2"/>
  <c r="N14" i="2"/>
  <c r="S19" i="2"/>
  <c r="P19" i="2"/>
  <c r="L19" i="2"/>
  <c r="M11" i="2"/>
  <c r="M14" i="2"/>
  <c r="K19" i="2"/>
  <c r="M13" i="2"/>
  <c r="R19" i="2"/>
  <c r="N13" i="2"/>
  <c r="O19" i="2"/>
  <c r="N10" i="2"/>
  <c r="N11" i="2"/>
  <c r="H14" i="2" l="1"/>
  <c r="J14" i="2" s="1"/>
  <c r="H13" i="2"/>
  <c r="H7" i="2"/>
  <c r="J7" i="2" s="1"/>
  <c r="H10" i="2"/>
  <c r="J10" i="2" s="1"/>
  <c r="H11" i="2"/>
  <c r="J11" i="2" s="1"/>
  <c r="N19" i="2"/>
  <c r="M19" i="2"/>
  <c r="N21" i="2" l="1"/>
  <c r="J13" i="2"/>
  <c r="J19" i="2" s="1"/>
  <c r="H19" i="2"/>
</calcChain>
</file>

<file path=xl/sharedStrings.xml><?xml version="1.0" encoding="utf-8"?>
<sst xmlns="http://schemas.openxmlformats.org/spreadsheetml/2006/main" count="433" uniqueCount="235">
  <si>
    <t>Producer Number</t>
  </si>
  <si>
    <t>Producer Name</t>
  </si>
  <si>
    <t>7168-C3</t>
  </si>
  <si>
    <t>7168-C10</t>
  </si>
  <si>
    <t>7168-E11</t>
  </si>
  <si>
    <t>7169-E6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</si>
  <si>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</si>
  <si>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</si>
  <si>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</si>
  <si>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</si>
  <si>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</si>
  <si>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</si>
  <si>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</si>
  <si>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</si>
  <si>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</si>
  <si>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</si>
  <si>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</si>
  <si>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</si>
  <si>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</si>
  <si>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</si>
  <si>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</si>
  <si>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</si>
  <si>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</si>
  <si>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</si>
  <si>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</si>
  <si>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</si>
  <si>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</si>
  <si>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</si>
  <si>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</si>
  <si>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</si>
  <si>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</si>
  <si>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</si>
  <si>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</si>
  <si>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</si>
  <si>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</si>
  <si>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</si>
  <si>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</si>
  <si>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</si>
  <si>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</si>
  <si>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</si>
  <si>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</si>
  <si>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</si>
  <si>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</si>
  <si>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</si>
  <si>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</si>
  <si>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</si>
  <si>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Regular</t>
  </si>
  <si>
    <t>White</t>
  </si>
  <si>
    <t>Brown</t>
  </si>
  <si>
    <t>Enriched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</si>
  <si>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</si>
  <si>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</si>
  <si>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</si>
  <si>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</si>
  <si>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</si>
  <si>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</si>
  <si>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</si>
  <si>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</si>
  <si>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</si>
  <si>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</si>
  <si>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</si>
  <si>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</si>
  <si>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</si>
  <si>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</si>
  <si>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</si>
  <si>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</si>
  <si>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</si>
  <si>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</si>
  <si>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</si>
  <si>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</si>
  <si>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</si>
  <si>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</si>
  <si>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</si>
  <si>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</si>
  <si>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</si>
  <si>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</si>
  <si>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</si>
  <si>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</si>
  <si>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</si>
  <si>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</si>
  <si>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</si>
  <si>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</si>
  <si>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</si>
  <si>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</si>
  <si>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</si>
  <si>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</si>
  <si>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</si>
  <si>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</si>
  <si>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</si>
  <si>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</si>
  <si>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</si>
  <si>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</si>
  <si>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</si>
  <si>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</si>
  <si>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</si>
  <si>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</si>
  <si>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</si>
  <si>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</si>
  <si>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</si>
  <si>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</si>
  <si>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</si>
  <si>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</si>
  <si>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</si>
  <si>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</si>
  <si>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</si>
  <si>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</si>
  <si>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</si>
  <si>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</si>
  <si>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</si>
  <si>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</si>
  <si>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</si>
  <si>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</si>
  <si>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</si>
  <si>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</si>
  <si>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</si>
  <si>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</si>
  <si>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</si>
  <si>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</si>
  <si>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</si>
  <si>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</si>
  <si>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</si>
  <si>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</si>
  <si>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</si>
  <si>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</si>
  <si>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</si>
  <si>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</si>
  <si>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</si>
  <si>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</si>
  <si>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</si>
  <si>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</si>
  <si>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</si>
  <si>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</si>
  <si>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</si>
  <si>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</si>
  <si>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</si>
  <si>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</si>
  <si>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</si>
  <si>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</si>
  <si>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</si>
  <si>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</si>
  <si>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</si>
  <si>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</si>
  <si>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</si>
  <si>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</si>
  <si>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</si>
  <si>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</si>
  <si>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</si>
  <si>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</si>
  <si>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</si>
  <si>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</si>
  <si>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</si>
  <si>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</si>
  <si>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</si>
  <si>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</si>
  <si>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</si>
  <si>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</si>
  <si>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</si>
  <si>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</si>
  <si>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</si>
  <si>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</si>
  <si>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</si>
  <si>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</si>
  <si>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</si>
  <si>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</si>
  <si>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</si>
  <si>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</si>
  <si>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</si>
  <si>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</si>
  <si>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7168-E7</t>
  </si>
  <si>
    <t>Barn 11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</si>
  <si>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</si>
  <si>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</si>
  <si>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</si>
  <si>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</si>
  <si>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</si>
  <si>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</si>
  <si>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</si>
  <si>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</si>
  <si>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</si>
  <si>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</si>
  <si>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</si>
  <si>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</si>
  <si>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</si>
  <si>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</si>
  <si>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</si>
  <si>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</si>
  <si>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</si>
  <si>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</si>
  <si>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</si>
  <si>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</si>
  <si>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</si>
  <si>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</si>
  <si>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</si>
  <si>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Week Ending</t>
  </si>
  <si>
    <t>Year</t>
  </si>
  <si>
    <t>Small</t>
  </si>
  <si>
    <t>Peewee</t>
  </si>
  <si>
    <t>Undergrade</t>
  </si>
  <si>
    <t>Total %</t>
  </si>
  <si>
    <t>Hatch Date</t>
  </si>
  <si>
    <t>Age</t>
  </si>
  <si>
    <t>NEW</t>
  </si>
  <si>
    <t>OLD</t>
  </si>
  <si>
    <t>Pallets</t>
  </si>
  <si>
    <t>Prepared by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</si>
  <si>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</si>
  <si>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</si>
  <si>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</si>
  <si>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</si>
  <si>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</si>
  <si>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</si>
  <si>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</si>
  <si>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</si>
  <si>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</si>
  <si>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</si>
  <si>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</si>
  <si>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Barn 10 White</t>
  </si>
  <si>
    <t>Barn 10 Brown</t>
  </si>
  <si>
    <t>Barn 10</t>
  </si>
  <si>
    <t>Theodore &amp; Aaron Eyking Barn 6</t>
  </si>
  <si>
    <t>Chris &amp; Nico Eyking Barn 7</t>
  </si>
  <si>
    <t>Theodore &amp; Aaron Eyking Barn 10</t>
  </si>
  <si>
    <t>Barn 10 total dozen production for the week</t>
  </si>
  <si>
    <t>Chris &amp; Nico Eyking Barn 11</t>
  </si>
  <si>
    <t>Theodore &amp; Aaron Eyking Barn 10 - White</t>
  </si>
  <si>
    <t>Theodore &amp; Aaron Eyking Barn 10 - Brown</t>
  </si>
  <si>
    <t>Theodore &amp; Aaron Eyking Barn 6 - White</t>
  </si>
  <si>
    <t>Chris &amp; Nico Eyking Barn 7 - White</t>
  </si>
  <si>
    <t>Chris &amp; Nico Eyking Barn 7 - Brown</t>
  </si>
  <si>
    <t>Chris &amp; Nico Eyking Barn 11 - White</t>
  </si>
  <si>
    <t>7169-E10</t>
  </si>
  <si>
    <t>Chris &amp; Nico Eyking Barn 7 - Enriched</t>
  </si>
  <si>
    <t xml:space="preserve">Chris &amp; Nico Eyking Barn 11 - Enriched  </t>
  </si>
  <si>
    <t xml:space="preserve">Theodore &amp; Aaron Eyking Barn 10 - Enriched  </t>
  </si>
  <si>
    <t xml:space="preserve">Theodore &amp; Aaron Eyking Barn 6 - Enriched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</si>
</sst>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tabSelected="1" zoomScale="70" zoomScaleNormal="70" workbookViewId="0">
      <selection activeCell="I48" sqref="I48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15</v>
      </c>
      <c r="B1" s="6"/>
      <c r="C1" s="7"/>
      <c r="D1" s="7"/>
      <c r="E1" s="7"/>
      <c r="F1" s="8" t="s">
        <v>16</v>
      </c>
      <c r="G1" s="171">
        <f>Inputs!C2</f>
        <v>32</v>
      </c>
      <c r="H1" s="7"/>
      <c r="I1" s="7"/>
      <c r="J1" s="7"/>
      <c r="L1" s="9"/>
      <c r="M1" s="6"/>
      <c r="N1" s="6"/>
    </row>
    <row r="2" spans="1:22" ht="14.25" x14ac:dyDescent="0.2">
      <c r="A2" s="6" t="s">
        <v>17</v>
      </c>
      <c r="B2" s="6"/>
      <c r="C2" s="7"/>
      <c r="D2" s="7"/>
      <c r="E2" s="7"/>
      <c r="F2" s="8" t="s">
        <v>18</v>
      </c>
      <c r="G2" s="238">
        <f>Inputs!C3</f>
        <v>45879.25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19</v>
      </c>
      <c r="P3" s="11"/>
    </row>
    <row r="4" spans="1:22" x14ac:dyDescent="0.2">
      <c r="C4" s="13" t="s">
        <v>20</v>
      </c>
      <c r="D4" s="13" t="s">
        <v>21</v>
      </c>
      <c r="E4" s="13" t="s">
        <v>22</v>
      </c>
      <c r="F4" s="13" t="s">
        <v>23</v>
      </c>
      <c r="G4" s="13"/>
      <c r="H4" s="13" t="s">
        <v>24</v>
      </c>
      <c r="I4" s="14" t="s">
        <v>25</v>
      </c>
      <c r="J4" s="13" t="s">
        <v>24</v>
      </c>
      <c r="K4" s="13"/>
      <c r="L4" s="13"/>
      <c r="M4" s="15" t="s">
        <v>24</v>
      </c>
      <c r="N4" s="12" t="s">
        <v>26</v>
      </c>
    </row>
    <row r="5" spans="1:22" x14ac:dyDescent="0.2">
      <c r="A5" s="16" t="s">
        <v>27</v>
      </c>
      <c r="C5" s="17" t="s">
        <v>28</v>
      </c>
      <c r="D5" s="18" t="s">
        <v>29</v>
      </c>
      <c r="E5" s="18" t="s">
        <v>29</v>
      </c>
      <c r="F5" s="18" t="s">
        <v>30</v>
      </c>
      <c r="G5" s="18" t="s">
        <v>31</v>
      </c>
      <c r="H5" s="19" t="s">
        <v>32</v>
      </c>
      <c r="I5" s="20" t="s">
        <v>33</v>
      </c>
      <c r="J5" s="18" t="s">
        <v>34</v>
      </c>
      <c r="K5" s="18" t="s">
        <v>35</v>
      </c>
      <c r="L5" s="18" t="s">
        <v>36</v>
      </c>
      <c r="M5" s="21" t="s">
        <v>37</v>
      </c>
      <c r="N5" s="22" t="s">
        <v>38</v>
      </c>
      <c r="O5" s="18" t="s">
        <v>39</v>
      </c>
      <c r="P5" s="18" t="s">
        <v>40</v>
      </c>
      <c r="Q5" s="18" t="s">
        <v>9</v>
      </c>
      <c r="R5" s="18" t="s">
        <v>41</v>
      </c>
      <c r="S5" s="18" t="s">
        <v>11</v>
      </c>
      <c r="T5" s="18" t="s">
        <v>42</v>
      </c>
      <c r="U5" s="18" t="s">
        <v>43</v>
      </c>
      <c r="V5" s="18" t="s">
        <v>44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219</v>
      </c>
      <c r="B7" s="3"/>
      <c r="C7" s="34">
        <v>7169</v>
      </c>
      <c r="D7" s="25" t="s">
        <v>45</v>
      </c>
      <c r="E7" s="25" t="s">
        <v>49</v>
      </c>
      <c r="F7" s="25" t="s">
        <v>46</v>
      </c>
      <c r="G7" s="25" t="s">
        <v>47</v>
      </c>
      <c r="H7" s="26">
        <f>IFERROR(M7+N7,"")</f>
        <v>22455.000000000004</v>
      </c>
      <c r="I7" s="27">
        <v>0</v>
      </c>
      <c r="J7" s="26">
        <f>IFERROR(H7-I7,"")</f>
        <v>22455.000000000004</v>
      </c>
      <c r="K7" s="26">
        <f>IFERROR(($E$26/($H$27+$H$28)*$H$27)*R28,"")</f>
        <v>179.64000000000001</v>
      </c>
      <c r="L7" s="26">
        <f>IFERROR(($E$26/($H$27+$H$28)*$H$27)*S28,"")</f>
        <v>22.455000000000002</v>
      </c>
      <c r="M7" s="28">
        <f>IFERROR(K7+L7,"")</f>
        <v>202.09500000000003</v>
      </c>
      <c r="N7" s="29">
        <f>IFERROR(O7+P7+Q7+R7+S7+T7+U7+V7,"")</f>
        <v>22252.905000000002</v>
      </c>
      <c r="O7" s="26">
        <f t="shared" ref="O7:V7" si="0">IFERROR(($E$26/($H$27+$H$28)*$H$27)*J28,"")</f>
        <v>1773.9449999999999</v>
      </c>
      <c r="P7" s="26">
        <f t="shared" si="0"/>
        <v>7140.6900000000005</v>
      </c>
      <c r="Q7" s="26">
        <f t="shared" si="0"/>
        <v>12103.245000000001</v>
      </c>
      <c r="R7" s="26">
        <f t="shared" si="0"/>
        <v>1122.75</v>
      </c>
      <c r="S7" s="26">
        <f t="shared" si="0"/>
        <v>22.455000000000002</v>
      </c>
      <c r="T7" s="26">
        <f t="shared" si="0"/>
        <v>0</v>
      </c>
      <c r="U7" s="26">
        <f t="shared" si="0"/>
        <v>89.820000000000007</v>
      </c>
      <c r="V7" s="26">
        <f t="shared" si="0"/>
        <v>0</v>
      </c>
    </row>
    <row r="8" spans="1:22" x14ac:dyDescent="0.2">
      <c r="A8" s="3" t="s">
        <v>219</v>
      </c>
      <c r="B8" s="3"/>
      <c r="C8" s="34">
        <v>7169</v>
      </c>
      <c r="D8" s="25" t="s">
        <v>45</v>
      </c>
      <c r="E8" s="25" t="s">
        <v>49</v>
      </c>
      <c r="F8" s="25" t="s">
        <v>46</v>
      </c>
      <c r="G8" s="25" t="s">
        <v>48</v>
      </c>
      <c r="H8" s="26">
        <f>IFERROR(M8+N8,"")</f>
        <v>0</v>
      </c>
      <c r="I8" s="27">
        <v>0</v>
      </c>
      <c r="J8" s="26">
        <f>IFERROR(H8-I8,"")</f>
        <v>0</v>
      </c>
      <c r="K8" s="26">
        <f>IFERROR(($E$26/($H$27+$H$28)*$H$28)*R28,"")</f>
        <v>0</v>
      </c>
      <c r="L8" s="26">
        <f>IFERROR(($E$26/($H$27+$H$28)*$H$28)*S28,"")</f>
        <v>0</v>
      </c>
      <c r="M8" s="28">
        <f>IFERROR(K8+L8,"")</f>
        <v>0</v>
      </c>
      <c r="N8" s="29">
        <f>IFERROR(O8+P8+Q8+R8+S8+T8+U8+V8,"")</f>
        <v>0</v>
      </c>
      <c r="O8" s="26">
        <f t="shared" ref="O8:V8" si="1">IFERROR(($E$26/($H$27+$H$28)*$H$28)*J28,"")</f>
        <v>0</v>
      </c>
      <c r="P8" s="26">
        <f t="shared" si="1"/>
        <v>0</v>
      </c>
      <c r="Q8" s="26">
        <f t="shared" si="1"/>
        <v>0</v>
      </c>
      <c r="R8" s="26">
        <f t="shared" si="1"/>
        <v>0</v>
      </c>
      <c r="S8" s="26">
        <f t="shared" si="1"/>
        <v>0</v>
      </c>
      <c r="T8" s="26">
        <f t="shared" si="1"/>
        <v>0</v>
      </c>
      <c r="U8" s="26">
        <f t="shared" si="1"/>
        <v>0</v>
      </c>
      <c r="V8" s="26">
        <f t="shared" si="1"/>
        <v>0</v>
      </c>
    </row>
    <row r="10" spans="1:22" x14ac:dyDescent="0.2">
      <c r="A10" s="3" t="s">
        <v>220</v>
      </c>
      <c r="C10" s="24">
        <v>7168</v>
      </c>
      <c r="D10" s="25" t="s">
        <v>45</v>
      </c>
      <c r="E10" s="25" t="s">
        <v>49</v>
      </c>
      <c r="F10" s="25" t="s">
        <v>46</v>
      </c>
      <c r="G10" s="25" t="s">
        <v>47</v>
      </c>
      <c r="H10" s="26">
        <f>IFERROR(M10+N10,"")</f>
        <v>20625.973053113456</v>
      </c>
      <c r="I10" s="27">
        <v>0</v>
      </c>
      <c r="J10" s="26">
        <f>IFERROR(H10-I10,"")</f>
        <v>20625.973053113456</v>
      </c>
      <c r="K10" s="26">
        <f>IFERROR(($E$30/($H$31+$H$32)*$H$31)*R32,"")</f>
        <v>82.503892212453835</v>
      </c>
      <c r="L10" s="26">
        <f>IFERROR(($E$30/($H$31+$H$32)*$H$31)*S32,"")</f>
        <v>41.251946106226917</v>
      </c>
      <c r="M10" s="28">
        <f>IFERROR(K10+L10,"")</f>
        <v>123.75583831868076</v>
      </c>
      <c r="N10" s="29">
        <f>IFERROR(O10+P10+Q10+R10+S10+T10+U10+V10,"")</f>
        <v>20502.217214794775</v>
      </c>
      <c r="O10" s="26">
        <f t="shared" ref="O10:V10" si="2">IFERROR(($E$30/($H$31+$H$32)*$H$31)*J32,"")</f>
        <v>371.26751495604225</v>
      </c>
      <c r="P10" s="26">
        <f t="shared" si="2"/>
        <v>4104.5686375695786</v>
      </c>
      <c r="Q10" s="26">
        <f t="shared" si="2"/>
        <v>14128.791541382721</v>
      </c>
      <c r="R10" s="26">
        <f t="shared" si="2"/>
        <v>1835.7116017270978</v>
      </c>
      <c r="S10" s="26">
        <f t="shared" si="2"/>
        <v>20.625973053113459</v>
      </c>
      <c r="T10" s="26">
        <f t="shared" si="2"/>
        <v>0</v>
      </c>
      <c r="U10" s="26">
        <f t="shared" si="2"/>
        <v>41.251946106226917</v>
      </c>
      <c r="V10" s="26">
        <f t="shared" si="2"/>
        <v>0</v>
      </c>
    </row>
    <row r="11" spans="1:22" x14ac:dyDescent="0.2">
      <c r="A11" s="3" t="s">
        <v>220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48</v>
      </c>
      <c r="H11" s="26">
        <f>IFERROR(M11+N11,"")</f>
        <v>2294.0269468865422</v>
      </c>
      <c r="I11" s="27">
        <v>0</v>
      </c>
      <c r="J11" s="26">
        <f>IFERROR(H11-I11,"")</f>
        <v>2294.0269468865422</v>
      </c>
      <c r="K11" s="26">
        <f>IFERROR(($E$30/($H$31+$H$32)*$H$32)*R32,"")</f>
        <v>9.1761077875461687</v>
      </c>
      <c r="L11" s="26">
        <f>IFERROR(($E$30/($H$31+$H$32)*$H$32)*S32,"")</f>
        <v>4.5880538937730844</v>
      </c>
      <c r="M11" s="28">
        <f>IFERROR(K11+L11,"")</f>
        <v>13.764161681319253</v>
      </c>
      <c r="N11" s="29">
        <f>IFERROR(O11+P11+Q11+R11+S11+T11+U11+V11,"")</f>
        <v>2280.2627852052228</v>
      </c>
      <c r="O11" s="26">
        <f t="shared" ref="O11:V11" si="3">IFERROR(($E$30/($H$31+$H$32)*$H$32)*J32,"")</f>
        <v>41.292485043957754</v>
      </c>
      <c r="P11" s="26">
        <f t="shared" si="3"/>
        <v>456.51136243042191</v>
      </c>
      <c r="Q11" s="26">
        <f t="shared" si="3"/>
        <v>1571.4084586172814</v>
      </c>
      <c r="R11" s="26">
        <f t="shared" si="3"/>
        <v>204.16839827290224</v>
      </c>
      <c r="S11" s="26">
        <f t="shared" si="3"/>
        <v>2.2940269468865422</v>
      </c>
      <c r="T11" s="26">
        <f t="shared" si="3"/>
        <v>0</v>
      </c>
      <c r="U11" s="26">
        <f t="shared" si="3"/>
        <v>4.5880538937730844</v>
      </c>
      <c r="V11" s="26">
        <f t="shared" si="3"/>
        <v>0</v>
      </c>
    </row>
    <row r="13" spans="1:22" x14ac:dyDescent="0.2">
      <c r="A13" s="3" t="s">
        <v>221</v>
      </c>
      <c r="C13" s="24">
        <v>7169</v>
      </c>
      <c r="D13" s="25" t="s">
        <v>45</v>
      </c>
      <c r="E13" s="25" t="s">
        <v>49</v>
      </c>
      <c r="F13" s="25" t="s">
        <v>46</v>
      </c>
      <c r="G13" s="25" t="s">
        <v>47</v>
      </c>
      <c r="H13" s="26">
        <f>IFERROR(M13+N13,"")</f>
        <v>17819.80748663102</v>
      </c>
      <c r="I13" s="27">
        <v>0</v>
      </c>
      <c r="J13" s="26">
        <f>IFERROR(H13-I13,"")</f>
        <v>17819.80748663102</v>
      </c>
      <c r="K13" s="26">
        <f>IFERROR(($E$34/($H$35+$H$36)*$H$35)*R36,"")</f>
        <v>71.279229946524069</v>
      </c>
      <c r="L13" s="26">
        <f>IFERROR(($E$34/($H$35+$H$36)*$H$35)*S36,"")</f>
        <v>17.819807486631017</v>
      </c>
      <c r="M13" s="28">
        <f>IFERROR(K13+L13,"")</f>
        <v>89.09903743315509</v>
      </c>
      <c r="N13" s="29">
        <f>IFERROR(O13+P13+Q13+R13+S13+T13+U13+V13,"")</f>
        <v>17730.708449197864</v>
      </c>
      <c r="O13" s="26">
        <f t="shared" ref="O13:V13" si="4">IFERROR(($E$34/($H$35+$H$36)*$H$35)*J36,"")</f>
        <v>445.49518716577541</v>
      </c>
      <c r="P13" s="26">
        <f t="shared" si="4"/>
        <v>3813.4388021390373</v>
      </c>
      <c r="Q13" s="26">
        <f t="shared" si="4"/>
        <v>12242.20774331551</v>
      </c>
      <c r="R13" s="26">
        <f t="shared" si="4"/>
        <v>1140.4676791443851</v>
      </c>
      <c r="S13" s="26">
        <f t="shared" si="4"/>
        <v>0</v>
      </c>
      <c r="T13" s="26">
        <f t="shared" si="4"/>
        <v>0</v>
      </c>
      <c r="U13" s="26">
        <f t="shared" si="4"/>
        <v>89.09903743315509</v>
      </c>
      <c r="V13" s="26">
        <f t="shared" si="4"/>
        <v>0</v>
      </c>
    </row>
    <row r="14" spans="1:22" x14ac:dyDescent="0.2">
      <c r="A14" s="3" t="s">
        <v>221</v>
      </c>
      <c r="C14" s="24">
        <v>7169</v>
      </c>
      <c r="D14" s="25" t="s">
        <v>45</v>
      </c>
      <c r="E14" s="25" t="s">
        <v>49</v>
      </c>
      <c r="F14" s="25" t="s">
        <v>46</v>
      </c>
      <c r="G14" s="25" t="s">
        <v>48</v>
      </c>
      <c r="H14" s="26">
        <f>IFERROR(M14+N14,"")</f>
        <v>1200.1925133689838</v>
      </c>
      <c r="I14" s="27">
        <v>0</v>
      </c>
      <c r="J14" s="26">
        <f>IFERROR(H14-I14,"")</f>
        <v>1200.1925133689838</v>
      </c>
      <c r="K14" s="26">
        <f>IFERROR(($E$34/($H$35+$H$36)*$H$36)*R36,"")</f>
        <v>4.8007700534759357</v>
      </c>
      <c r="L14" s="26">
        <f>IFERROR(($E$34/($H$35+$H$36)*$H$36)*S36,"")</f>
        <v>1.2001925133689839</v>
      </c>
      <c r="M14" s="28">
        <f>IFERROR(K14+L14,"")</f>
        <v>6.0009625668449198</v>
      </c>
      <c r="N14" s="29">
        <f>IFERROR(O14+P14+Q14+R14+S14+T14+U14+V14,"")</f>
        <v>1194.1915508021389</v>
      </c>
      <c r="O14" s="26">
        <f t="shared" ref="O14:V14" si="5">IFERROR(($E$34/($H$35+$H$36)*$H$36)*J36,"")</f>
        <v>30.004812834224595</v>
      </c>
      <c r="P14" s="26">
        <f t="shared" si="5"/>
        <v>256.84119786096255</v>
      </c>
      <c r="Q14" s="26">
        <f t="shared" si="5"/>
        <v>824.53225668449193</v>
      </c>
      <c r="R14" s="26">
        <f t="shared" si="5"/>
        <v>76.812320855614971</v>
      </c>
      <c r="S14" s="26">
        <f t="shared" si="5"/>
        <v>0</v>
      </c>
      <c r="T14" s="26">
        <f t="shared" si="5"/>
        <v>0</v>
      </c>
      <c r="U14" s="26">
        <f t="shared" si="5"/>
        <v>6.0009625668449189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223</v>
      </c>
      <c r="C16" s="24">
        <v>7168</v>
      </c>
      <c r="D16" s="25" t="s">
        <v>45</v>
      </c>
      <c r="E16" s="25" t="s">
        <v>49</v>
      </c>
      <c r="F16" s="25" t="s">
        <v>46</v>
      </c>
      <c r="G16" s="25" t="s">
        <v>47</v>
      </c>
      <c r="H16" s="26">
        <f>IFERROR(M16+N16,"")</f>
        <v>11025.000000000002</v>
      </c>
      <c r="I16" s="27">
        <v>0</v>
      </c>
      <c r="J16" s="26">
        <f>IFERROR(H16-I16,"")</f>
        <v>11025.000000000002</v>
      </c>
      <c r="K16" s="26">
        <f>IFERROR(($E$38/($H$39)*$H$39)*R40,"")</f>
        <v>66.150000000000006</v>
      </c>
      <c r="L16" s="26">
        <f>IFERROR(($E$38/($H$39)*$H$39)*S40,"")</f>
        <v>22.05</v>
      </c>
      <c r="M16" s="28">
        <f>IFERROR(K16+L16,"")</f>
        <v>88.2</v>
      </c>
      <c r="N16" s="29">
        <f>IFERROR(O16+P16+Q16+R16+S16+T16+U16+V16,"")</f>
        <v>10936.800000000001</v>
      </c>
      <c r="O16" s="26">
        <f t="shared" ref="O16:V16" si="6">IFERROR(($E$38/($H$39)*$H$39)*J40,"")</f>
        <v>529.20000000000005</v>
      </c>
      <c r="P16" s="26">
        <f t="shared" si="6"/>
        <v>2954.7000000000003</v>
      </c>
      <c r="Q16" s="26">
        <f t="shared" si="6"/>
        <v>6548.8499999999995</v>
      </c>
      <c r="R16" s="26">
        <f t="shared" si="6"/>
        <v>859.95</v>
      </c>
      <c r="S16" s="26">
        <f t="shared" si="6"/>
        <v>11.025</v>
      </c>
      <c r="T16" s="26">
        <f t="shared" si="6"/>
        <v>0</v>
      </c>
      <c r="U16" s="26">
        <f t="shared" si="6"/>
        <v>33.075000000000003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50</v>
      </c>
      <c r="B19" s="36"/>
      <c r="C19" s="36"/>
      <c r="D19" s="36"/>
      <c r="E19" s="36"/>
      <c r="F19" s="36"/>
      <c r="G19" s="36"/>
      <c r="H19" s="37">
        <f t="shared" ref="H19:V19" si="7">SUM(H7:H18)</f>
        <v>75420</v>
      </c>
      <c r="I19" s="37">
        <f t="shared" si="7"/>
        <v>0</v>
      </c>
      <c r="J19" s="37">
        <f t="shared" si="7"/>
        <v>75420</v>
      </c>
      <c r="K19" s="37">
        <f t="shared" si="7"/>
        <v>413.55000000000007</v>
      </c>
      <c r="L19" s="37">
        <f t="shared" si="7"/>
        <v>109.36500000000001</v>
      </c>
      <c r="M19" s="37">
        <f t="shared" si="7"/>
        <v>522.91500000000008</v>
      </c>
      <c r="N19" s="37">
        <f t="shared" si="7"/>
        <v>74897.085000000006</v>
      </c>
      <c r="O19" s="37">
        <f t="shared" si="7"/>
        <v>3191.2049999999999</v>
      </c>
      <c r="P19" s="37">
        <f t="shared" si="7"/>
        <v>18726.75</v>
      </c>
      <c r="Q19" s="37">
        <f t="shared" si="7"/>
        <v>47419.035000000003</v>
      </c>
      <c r="R19" s="37">
        <f t="shared" si="7"/>
        <v>5239.8600000000006</v>
      </c>
      <c r="S19" s="37">
        <f t="shared" si="7"/>
        <v>56.4</v>
      </c>
      <c r="T19" s="37">
        <f t="shared" si="7"/>
        <v>0</v>
      </c>
      <c r="U19" s="37">
        <f t="shared" si="7"/>
        <v>263.83500000000004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75420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51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52</v>
      </c>
      <c r="I24" s="49"/>
      <c r="J24" s="18" t="s">
        <v>39</v>
      </c>
      <c r="K24" s="18" t="s">
        <v>40</v>
      </c>
      <c r="L24" s="18" t="s">
        <v>9</v>
      </c>
      <c r="M24" s="18" t="s">
        <v>41</v>
      </c>
      <c r="N24" s="18" t="s">
        <v>11</v>
      </c>
      <c r="O24" s="18" t="s">
        <v>42</v>
      </c>
      <c r="P24" s="18" t="s">
        <v>43</v>
      </c>
      <c r="Q24" s="18" t="s">
        <v>44</v>
      </c>
      <c r="R24" s="18" t="s">
        <v>35</v>
      </c>
      <c r="S24" s="18" t="s">
        <v>36</v>
      </c>
      <c r="T24" s="48" t="s">
        <v>53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55</v>
      </c>
      <c r="B26" s="51"/>
      <c r="C26" s="51"/>
      <c r="D26" s="51"/>
      <c r="E26" s="208">
        <f>Inputs!J29</f>
        <v>22455</v>
      </c>
      <c r="F26" s="57"/>
      <c r="G26" s="57"/>
      <c r="H26" s="58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4"/>
    </row>
    <row r="27" spans="1:22" s="54" customFormat="1" ht="18" customHeight="1" x14ac:dyDescent="0.2">
      <c r="A27" s="3" t="s">
        <v>219</v>
      </c>
      <c r="B27" s="3"/>
      <c r="C27" s="34">
        <v>7169</v>
      </c>
      <c r="D27" s="25" t="s">
        <v>45</v>
      </c>
      <c r="E27" s="25" t="s">
        <v>49</v>
      </c>
      <c r="F27" s="25" t="s">
        <v>46</v>
      </c>
      <c r="G27" s="25" t="s">
        <v>47</v>
      </c>
      <c r="H27" s="55">
        <f>'Bird Inventory'!H3</f>
        <v>38557</v>
      </c>
      <c r="I27" s="26"/>
      <c r="J27" s="198">
        <f t="shared" ref="J27:S27" si="8">$E26*J28</f>
        <v>1773.9449999999999</v>
      </c>
      <c r="K27" s="198">
        <f t="shared" si="8"/>
        <v>7140.6900000000005</v>
      </c>
      <c r="L27" s="198">
        <f t="shared" si="8"/>
        <v>12103.245000000001</v>
      </c>
      <c r="M27" s="198">
        <f t="shared" si="8"/>
        <v>1122.75</v>
      </c>
      <c r="N27" s="198">
        <f t="shared" si="8"/>
        <v>22.455000000000002</v>
      </c>
      <c r="O27" s="198">
        <f t="shared" si="8"/>
        <v>0</v>
      </c>
      <c r="P27" s="198">
        <f t="shared" si="8"/>
        <v>89.820000000000007</v>
      </c>
      <c r="Q27" s="198">
        <f t="shared" si="8"/>
        <v>0</v>
      </c>
      <c r="R27" s="198">
        <f t="shared" si="8"/>
        <v>179.64000000000001</v>
      </c>
      <c r="S27" s="198">
        <f t="shared" si="8"/>
        <v>22.455000000000002</v>
      </c>
      <c r="T27" s="199">
        <f>SUM(J27:S27)</f>
        <v>22455.000000000004</v>
      </c>
    </row>
    <row r="28" spans="1:22" x14ac:dyDescent="0.2">
      <c r="A28" s="3"/>
      <c r="B28" s="3"/>
      <c r="C28" s="34"/>
      <c r="D28" s="25"/>
      <c r="E28" s="25"/>
      <c r="F28" s="25"/>
      <c r="G28" s="25"/>
      <c r="H28" s="30"/>
      <c r="I28" s="26"/>
      <c r="J28" s="197">
        <f>Inputs!B37</f>
        <v>7.9000000000000001E-2</v>
      </c>
      <c r="K28" s="197">
        <f>Inputs!B38</f>
        <v>0.318</v>
      </c>
      <c r="L28" s="197">
        <f>Inputs!B39</f>
        <v>0.53900000000000003</v>
      </c>
      <c r="M28" s="197">
        <f>Inputs!B40</f>
        <v>0.05</v>
      </c>
      <c r="N28" s="197">
        <f>Inputs!B41</f>
        <v>1E-3</v>
      </c>
      <c r="O28" s="197">
        <v>0</v>
      </c>
      <c r="P28" s="197">
        <f>Inputs!B49</f>
        <v>4.0000000000000001E-3</v>
      </c>
      <c r="Q28" s="197">
        <f>Inputs!B42</f>
        <v>0</v>
      </c>
      <c r="R28" s="197">
        <f>Inputs!B48+Inputs!B50</f>
        <v>8.0000000000000002E-3</v>
      </c>
      <c r="S28" s="197">
        <f>Inputs!B47</f>
        <v>1E-3</v>
      </c>
      <c r="T28" s="200">
        <f>SUM(J28:S28)</f>
        <v>1</v>
      </c>
    </row>
    <row r="30" spans="1:22" ht="15.75" x14ac:dyDescent="0.25">
      <c r="A30" s="50" t="s">
        <v>192</v>
      </c>
      <c r="B30" s="51"/>
      <c r="C30" s="51"/>
      <c r="D30" s="51"/>
      <c r="E30" s="208">
        <f>Inputs!J30+Inputs!K30</f>
        <v>22920</v>
      </c>
      <c r="F30" s="57"/>
      <c r="G30" s="57"/>
      <c r="H30" s="58"/>
      <c r="I30" s="30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6"/>
    </row>
    <row r="31" spans="1:22" s="54" customFormat="1" ht="18" customHeight="1" x14ac:dyDescent="0.2">
      <c r="A31" s="3" t="s">
        <v>220</v>
      </c>
      <c r="B31" s="5"/>
      <c r="C31" s="24">
        <v>7168</v>
      </c>
      <c r="D31" s="25" t="s">
        <v>45</v>
      </c>
      <c r="E31" s="25" t="s">
        <v>49</v>
      </c>
      <c r="F31" s="25" t="s">
        <v>46</v>
      </c>
      <c r="G31" s="25" t="s">
        <v>47</v>
      </c>
      <c r="H31" s="55">
        <f>'Bird Inventory'!H5</f>
        <v>34598</v>
      </c>
      <c r="I31" s="30"/>
      <c r="J31" s="198">
        <f t="shared" ref="J31:S31" si="9">$E30*J32</f>
        <v>412.55999999999995</v>
      </c>
      <c r="K31" s="198">
        <f t="shared" si="9"/>
        <v>4561.08</v>
      </c>
      <c r="L31" s="198">
        <f t="shared" si="9"/>
        <v>15700.2</v>
      </c>
      <c r="M31" s="198">
        <f t="shared" si="9"/>
        <v>2039.8799999999999</v>
      </c>
      <c r="N31" s="198">
        <f t="shared" si="9"/>
        <v>22.92</v>
      </c>
      <c r="O31" s="198">
        <f t="shared" si="9"/>
        <v>0</v>
      </c>
      <c r="P31" s="198">
        <f t="shared" si="9"/>
        <v>45.84</v>
      </c>
      <c r="Q31" s="198">
        <f t="shared" si="9"/>
        <v>0</v>
      </c>
      <c r="R31" s="198">
        <f t="shared" si="9"/>
        <v>91.68</v>
      </c>
      <c r="S31" s="198">
        <f t="shared" si="9"/>
        <v>45.84</v>
      </c>
      <c r="T31" s="199">
        <f>SUM(J31:S31)</f>
        <v>22920</v>
      </c>
    </row>
    <row r="32" spans="1:22" x14ac:dyDescent="0.2">
      <c r="A32" s="3" t="s">
        <v>220</v>
      </c>
      <c r="C32" s="24">
        <v>7168</v>
      </c>
      <c r="D32" s="25" t="s">
        <v>45</v>
      </c>
      <c r="E32" s="25" t="s">
        <v>49</v>
      </c>
      <c r="F32" s="25" t="s">
        <v>46</v>
      </c>
      <c r="G32" s="25" t="s">
        <v>48</v>
      </c>
      <c r="H32" s="55">
        <f>'Bird Inventory'!H6</f>
        <v>3848</v>
      </c>
      <c r="I32" s="30"/>
      <c r="J32" s="197">
        <f>Inputs!C37</f>
        <v>1.7999999999999999E-2</v>
      </c>
      <c r="K32" s="197">
        <f>Inputs!C38</f>
        <v>0.19900000000000001</v>
      </c>
      <c r="L32" s="197">
        <f>Inputs!C39</f>
        <v>0.68500000000000005</v>
      </c>
      <c r="M32" s="197">
        <f>Inputs!C40</f>
        <v>8.8999999999999996E-2</v>
      </c>
      <c r="N32" s="197">
        <f>Inputs!C41</f>
        <v>1E-3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2E-3</v>
      </c>
      <c r="T32" s="200">
        <f>SUM(J32:S32)</f>
        <v>1</v>
      </c>
    </row>
    <row r="33" spans="1:20" x14ac:dyDescent="0.2">
      <c r="A33" s="3"/>
      <c r="C33" s="24"/>
      <c r="D33" s="25"/>
      <c r="E33" s="25"/>
      <c r="F33" s="25"/>
      <c r="G33" s="25"/>
      <c r="H33" s="30"/>
      <c r="I33" s="30"/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20" s="54" customFormat="1" ht="18" customHeight="1" x14ac:dyDescent="0.25">
      <c r="A34" s="50" t="s">
        <v>222</v>
      </c>
      <c r="B34" s="51"/>
      <c r="C34" s="51"/>
      <c r="D34" s="51"/>
      <c r="E34" s="208">
        <f>Inputs!J31+Inputs!K31</f>
        <v>19020</v>
      </c>
      <c r="F34" s="51"/>
      <c r="G34" s="51"/>
      <c r="H34" s="51"/>
      <c r="I34" s="52"/>
      <c r="J34" s="51"/>
      <c r="K34" s="51"/>
      <c r="L34" s="51"/>
      <c r="M34" s="51"/>
      <c r="N34" s="51"/>
      <c r="O34" s="51"/>
      <c r="P34" s="51"/>
      <c r="Q34" s="51"/>
      <c r="R34" s="51"/>
      <c r="S34" s="53"/>
    </row>
    <row r="35" spans="1:20" x14ac:dyDescent="0.2">
      <c r="A35" s="3" t="s">
        <v>221</v>
      </c>
      <c r="C35" s="24">
        <v>7169</v>
      </c>
      <c r="D35" s="25" t="s">
        <v>45</v>
      </c>
      <c r="E35" s="25" t="s">
        <v>49</v>
      </c>
      <c r="F35" s="25" t="s">
        <v>46</v>
      </c>
      <c r="G35" s="25" t="s">
        <v>47</v>
      </c>
      <c r="H35" s="55">
        <f>'Bird Inventory'!H8</f>
        <v>29784</v>
      </c>
      <c r="I35" s="30"/>
      <c r="J35" s="198">
        <f t="shared" ref="J35:S35" si="10">$E$34*J36</f>
        <v>475.5</v>
      </c>
      <c r="K35" s="198">
        <f t="shared" si="10"/>
        <v>4070.2799999999997</v>
      </c>
      <c r="L35" s="198">
        <f t="shared" si="10"/>
        <v>13066.740000000002</v>
      </c>
      <c r="M35" s="198">
        <f t="shared" si="10"/>
        <v>1217.28</v>
      </c>
      <c r="N35" s="198">
        <f t="shared" si="10"/>
        <v>0</v>
      </c>
      <c r="O35" s="198">
        <f t="shared" si="10"/>
        <v>0</v>
      </c>
      <c r="P35" s="198">
        <f t="shared" si="10"/>
        <v>95.100000000000009</v>
      </c>
      <c r="Q35" s="198">
        <f t="shared" si="10"/>
        <v>0</v>
      </c>
      <c r="R35" s="198">
        <f t="shared" si="10"/>
        <v>76.08</v>
      </c>
      <c r="S35" s="198">
        <f t="shared" si="10"/>
        <v>19.02</v>
      </c>
      <c r="T35" s="199">
        <f>SUM(J35:S35)</f>
        <v>19020</v>
      </c>
    </row>
    <row r="36" spans="1:20" x14ac:dyDescent="0.2">
      <c r="A36" s="3" t="s">
        <v>221</v>
      </c>
      <c r="C36" s="24">
        <v>7169</v>
      </c>
      <c r="D36" s="25" t="s">
        <v>45</v>
      </c>
      <c r="E36" s="25" t="s">
        <v>49</v>
      </c>
      <c r="F36" s="25" t="s">
        <v>46</v>
      </c>
      <c r="G36" s="25" t="s">
        <v>48</v>
      </c>
      <c r="H36" s="55">
        <f>'Bird Inventory'!H9</f>
        <v>2006</v>
      </c>
      <c r="I36" s="30"/>
      <c r="J36" s="197">
        <f>Inputs!D37</f>
        <v>2.5000000000000001E-2</v>
      </c>
      <c r="K36" s="197">
        <f>Inputs!D38</f>
        <v>0.214</v>
      </c>
      <c r="L36" s="197">
        <f>Inputs!D39</f>
        <v>0.68700000000000006</v>
      </c>
      <c r="M36" s="197">
        <f>Inputs!D40</f>
        <v>6.4000000000000001E-2</v>
      </c>
      <c r="N36" s="197">
        <f>Inputs!D41</f>
        <v>0</v>
      </c>
      <c r="O36" s="197">
        <v>0</v>
      </c>
      <c r="P36" s="197">
        <f>Inputs!D49</f>
        <v>5.0000000000000001E-3</v>
      </c>
      <c r="Q36" s="197">
        <f>Inputs!D42</f>
        <v>0</v>
      </c>
      <c r="R36" s="197">
        <f>Inputs!D50+Inputs!D48</f>
        <v>4.0000000000000001E-3</v>
      </c>
      <c r="S36" s="197">
        <f>Inputs!D47</f>
        <v>1E-3</v>
      </c>
      <c r="T36" s="200">
        <f>SUM(J36:S36)</f>
        <v>1</v>
      </c>
    </row>
    <row r="38" spans="1:20" s="54" customFormat="1" ht="18" customHeight="1" x14ac:dyDescent="0.25">
      <c r="A38" s="50" t="s">
        <v>54</v>
      </c>
      <c r="B38" s="51"/>
      <c r="C38" s="51"/>
      <c r="D38" s="51"/>
      <c r="E38" s="196">
        <f>Inputs!J32</f>
        <v>11025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223</v>
      </c>
      <c r="C39" s="24">
        <v>7168</v>
      </c>
      <c r="D39" s="25" t="s">
        <v>45</v>
      </c>
      <c r="E39" s="25" t="s">
        <v>49</v>
      </c>
      <c r="F39" s="25" t="s">
        <v>46</v>
      </c>
      <c r="G39" s="25" t="s">
        <v>47</v>
      </c>
      <c r="H39" s="55">
        <f>'Bird Inventory'!H11</f>
        <v>18508</v>
      </c>
      <c r="I39" s="30"/>
      <c r="J39" s="198">
        <f t="shared" ref="J39:S39" si="11">$E38*J40</f>
        <v>529.20000000000005</v>
      </c>
      <c r="K39" s="198">
        <f t="shared" si="11"/>
        <v>2954.7000000000003</v>
      </c>
      <c r="L39" s="198">
        <f t="shared" si="11"/>
        <v>6548.8499999999995</v>
      </c>
      <c r="M39" s="198">
        <f t="shared" si="11"/>
        <v>859.95</v>
      </c>
      <c r="N39" s="198">
        <f t="shared" si="11"/>
        <v>11.025</v>
      </c>
      <c r="O39" s="198">
        <f t="shared" si="11"/>
        <v>0</v>
      </c>
      <c r="P39" s="198">
        <f t="shared" si="11"/>
        <v>33.075000000000003</v>
      </c>
      <c r="Q39" s="198">
        <f t="shared" si="11"/>
        <v>0</v>
      </c>
      <c r="R39" s="198">
        <f t="shared" si="11"/>
        <v>66.150000000000006</v>
      </c>
      <c r="S39" s="198">
        <f t="shared" si="11"/>
        <v>22.05</v>
      </c>
      <c r="T39" s="199">
        <f>SUM(J39:S39)</f>
        <v>11025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4.8000000000000001E-2</v>
      </c>
      <c r="K40" s="197">
        <f>Inputs!E38</f>
        <v>0.26800000000000002</v>
      </c>
      <c r="L40" s="197">
        <f>Inputs!E39</f>
        <v>0.59399999999999997</v>
      </c>
      <c r="M40" s="197">
        <f>Inputs!E40</f>
        <v>7.8E-2</v>
      </c>
      <c r="N40" s="197">
        <f>Inputs!E41</f>
        <v>1E-3</v>
      </c>
      <c r="O40" s="197">
        <v>0</v>
      </c>
      <c r="P40" s="197">
        <f>Inputs!E49</f>
        <v>3.0000000000000001E-3</v>
      </c>
      <c r="Q40" s="197">
        <f>Inputs!E42</f>
        <v>0</v>
      </c>
      <c r="R40" s="197">
        <f>Inputs!E48+Inputs!E50</f>
        <v>6.0000000000000001E-3</v>
      </c>
      <c r="S40" s="197">
        <f>Inputs!E47</f>
        <v>2E-3</v>
      </c>
      <c r="T40" s="200">
        <f>SUM(J40:S40)</f>
        <v>0.99999999999999989</v>
      </c>
    </row>
    <row r="43" spans="1:20" s="54" customFormat="1" ht="18" customHeight="1" x14ac:dyDescent="0.2"/>
    <row r="49" spans="1:10" x14ac:dyDescent="0.2">
      <c r="A49" s="60"/>
      <c r="B49" s="3"/>
      <c r="C49" s="34"/>
      <c r="D49" s="25"/>
      <c r="E49" s="25"/>
      <c r="F49" s="25"/>
      <c r="G49" s="25"/>
      <c r="I49" s="25" t="s">
        <v>23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57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58</v>
      </c>
      <c r="B3" s="207">
        <f>Inputs!C3</f>
        <v>45879.25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59</v>
      </c>
      <c r="B5" s="69" t="s">
        <v>60</v>
      </c>
      <c r="C5" s="64"/>
      <c r="D5" s="64"/>
      <c r="E5" s="64"/>
      <c r="F5" s="64" t="s">
        <v>61</v>
      </c>
      <c r="G5" s="64"/>
    </row>
    <row r="6" spans="1:12" ht="15.6" customHeight="1" x14ac:dyDescent="0.25">
      <c r="A6" s="68"/>
      <c r="B6" s="70" t="s">
        <v>62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63</v>
      </c>
      <c r="B7" s="69" t="s">
        <v>15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64</v>
      </c>
      <c r="B9" s="71" t="s">
        <v>65</v>
      </c>
      <c r="C9" s="68"/>
      <c r="D9" s="68"/>
      <c r="E9" s="206">
        <f>Inputs!C2</f>
        <v>32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66</v>
      </c>
      <c r="C12" s="78" t="s">
        <v>67</v>
      </c>
      <c r="D12" s="79"/>
      <c r="E12" s="80"/>
      <c r="F12" s="80"/>
      <c r="G12" s="81"/>
      <c r="L12" s="64"/>
    </row>
    <row r="13" spans="1:12" x14ac:dyDescent="0.2">
      <c r="A13" s="82" t="s">
        <v>68</v>
      </c>
      <c r="B13" s="219">
        <f>C13/15</f>
        <v>0</v>
      </c>
      <c r="C13" s="220">
        <f>'Grade out Information'!X26</f>
        <v>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69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70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71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72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73</v>
      </c>
      <c r="B21" s="219">
        <f>C21/15</f>
        <v>0</v>
      </c>
      <c r="C21" s="220">
        <f>'Grade out Information'!E11</f>
        <v>0</v>
      </c>
      <c r="D21" s="81"/>
      <c r="E21" s="86"/>
      <c r="F21" s="87"/>
      <c r="G21" s="81"/>
      <c r="L21" s="64"/>
    </row>
    <row r="22" spans="1:12" x14ac:dyDescent="0.2">
      <c r="A22" s="82" t="s">
        <v>74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75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76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77</v>
      </c>
      <c r="B27" s="221">
        <f>SUM(B13:B26)</f>
        <v>0</v>
      </c>
      <c r="C27" s="222">
        <f>SUM(C13:C26)</f>
        <v>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78</v>
      </c>
      <c r="C29" s="98" t="s">
        <v>78</v>
      </c>
      <c r="D29" s="98" t="s">
        <v>78</v>
      </c>
      <c r="E29" s="99" t="s">
        <v>79</v>
      </c>
      <c r="F29" s="100" t="s">
        <v>80</v>
      </c>
      <c r="G29" s="98" t="s">
        <v>81</v>
      </c>
      <c r="J29" s="92"/>
      <c r="K29" s="101"/>
    </row>
    <row r="30" spans="1:12" ht="15.6" customHeight="1" x14ac:dyDescent="0.2">
      <c r="A30" s="102" t="s">
        <v>82</v>
      </c>
      <c r="B30" s="103" t="s">
        <v>165</v>
      </c>
      <c r="C30" s="103" t="s">
        <v>165</v>
      </c>
      <c r="D30" s="103" t="s">
        <v>165</v>
      </c>
      <c r="E30" s="104" t="s">
        <v>166</v>
      </c>
      <c r="F30" s="105" t="s">
        <v>167</v>
      </c>
      <c r="G30" s="103" t="s">
        <v>83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84</v>
      </c>
    </row>
    <row r="32" spans="1:12" x14ac:dyDescent="0.2">
      <c r="A32" s="82" t="s">
        <v>68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85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86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87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88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89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90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91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92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77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zoomScale="70" zoomScaleNormal="70" workbookViewId="0">
      <selection activeCell="F34" sqref="F34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93</v>
      </c>
    </row>
    <row r="3" spans="1:30" x14ac:dyDescent="0.2">
      <c r="A3" t="s">
        <v>60</v>
      </c>
      <c r="N3" s="121"/>
      <c r="O3" s="121"/>
    </row>
    <row r="4" spans="1:30" x14ac:dyDescent="0.2">
      <c r="A4" s="3" t="s">
        <v>15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94</v>
      </c>
      <c r="B7" s="124" t="s">
        <v>95</v>
      </c>
      <c r="C7" s="241" t="s">
        <v>96</v>
      </c>
      <c r="D7" s="241"/>
      <c r="E7" s="241"/>
      <c r="F7" s="241"/>
      <c r="G7" s="124" t="s">
        <v>97</v>
      </c>
      <c r="H7" s="124" t="s">
        <v>98</v>
      </c>
      <c r="I7" s="124" t="s">
        <v>99</v>
      </c>
      <c r="J7" s="124" t="s">
        <v>68</v>
      </c>
      <c r="K7" s="124" t="s">
        <v>100</v>
      </c>
      <c r="L7" s="124"/>
      <c r="M7" s="124" t="s">
        <v>101</v>
      </c>
      <c r="N7" s="124"/>
      <c r="O7" s="124" t="s">
        <v>102</v>
      </c>
      <c r="P7" s="124"/>
      <c r="Q7" s="124" t="s">
        <v>103</v>
      </c>
      <c r="R7" s="124"/>
      <c r="S7" s="125" t="s">
        <v>104</v>
      </c>
      <c r="T7" s="125"/>
      <c r="U7" s="125" t="s">
        <v>105</v>
      </c>
      <c r="V7" s="124"/>
      <c r="W7" s="126" t="s">
        <v>106</v>
      </c>
      <c r="X7" s="125" t="s">
        <v>107</v>
      </c>
      <c r="Y7" s="124" t="s">
        <v>81</v>
      </c>
      <c r="Z7" s="124" t="s">
        <v>107</v>
      </c>
      <c r="AA7" s="125" t="s">
        <v>108</v>
      </c>
      <c r="AB7" s="124" t="s">
        <v>109</v>
      </c>
      <c r="AC7" s="125" t="s">
        <v>109</v>
      </c>
      <c r="AD7" s="124" t="s">
        <v>108</v>
      </c>
    </row>
    <row r="8" spans="1:30" x14ac:dyDescent="0.2">
      <c r="A8" s="183">
        <f>Inputs!C2</f>
        <v>32</v>
      </c>
      <c r="B8" s="127" t="s">
        <v>23</v>
      </c>
      <c r="C8" s="127" t="s">
        <v>110</v>
      </c>
      <c r="D8" s="127" t="s">
        <v>101</v>
      </c>
      <c r="E8" s="127" t="s">
        <v>102</v>
      </c>
      <c r="F8" s="127" t="s">
        <v>103</v>
      </c>
      <c r="G8" s="127" t="s">
        <v>67</v>
      </c>
      <c r="H8" s="127" t="s">
        <v>66</v>
      </c>
      <c r="I8" s="127" t="s">
        <v>111</v>
      </c>
      <c r="J8" s="127" t="s">
        <v>100</v>
      </c>
      <c r="K8" s="127" t="s">
        <v>112</v>
      </c>
      <c r="L8" s="127" t="s">
        <v>101</v>
      </c>
      <c r="M8" s="127" t="s">
        <v>112</v>
      </c>
      <c r="N8" s="127" t="s">
        <v>102</v>
      </c>
      <c r="O8" s="127" t="s">
        <v>112</v>
      </c>
      <c r="P8" s="127" t="s">
        <v>103</v>
      </c>
      <c r="Q8" s="127" t="s">
        <v>112</v>
      </c>
      <c r="R8" s="127" t="s">
        <v>104</v>
      </c>
      <c r="S8" s="128" t="s">
        <v>112</v>
      </c>
      <c r="T8" s="128" t="s">
        <v>105</v>
      </c>
      <c r="U8" s="128" t="s">
        <v>112</v>
      </c>
      <c r="V8" s="127" t="s">
        <v>106</v>
      </c>
      <c r="W8" s="129" t="s">
        <v>112</v>
      </c>
      <c r="X8" s="128" t="s">
        <v>67</v>
      </c>
      <c r="Y8" s="127" t="s">
        <v>112</v>
      </c>
      <c r="Z8" s="127" t="s">
        <v>66</v>
      </c>
      <c r="AA8" s="128" t="s">
        <v>113</v>
      </c>
      <c r="AB8" s="127" t="s">
        <v>67</v>
      </c>
      <c r="AC8" s="128" t="s">
        <v>66</v>
      </c>
      <c r="AD8" s="127" t="s">
        <v>114</v>
      </c>
    </row>
    <row r="9" spans="1:30" x14ac:dyDescent="0.2">
      <c r="A9" s="124"/>
      <c r="B9" s="182" t="s">
        <v>115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23</v>
      </c>
      <c r="B11" s="133" t="s">
        <v>116</v>
      </c>
      <c r="C11" s="217"/>
      <c r="D11" s="217"/>
      <c r="E11" s="227">
        <f>Inputs!I41*15</f>
        <v>0</v>
      </c>
      <c r="F11" s="217"/>
      <c r="G11" s="228">
        <f>SUM(C11:F11)</f>
        <v>0</v>
      </c>
      <c r="H11" s="229">
        <f>G11/15</f>
        <v>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117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118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226</v>
      </c>
      <c r="C15" s="133"/>
      <c r="D15" s="133"/>
      <c r="E15" s="133"/>
      <c r="F15" s="133"/>
      <c r="G15" s="133"/>
      <c r="H15" s="133"/>
      <c r="I15" s="133">
        <f>J15+L15+N15+P15+R15+T15+V15</f>
        <v>0</v>
      </c>
      <c r="J15" s="133">
        <f>X15*K15</f>
        <v>0</v>
      </c>
      <c r="K15" s="184">
        <f>Inputs!B36</f>
        <v>0.39700000000000002</v>
      </c>
      <c r="L15" s="133">
        <f>X15*M15</f>
        <v>0</v>
      </c>
      <c r="M15" s="184">
        <f>Inputs!B39</f>
        <v>0.53900000000000003</v>
      </c>
      <c r="N15" s="133">
        <f>X15*O15</f>
        <v>0</v>
      </c>
      <c r="O15" s="184">
        <f>Inputs!B40</f>
        <v>0.05</v>
      </c>
      <c r="P15" s="133">
        <f>X15*Q15</f>
        <v>0</v>
      </c>
      <c r="Q15" s="184">
        <f>Inputs!B41</f>
        <v>1E-3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0</v>
      </c>
      <c r="W15" s="185">
        <f>Inputs!B43</f>
        <v>1.3000000000000001E-2</v>
      </c>
      <c r="X15" s="213">
        <f>Z15*15</f>
        <v>0</v>
      </c>
      <c r="Y15" s="209">
        <f>K15+M15+O15+Q15+S15+U15+W15</f>
        <v>1</v>
      </c>
      <c r="Z15" s="226">
        <f>Inputs!I35</f>
        <v>0</v>
      </c>
      <c r="AA15" s="3"/>
      <c r="AB15" s="133"/>
      <c r="AC15" s="3"/>
      <c r="AD15" s="133"/>
    </row>
    <row r="16" spans="1:30" ht="15" x14ac:dyDescent="0.25">
      <c r="A16" s="133"/>
      <c r="B16" s="130"/>
      <c r="C16" s="130"/>
      <c r="D16" s="130"/>
      <c r="E16" s="130"/>
      <c r="F16" s="130"/>
      <c r="G16" s="130"/>
      <c r="H16" s="130"/>
      <c r="I16" s="133"/>
      <c r="J16" s="133"/>
      <c r="K16" s="130"/>
      <c r="L16" s="133"/>
      <c r="M16" s="130"/>
      <c r="N16" s="133"/>
      <c r="O16" s="130"/>
      <c r="P16" s="133"/>
      <c r="Q16" s="130"/>
      <c r="R16" s="133"/>
      <c r="S16" s="130"/>
      <c r="T16" s="212"/>
      <c r="U16" s="130"/>
      <c r="V16" s="133"/>
      <c r="W16" s="130"/>
      <c r="X16" s="133"/>
      <c r="Y16" s="130"/>
      <c r="Z16" s="133"/>
      <c r="AA16" s="3"/>
      <c r="AB16" s="133"/>
      <c r="AC16" s="3"/>
      <c r="AD16" s="133"/>
    </row>
    <row r="17" spans="1:30" ht="15" x14ac:dyDescent="0.25">
      <c r="A17" s="133"/>
      <c r="B17" s="133" t="s">
        <v>227</v>
      </c>
      <c r="C17" s="133"/>
      <c r="D17" s="133"/>
      <c r="E17" s="133"/>
      <c r="F17" s="133"/>
      <c r="G17" s="133"/>
      <c r="H17" s="133"/>
      <c r="I17" s="133">
        <f>J17+L17+N17+P17+R17+T17+V17</f>
        <v>0</v>
      </c>
      <c r="J17" s="133">
        <f>X17*K17</f>
        <v>0</v>
      </c>
      <c r="K17" s="184">
        <f>Inputs!C36</f>
        <v>0.217</v>
      </c>
      <c r="L17" s="133">
        <f>X17*M17</f>
        <v>0</v>
      </c>
      <c r="M17" s="184">
        <f>Inputs!C39</f>
        <v>0.68500000000000005</v>
      </c>
      <c r="N17" s="133">
        <f>X17*O17</f>
        <v>0</v>
      </c>
      <c r="O17" s="184">
        <f>Inputs!C40</f>
        <v>8.8999999999999996E-2</v>
      </c>
      <c r="P17" s="133">
        <f>X17*Q17</f>
        <v>0</v>
      </c>
      <c r="Q17" s="184">
        <f>Inputs!C41</f>
        <v>1E-3</v>
      </c>
      <c r="R17" s="133">
        <f>X17*S17</f>
        <v>0</v>
      </c>
      <c r="S17" s="184">
        <f>Inputs!C42</f>
        <v>0</v>
      </c>
      <c r="T17" s="212">
        <f>X17*U17</f>
        <v>0</v>
      </c>
      <c r="U17" s="134">
        <v>0</v>
      </c>
      <c r="V17" s="133">
        <f>X17*W17</f>
        <v>0</v>
      </c>
      <c r="W17" s="185">
        <f>Inputs!C43</f>
        <v>8.0000000000000002E-3</v>
      </c>
      <c r="X17" s="213">
        <f>Z17*15</f>
        <v>0</v>
      </c>
      <c r="Y17" s="209">
        <f>K17+M17+O17+Q17+S17+U17+W17</f>
        <v>1</v>
      </c>
      <c r="Z17" s="226">
        <f>Inputs!I36</f>
        <v>0</v>
      </c>
      <c r="AA17" s="3"/>
      <c r="AB17" s="133"/>
      <c r="AC17" s="3"/>
      <c r="AD17" s="133"/>
    </row>
    <row r="18" spans="1:30" ht="15" x14ac:dyDescent="0.25">
      <c r="A18" s="133"/>
      <c r="B18" s="133" t="s">
        <v>228</v>
      </c>
      <c r="C18" s="133"/>
      <c r="D18" s="133"/>
      <c r="E18" s="133"/>
      <c r="F18" s="133"/>
      <c r="G18" s="133"/>
      <c r="H18" s="133"/>
      <c r="I18" s="133">
        <f>J18+L18+N18+P18+R18+T18+V18</f>
        <v>0</v>
      </c>
      <c r="J18" s="133">
        <f>X18*K18</f>
        <v>0</v>
      </c>
      <c r="K18" s="184">
        <f>K17</f>
        <v>0.217</v>
      </c>
      <c r="L18" s="133">
        <f>X18*M18</f>
        <v>0</v>
      </c>
      <c r="M18" s="184">
        <f>M17</f>
        <v>0.68500000000000005</v>
      </c>
      <c r="N18" s="133">
        <f>X18*O18</f>
        <v>0</v>
      </c>
      <c r="O18" s="184">
        <f>O17</f>
        <v>8.8999999999999996E-2</v>
      </c>
      <c r="P18" s="133">
        <f>X18*Q18</f>
        <v>0</v>
      </c>
      <c r="Q18" s="184">
        <f>Q17</f>
        <v>1E-3</v>
      </c>
      <c r="R18" s="133">
        <f>X18*S18</f>
        <v>0</v>
      </c>
      <c r="S18" s="184">
        <f>S17</f>
        <v>0</v>
      </c>
      <c r="T18" s="212">
        <f>X18*U18</f>
        <v>0</v>
      </c>
      <c r="U18" s="134">
        <v>0</v>
      </c>
      <c r="V18" s="133">
        <f>X18*W18</f>
        <v>0</v>
      </c>
      <c r="W18" s="185">
        <f>W17</f>
        <v>8.0000000000000002E-3</v>
      </c>
      <c r="X18" s="213">
        <f>Z18*15</f>
        <v>0</v>
      </c>
      <c r="Y18" s="209">
        <f>K18+M18+O18+Q18+S18+U18+W18</f>
        <v>1</v>
      </c>
      <c r="Z18" s="226">
        <f>Inputs!I37</f>
        <v>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/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8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224</v>
      </c>
      <c r="C20" s="133"/>
      <c r="D20" s="133"/>
      <c r="E20" s="133"/>
      <c r="F20" s="133"/>
      <c r="G20" s="133"/>
      <c r="H20" s="133"/>
      <c r="I20" s="133">
        <f>J20+L20+N20+P20+R20+T20+V20</f>
        <v>0</v>
      </c>
      <c r="J20" s="133">
        <f>X20*K20</f>
        <v>0</v>
      </c>
      <c r="K20" s="184">
        <f>Inputs!D36</f>
        <v>0.23899999999999999</v>
      </c>
      <c r="L20" s="133">
        <f>X20*M20</f>
        <v>0</v>
      </c>
      <c r="M20" s="184">
        <f>Inputs!D39</f>
        <v>0.68700000000000006</v>
      </c>
      <c r="N20" s="133">
        <f>X20*O20</f>
        <v>0</v>
      </c>
      <c r="O20" s="184">
        <f>Inputs!D40</f>
        <v>6.4000000000000001E-2</v>
      </c>
      <c r="P20" s="133">
        <f>X20*Q20</f>
        <v>0</v>
      </c>
      <c r="Q20" s="184">
        <f>Inputs!D41</f>
        <v>0</v>
      </c>
      <c r="R20" s="133">
        <f>X20*S20</f>
        <v>0</v>
      </c>
      <c r="S20" s="184">
        <f>Inputs!D42</f>
        <v>0</v>
      </c>
      <c r="T20" s="212">
        <f>X20*U20</f>
        <v>0</v>
      </c>
      <c r="U20" s="134">
        <v>0</v>
      </c>
      <c r="V20" s="133">
        <f>X20*W20</f>
        <v>0</v>
      </c>
      <c r="W20" s="185">
        <f>Inputs!D43</f>
        <v>0.01</v>
      </c>
      <c r="X20" s="213">
        <f>Z20*15</f>
        <v>0</v>
      </c>
      <c r="Y20" s="209">
        <f>K20+M20+O20+Q20+S20+U20+W20</f>
        <v>1</v>
      </c>
      <c r="Z20" s="226">
        <f>Inputs!I38</f>
        <v>0</v>
      </c>
      <c r="AA20" s="3"/>
      <c r="AB20" s="133"/>
      <c r="AC20" s="3"/>
      <c r="AD20" s="133"/>
    </row>
    <row r="21" spans="1:30" ht="15" x14ac:dyDescent="0.25">
      <c r="A21" s="133"/>
      <c r="B21" s="133" t="s">
        <v>225</v>
      </c>
      <c r="C21" s="133"/>
      <c r="D21" s="133"/>
      <c r="E21" s="133"/>
      <c r="F21" s="133"/>
      <c r="G21" s="133"/>
      <c r="H21" s="133"/>
      <c r="I21" s="133">
        <f>J21+L21+N21+P21+R21+T21+V21</f>
        <v>0</v>
      </c>
      <c r="J21" s="133">
        <f>X21*K21</f>
        <v>0</v>
      </c>
      <c r="K21" s="184">
        <f>K20</f>
        <v>0.23899999999999999</v>
      </c>
      <c r="L21" s="133">
        <f>X21*M21</f>
        <v>0</v>
      </c>
      <c r="M21" s="184">
        <f>M20</f>
        <v>0.68700000000000006</v>
      </c>
      <c r="N21" s="133">
        <f>X21*O21</f>
        <v>0</v>
      </c>
      <c r="O21" s="184">
        <f>O20</f>
        <v>6.4000000000000001E-2</v>
      </c>
      <c r="P21" s="133">
        <f>X21*Q21</f>
        <v>0</v>
      </c>
      <c r="Q21" s="184">
        <f>Q20</f>
        <v>0</v>
      </c>
      <c r="R21" s="133">
        <f>X21*S21</f>
        <v>0</v>
      </c>
      <c r="S21" s="184">
        <f>S20</f>
        <v>0</v>
      </c>
      <c r="T21" s="212">
        <f>X21*U21</f>
        <v>0</v>
      </c>
      <c r="U21" s="134">
        <v>0</v>
      </c>
      <c r="V21" s="133">
        <f>X21*W21</f>
        <v>0</v>
      </c>
      <c r="W21" s="185">
        <f>W20</f>
        <v>0.01</v>
      </c>
      <c r="X21" s="213">
        <f>Z21*15</f>
        <v>0</v>
      </c>
      <c r="Y21" s="209">
        <f>K21+M21+O21+Q21+S21+U21+W21</f>
        <v>1</v>
      </c>
      <c r="Z21" s="226">
        <f>Inputs!I39</f>
        <v>0</v>
      </c>
      <c r="AA21" s="3"/>
      <c r="AB21" s="133"/>
      <c r="AC21" s="3"/>
      <c r="AD21" s="133"/>
    </row>
    <row r="22" spans="1:30" ht="15" x14ac:dyDescent="0.25">
      <c r="A22" s="133"/>
      <c r="B22" s="214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  <c r="N22" s="133"/>
      <c r="O22" s="134"/>
      <c r="P22" s="133"/>
      <c r="Q22" s="134"/>
      <c r="R22" s="133"/>
      <c r="S22" s="134"/>
      <c r="T22" s="212"/>
      <c r="U22" s="134"/>
      <c r="V22" s="133"/>
      <c r="W22" s="137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229</v>
      </c>
      <c r="C23" s="133"/>
      <c r="D23" s="133"/>
      <c r="E23" s="133"/>
      <c r="F23" s="133"/>
      <c r="G23" s="133"/>
      <c r="H23" s="133"/>
      <c r="I23" s="133">
        <f>J23+L23+N23+P23+R23+T23+V23</f>
        <v>0</v>
      </c>
      <c r="J23" s="133">
        <f>X23*K23</f>
        <v>0</v>
      </c>
      <c r="K23" s="184">
        <f>Inputs!E36</f>
        <v>0.316</v>
      </c>
      <c r="L23" s="133">
        <f>X23*M23</f>
        <v>0</v>
      </c>
      <c r="M23" s="184">
        <f>Inputs!E39</f>
        <v>0.59399999999999997</v>
      </c>
      <c r="N23" s="133">
        <f>X23*O23</f>
        <v>0</v>
      </c>
      <c r="O23" s="184">
        <f>Inputs!E40</f>
        <v>7.8E-2</v>
      </c>
      <c r="P23" s="133">
        <f>X23*Q23</f>
        <v>0</v>
      </c>
      <c r="Q23" s="184">
        <f>Inputs!E41</f>
        <v>1E-3</v>
      </c>
      <c r="R23" s="133">
        <f>X23*S23</f>
        <v>0</v>
      </c>
      <c r="S23" s="184">
        <f>Inputs!E42</f>
        <v>0</v>
      </c>
      <c r="T23" s="212">
        <f>X23*U23</f>
        <v>0</v>
      </c>
      <c r="U23" s="134">
        <v>0</v>
      </c>
      <c r="V23" s="133">
        <f>X23*W23</f>
        <v>0</v>
      </c>
      <c r="W23" s="218">
        <f>Inputs!E43</f>
        <v>1.0999999999999999E-2</v>
      </c>
      <c r="X23" s="213">
        <f>Z23*15</f>
        <v>0</v>
      </c>
      <c r="Y23" s="209">
        <f>K23+M23+O23+Q23+S23+U23+W23</f>
        <v>0.99999999999999989</v>
      </c>
      <c r="Z23" s="226">
        <f>Inputs!I40</f>
        <v>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50</v>
      </c>
      <c r="C26" s="139">
        <f>SUM(C11:C25)</f>
        <v>0</v>
      </c>
      <c r="D26" s="139">
        <f>SUM(D11:D25)</f>
        <v>0</v>
      </c>
      <c r="E26" s="139">
        <f>SUM(E11:E25)</f>
        <v>0</v>
      </c>
      <c r="F26" s="139">
        <f>SUM(F11:F25)</f>
        <v>0</v>
      </c>
      <c r="G26" s="139">
        <f>G11+G12</f>
        <v>0</v>
      </c>
      <c r="H26" s="139">
        <f>SUM(H11+H12)</f>
        <v>0</v>
      </c>
      <c r="I26" s="141"/>
      <c r="J26" s="139">
        <f>SUM(J15:J25)</f>
        <v>0</v>
      </c>
      <c r="K26" s="139"/>
      <c r="L26" s="139">
        <f>SUM(L15:L25)</f>
        <v>0</v>
      </c>
      <c r="M26" s="139"/>
      <c r="N26" s="139">
        <f>SUM(N15:N25)</f>
        <v>0</v>
      </c>
      <c r="O26" s="139"/>
      <c r="P26" s="139">
        <f>SUM(P15:P25)</f>
        <v>0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0</v>
      </c>
      <c r="W26" s="139"/>
      <c r="X26" s="139">
        <f>SUM(X15:X25)</f>
        <v>0</v>
      </c>
      <c r="Y26" s="139"/>
      <c r="Z26" s="139">
        <f>SUM(Z15:Z25)</f>
        <v>0</v>
      </c>
      <c r="AA26" s="141">
        <f>IF(Z33=0,0,Z33/(H33+Z33))</f>
        <v>0</v>
      </c>
      <c r="AB26" s="139">
        <f>G26+X26</f>
        <v>0</v>
      </c>
      <c r="AC26" s="139">
        <f>H26+Z26</f>
        <v>0</v>
      </c>
      <c r="AD26" s="141">
        <f>I26+AA26</f>
        <v>0</v>
      </c>
    </row>
    <row r="30" spans="1:30" x14ac:dyDescent="0.2">
      <c r="A30" s="3" t="s">
        <v>100</v>
      </c>
      <c r="B30">
        <f>J26</f>
        <v>0</v>
      </c>
    </row>
    <row r="31" spans="1:30" x14ac:dyDescent="0.2">
      <c r="A31" s="3" t="s">
        <v>101</v>
      </c>
      <c r="B31">
        <f>L26</f>
        <v>0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102</v>
      </c>
      <c r="B32">
        <f>N26</f>
        <v>0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103</v>
      </c>
      <c r="B33">
        <f>P26</f>
        <v>0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104</v>
      </c>
      <c r="B34">
        <f>R26</f>
        <v>0</v>
      </c>
    </row>
    <row r="35" spans="1:13" x14ac:dyDescent="0.2">
      <c r="A35" s="3" t="s">
        <v>105</v>
      </c>
      <c r="B35">
        <f>T26</f>
        <v>0</v>
      </c>
    </row>
    <row r="36" spans="1:13" x14ac:dyDescent="0.2">
      <c r="A36" s="3" t="s">
        <v>106</v>
      </c>
      <c r="B36">
        <f>V26</f>
        <v>0</v>
      </c>
    </row>
    <row r="38" spans="1:13" x14ac:dyDescent="0.2">
      <c r="A38" s="3" t="s">
        <v>119</v>
      </c>
      <c r="B38">
        <f>SUM(B30:B36)</f>
        <v>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56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219</v>
      </c>
      <c r="B3" s="3"/>
      <c r="C3" s="34">
        <v>7169</v>
      </c>
      <c r="D3" s="25" t="s">
        <v>45</v>
      </c>
      <c r="E3" s="25" t="s">
        <v>49</v>
      </c>
      <c r="F3" s="25" t="s">
        <v>46</v>
      </c>
      <c r="G3" s="25" t="s">
        <v>47</v>
      </c>
      <c r="H3" s="194">
        <v>38557</v>
      </c>
      <c r="I3" s="25"/>
    </row>
    <row r="4" spans="1:9" x14ac:dyDescent="0.2">
      <c r="A4" s="3"/>
      <c r="B4" s="3"/>
      <c r="C4" s="34"/>
      <c r="D4" s="25"/>
      <c r="E4" s="25"/>
      <c r="F4" s="25"/>
      <c r="G4" s="25"/>
      <c r="H4" s="193"/>
    </row>
    <row r="5" spans="1:9" x14ac:dyDescent="0.2">
      <c r="A5" s="3" t="s">
        <v>220</v>
      </c>
      <c r="C5" s="24">
        <v>7168</v>
      </c>
      <c r="D5" s="25" t="s">
        <v>45</v>
      </c>
      <c r="E5" s="25" t="s">
        <v>49</v>
      </c>
      <c r="F5" s="25" t="s">
        <v>46</v>
      </c>
      <c r="G5" s="25" t="s">
        <v>47</v>
      </c>
      <c r="H5" s="194">
        <v>34598</v>
      </c>
    </row>
    <row r="6" spans="1:9" x14ac:dyDescent="0.2">
      <c r="A6" s="3" t="s">
        <v>220</v>
      </c>
      <c r="C6" s="24">
        <v>7168</v>
      </c>
      <c r="D6" s="25" t="s">
        <v>45</v>
      </c>
      <c r="E6" s="25" t="s">
        <v>49</v>
      </c>
      <c r="F6" s="25" t="s">
        <v>46</v>
      </c>
      <c r="G6" s="25" t="s">
        <v>48</v>
      </c>
      <c r="H6" s="194">
        <v>3848</v>
      </c>
      <c r="I6" s="30"/>
    </row>
    <row r="7" spans="1:9" ht="15" x14ac:dyDescent="0.2">
      <c r="I7" s="58"/>
    </row>
    <row r="8" spans="1:9" x14ac:dyDescent="0.2">
      <c r="A8" s="3" t="s">
        <v>221</v>
      </c>
      <c r="C8" s="24">
        <v>7168</v>
      </c>
      <c r="D8" s="25" t="s">
        <v>45</v>
      </c>
      <c r="E8" s="25" t="s">
        <v>49</v>
      </c>
      <c r="F8" s="25" t="s">
        <v>46</v>
      </c>
      <c r="G8" s="25" t="s">
        <v>47</v>
      </c>
      <c r="H8" s="194">
        <v>29784</v>
      </c>
      <c r="I8" s="25"/>
    </row>
    <row r="9" spans="1:9" x14ac:dyDescent="0.2">
      <c r="A9" s="3" t="s">
        <v>221</v>
      </c>
      <c r="C9" s="24">
        <v>7168</v>
      </c>
      <c r="D9" s="25" t="s">
        <v>45</v>
      </c>
      <c r="E9" s="25" t="s">
        <v>49</v>
      </c>
      <c r="F9" s="25" t="s">
        <v>46</v>
      </c>
      <c r="G9" s="25" t="s">
        <v>48</v>
      </c>
      <c r="H9" s="194">
        <v>2006</v>
      </c>
    </row>
    <row r="10" spans="1:9" x14ac:dyDescent="0.2">
      <c r="H10" s="195"/>
      <c r="I10" s="30"/>
    </row>
    <row r="11" spans="1:9" ht="15" x14ac:dyDescent="0.2">
      <c r="A11" s="3" t="s">
        <v>223</v>
      </c>
      <c r="C11" s="24">
        <v>7168</v>
      </c>
      <c r="D11" s="25" t="s">
        <v>45</v>
      </c>
      <c r="E11" s="25" t="s">
        <v>49</v>
      </c>
      <c r="F11" s="25" t="s">
        <v>46</v>
      </c>
      <c r="G11" s="25" t="s">
        <v>47</v>
      </c>
      <c r="H11" s="194">
        <v>18508</v>
      </c>
      <c r="I11" s="58"/>
    </row>
    <row r="13" spans="1:9" x14ac:dyDescent="0.2">
      <c r="I13" s="25"/>
    </row>
    <row r="14" spans="1:9" x14ac:dyDescent="0.2">
      <c r="I14" s="25"/>
    </row>
    <row r="15" spans="1:9" x14ac:dyDescent="0.2">
      <c r="H15" s="19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O19" sqref="O19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120</v>
      </c>
      <c r="B1" s="146" t="s">
        <v>121</v>
      </c>
      <c r="C1" s="146" t="s">
        <v>122</v>
      </c>
      <c r="D1" s="146" t="s">
        <v>27</v>
      </c>
      <c r="E1" s="146" t="s">
        <v>123</v>
      </c>
      <c r="F1" s="146" t="s">
        <v>113</v>
      </c>
      <c r="G1" s="146" t="s">
        <v>124</v>
      </c>
      <c r="H1" s="146" t="s">
        <v>125</v>
      </c>
      <c r="I1" s="146" t="s">
        <v>126</v>
      </c>
      <c r="J1" s="146" t="s">
        <v>12</v>
      </c>
      <c r="K1" s="146" t="s">
        <v>127</v>
      </c>
      <c r="L1" s="147" t="s">
        <v>128</v>
      </c>
      <c r="M1" s="146" t="s">
        <v>129</v>
      </c>
      <c r="N1" s="146" t="s">
        <v>130</v>
      </c>
      <c r="O1" s="146" t="s">
        <v>131</v>
      </c>
      <c r="P1" s="146" t="s">
        <v>132</v>
      </c>
    </row>
    <row r="2" spans="1:16" x14ac:dyDescent="0.25">
      <c r="A2" s="243" t="s">
        <v>133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113</v>
      </c>
      <c r="G3" s="148"/>
      <c r="H3" s="148" t="s">
        <v>202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47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5</v>
      </c>
      <c r="E4" s="148">
        <v>60</v>
      </c>
      <c r="F4" s="192"/>
      <c r="G4" s="148" t="s">
        <v>8</v>
      </c>
      <c r="H4" s="148" t="s">
        <v>202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47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3</v>
      </c>
      <c r="E5" s="148">
        <v>60</v>
      </c>
      <c r="F5" s="192"/>
      <c r="G5" s="148" t="s">
        <v>9</v>
      </c>
      <c r="H5" s="148" t="s">
        <v>201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48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32</v>
      </c>
      <c r="C7" s="151"/>
      <c r="D7" s="188"/>
      <c r="E7" s="148">
        <v>60</v>
      </c>
      <c r="F7" s="188"/>
      <c r="G7" s="188"/>
      <c r="H7" s="191"/>
      <c r="I7" s="210" t="str">
        <f>IF(K7&gt;0,K7-J7,"NA")</f>
        <v>NA</v>
      </c>
      <c r="J7" s="189">
        <f>IF(H7="NEW",203, IF(H7="OLD",192,0))</f>
        <v>0</v>
      </c>
      <c r="K7" s="151"/>
      <c r="L7" s="211" t="str">
        <f>IF(K7&gt;0,I7/E7,"NA")</f>
        <v>NA</v>
      </c>
      <c r="M7" s="151"/>
      <c r="N7" s="152"/>
      <c r="O7" s="157"/>
      <c r="P7" s="187" t="str">
        <f>IF(D7=Inputs!F$4,Inputs!I$4,IF(D7=Inputs!F$2,Inputs!I$2,IF(D7=Inputs!F$3,Inputs!I$3,IF(D7=Inputs!F$5,Inputs!I$5,"NA"))))</f>
        <v>NA</v>
      </c>
    </row>
    <row r="8" spans="1:16" x14ac:dyDescent="0.25">
      <c r="A8" s="148">
        <v>2</v>
      </c>
      <c r="B8" s="189">
        <f>Inputs!C$2</f>
        <v>32</v>
      </c>
      <c r="C8" s="151"/>
      <c r="D8" s="188"/>
      <c r="E8" s="148">
        <v>60</v>
      </c>
      <c r="F8" s="188"/>
      <c r="G8" s="188"/>
      <c r="H8" s="191"/>
      <c r="I8" s="210" t="str">
        <f t="shared" ref="I8:I70" si="0">IF(K8&gt;0,K8-J8,"NA")</f>
        <v>NA</v>
      </c>
      <c r="J8" s="189">
        <f>IF(H8="NEW",203, IF(H8="OLD",192,0))</f>
        <v>0</v>
      </c>
      <c r="K8" s="151"/>
      <c r="L8" s="211" t="str">
        <f>IF(K8&gt;0,I8/E8,"NA")</f>
        <v>NA</v>
      </c>
      <c r="M8" s="151"/>
      <c r="N8" s="152"/>
      <c r="O8" s="157"/>
      <c r="P8" s="187" t="str">
        <f>IF(D8=Inputs!F$4,Inputs!I$4,IF(D8=Inputs!F$2,Inputs!I$2,IF(D8=Inputs!F$3,Inputs!I$3,IF(D8=Inputs!F$5,Inputs!I$5,"NA"))))</f>
        <v>NA</v>
      </c>
    </row>
    <row r="9" spans="1:16" x14ac:dyDescent="0.25">
      <c r="A9" s="148">
        <v>3</v>
      </c>
      <c r="B9" s="189">
        <f>Inputs!C$2</f>
        <v>32</v>
      </c>
      <c r="C9" s="151"/>
      <c r="D9" s="188"/>
      <c r="E9" s="148">
        <v>60</v>
      </c>
      <c r="F9" s="188"/>
      <c r="G9" s="188"/>
      <c r="H9" s="191"/>
      <c r="I9" s="210" t="str">
        <f t="shared" si="0"/>
        <v>NA</v>
      </c>
      <c r="J9" s="189">
        <f>IF(H9="NEW",203, IF(H9="OLD",192,0))</f>
        <v>0</v>
      </c>
      <c r="K9" s="151"/>
      <c r="L9" s="211" t="str">
        <f t="shared" ref="L9:L72" si="1">IF(K9&gt;0,I9/E9,"NA")</f>
        <v>NA</v>
      </c>
      <c r="M9" s="151"/>
      <c r="N9" s="152"/>
      <c r="O9" s="157"/>
      <c r="P9" s="187" t="str">
        <f>IF(D9=Inputs!F$4,Inputs!I$4,IF(D9=Inputs!F$2,Inputs!I$2,IF(D9=Inputs!F$3,Inputs!I$3,IF(D9=Inputs!F$5,Inputs!I$5,"NA"))))</f>
        <v>NA</v>
      </c>
    </row>
    <row r="10" spans="1:16" x14ac:dyDescent="0.25">
      <c r="A10" s="148">
        <v>4</v>
      </c>
      <c r="B10" s="189">
        <f>Inputs!C$2</f>
        <v>32</v>
      </c>
      <c r="C10" s="151"/>
      <c r="D10" s="188"/>
      <c r="E10" s="148">
        <v>60</v>
      </c>
      <c r="F10" s="188"/>
      <c r="G10" s="188"/>
      <c r="H10" s="191"/>
      <c r="I10" s="210" t="str">
        <f t="shared" si="0"/>
        <v>NA</v>
      </c>
      <c r="J10" s="189">
        <f>IF(H10="NEW",203, IF(H10="OLD",192,0))</f>
        <v>0</v>
      </c>
      <c r="K10" s="151"/>
      <c r="L10" s="211" t="str">
        <f t="shared" si="1"/>
        <v>NA</v>
      </c>
      <c r="M10" s="151"/>
      <c r="N10" s="152"/>
      <c r="O10" s="157"/>
      <c r="P10" s="187" t="str">
        <f>IF(D10=Inputs!F$4,Inputs!I$4,IF(D10=Inputs!F$2,Inputs!I$2,IF(D10=Inputs!F$3,Inputs!I$3,IF(D10=Inputs!F$5,Inputs!I$5,"NA"))))</f>
        <v>NA</v>
      </c>
    </row>
    <row r="11" spans="1:16" x14ac:dyDescent="0.25">
      <c r="A11" s="148">
        <v>5</v>
      </c>
      <c r="B11" s="189">
        <f>Inputs!C$2</f>
        <v>32</v>
      </c>
      <c r="C11" s="151"/>
      <c r="D11" s="188"/>
      <c r="E11" s="148">
        <v>60</v>
      </c>
      <c r="F11" s="188"/>
      <c r="G11" s="188"/>
      <c r="H11" s="191"/>
      <c r="I11" s="210" t="str">
        <f>IF(K11&gt;0,K11-J11,"NA")</f>
        <v>NA</v>
      </c>
      <c r="J11" s="189">
        <f t="shared" ref="J11:J72" si="2">IF(H11="NEW",203, IF(H11="OLD",192,0))</f>
        <v>0</v>
      </c>
      <c r="K11" s="151"/>
      <c r="L11" s="211" t="str">
        <f>IF(K11&gt;0,I11/E11,"NA")</f>
        <v>NA</v>
      </c>
      <c r="M11" s="151"/>
      <c r="N11" s="152"/>
      <c r="O11" s="157"/>
      <c r="P11" s="187" t="str">
        <f>IF(D11=Inputs!F$4,Inputs!I$4,IF(D11=Inputs!F$2,Inputs!I$2,IF(D11=Inputs!F$3,Inputs!I$3,IF(D11=Inputs!F$5,Inputs!I$5,"NA"))))</f>
        <v>NA</v>
      </c>
    </row>
    <row r="12" spans="1:16" x14ac:dyDescent="0.25">
      <c r="A12" s="148">
        <v>6</v>
      </c>
      <c r="B12" s="189">
        <f>Inputs!C$2</f>
        <v>32</v>
      </c>
      <c r="C12" s="151"/>
      <c r="D12" s="188"/>
      <c r="E12" s="148">
        <v>60</v>
      </c>
      <c r="F12" s="188"/>
      <c r="G12" s="188"/>
      <c r="H12" s="191"/>
      <c r="I12" s="210" t="str">
        <f t="shared" si="0"/>
        <v>NA</v>
      </c>
      <c r="J12" s="189">
        <f t="shared" si="2"/>
        <v>0</v>
      </c>
      <c r="K12" s="151"/>
      <c r="L12" s="211" t="str">
        <f t="shared" si="1"/>
        <v>NA</v>
      </c>
      <c r="M12" s="151"/>
      <c r="N12" s="152"/>
      <c r="O12" s="157"/>
      <c r="P12" s="187" t="str">
        <f>IF(D12=Inputs!F$4,Inputs!I$4,IF(D12=Inputs!F$2,Inputs!I$2,IF(D12=Inputs!F$3,Inputs!I$3,IF(D12=Inputs!F$5,Inputs!I$5,"NA"))))</f>
        <v>NA</v>
      </c>
    </row>
    <row r="13" spans="1:16" x14ac:dyDescent="0.25">
      <c r="A13" s="148">
        <v>7</v>
      </c>
      <c r="B13" s="189">
        <f>Inputs!C$2</f>
        <v>32</v>
      </c>
      <c r="C13" s="151"/>
      <c r="D13" s="188"/>
      <c r="E13" s="148">
        <v>60</v>
      </c>
      <c r="F13" s="188"/>
      <c r="G13" s="188"/>
      <c r="H13" s="191"/>
      <c r="I13" s="210" t="str">
        <f t="shared" si="0"/>
        <v>NA</v>
      </c>
      <c r="J13" s="189">
        <f t="shared" si="2"/>
        <v>0</v>
      </c>
      <c r="K13" s="151"/>
      <c r="L13" s="211" t="str">
        <f t="shared" si="1"/>
        <v>NA</v>
      </c>
      <c r="M13" s="151"/>
      <c r="N13" s="152"/>
      <c r="O13" s="157"/>
      <c r="P13" s="187" t="str">
        <f>IF(D13=Inputs!F$4,Inputs!I$4,IF(D13=Inputs!F$2,Inputs!I$2,IF(D13=Inputs!F$3,Inputs!I$3,IF(D13=Inputs!F$5,Inputs!I$5,"NA"))))</f>
        <v>NA</v>
      </c>
    </row>
    <row r="14" spans="1:16" x14ac:dyDescent="0.25">
      <c r="A14" s="148">
        <v>8</v>
      </c>
      <c r="B14" s="189">
        <f>Inputs!C$2</f>
        <v>32</v>
      </c>
      <c r="C14" s="151"/>
      <c r="D14" s="188"/>
      <c r="E14" s="148">
        <v>60</v>
      </c>
      <c r="F14" s="188"/>
      <c r="G14" s="188"/>
      <c r="H14" s="191"/>
      <c r="I14" s="210" t="str">
        <f t="shared" si="0"/>
        <v>NA</v>
      </c>
      <c r="J14" s="189">
        <f t="shared" si="2"/>
        <v>0</v>
      </c>
      <c r="K14" s="151"/>
      <c r="L14" s="211" t="str">
        <f t="shared" si="1"/>
        <v>NA</v>
      </c>
      <c r="M14" s="151"/>
      <c r="N14" s="152"/>
      <c r="O14" s="157"/>
      <c r="P14" s="187" t="str">
        <f>IF(D14=Inputs!F$4,Inputs!I$4,IF(D14=Inputs!F$2,Inputs!I$2,IF(D14=Inputs!F$3,Inputs!I$3,IF(D14=Inputs!F$5,Inputs!I$5,"NA"))))</f>
        <v>NA</v>
      </c>
    </row>
    <row r="15" spans="1:16" x14ac:dyDescent="0.25">
      <c r="A15" s="148">
        <v>9</v>
      </c>
      <c r="B15" s="189">
        <f>Inputs!C$2</f>
        <v>32</v>
      </c>
      <c r="C15" s="151"/>
      <c r="D15" s="188"/>
      <c r="E15" s="148">
        <v>60</v>
      </c>
      <c r="F15" s="188"/>
      <c r="G15" s="188"/>
      <c r="H15" s="191"/>
      <c r="I15" s="210" t="str">
        <f t="shared" si="0"/>
        <v>NA</v>
      </c>
      <c r="J15" s="189">
        <f t="shared" si="2"/>
        <v>0</v>
      </c>
      <c r="K15" s="151"/>
      <c r="L15" s="211" t="str">
        <f t="shared" si="1"/>
        <v>NA</v>
      </c>
      <c r="M15" s="151"/>
      <c r="N15" s="152"/>
      <c r="O15" s="157"/>
      <c r="P15" s="187" t="str">
        <f>IF(D15=Inputs!F$4,Inputs!I$4,IF(D15=Inputs!F$2,Inputs!I$2,IF(D15=Inputs!F$3,Inputs!I$3,IF(D15=Inputs!F$5,Inputs!I$5,"NA"))))</f>
        <v>NA</v>
      </c>
    </row>
    <row r="16" spans="1:16" x14ac:dyDescent="0.25">
      <c r="A16" s="148">
        <v>10</v>
      </c>
      <c r="B16" s="189">
        <f>Inputs!C$2</f>
        <v>32</v>
      </c>
      <c r="C16" s="151"/>
      <c r="D16" s="188"/>
      <c r="E16" s="148">
        <v>60</v>
      </c>
      <c r="F16" s="188"/>
      <c r="G16" s="188"/>
      <c r="H16" s="191"/>
      <c r="I16" s="210" t="str">
        <f t="shared" si="0"/>
        <v>NA</v>
      </c>
      <c r="J16" s="189">
        <f t="shared" si="2"/>
        <v>0</v>
      </c>
      <c r="K16" s="151"/>
      <c r="L16" s="211" t="str">
        <f t="shared" si="1"/>
        <v>NA</v>
      </c>
      <c r="M16" s="151"/>
      <c r="N16" s="152"/>
      <c r="O16" s="157"/>
      <c r="P16" s="187" t="str">
        <f>IF(D16=Inputs!F$4,Inputs!I$4,IF(D16=Inputs!F$2,Inputs!I$2,IF(D16=Inputs!F$3,Inputs!I$3,IF(D16=Inputs!F$5,Inputs!I$5,"NA"))))</f>
        <v>NA</v>
      </c>
    </row>
    <row r="17" spans="1:16" x14ac:dyDescent="0.25">
      <c r="A17" s="148">
        <v>11</v>
      </c>
      <c r="B17" s="189">
        <f>Inputs!C$2</f>
        <v>32</v>
      </c>
      <c r="C17" s="151"/>
      <c r="D17" s="188"/>
      <c r="E17" s="148">
        <v>60</v>
      </c>
      <c r="F17" s="188"/>
      <c r="G17" s="188"/>
      <c r="H17" s="191"/>
      <c r="I17" s="210" t="str">
        <f t="shared" si="0"/>
        <v>NA</v>
      </c>
      <c r="J17" s="189">
        <f t="shared" si="2"/>
        <v>0</v>
      </c>
      <c r="K17" s="151"/>
      <c r="L17" s="211" t="str">
        <f t="shared" si="1"/>
        <v>NA</v>
      </c>
      <c r="M17" s="151"/>
      <c r="N17" s="152"/>
      <c r="O17" s="157"/>
      <c r="P17" s="187" t="str">
        <f>IF(D17=Inputs!F$4,Inputs!I$4,IF(D17=Inputs!F$2,Inputs!I$2,IF(D17=Inputs!F$3,Inputs!I$3,IF(D17=Inputs!F$5,Inputs!I$5,"NA"))))</f>
        <v>NA</v>
      </c>
    </row>
    <row r="18" spans="1:16" x14ac:dyDescent="0.25">
      <c r="A18" s="148">
        <v>12</v>
      </c>
      <c r="B18" s="189">
        <f>Inputs!C$2</f>
        <v>32</v>
      </c>
      <c r="C18" s="151"/>
      <c r="D18" s="188"/>
      <c r="E18" s="148">
        <v>60</v>
      </c>
      <c r="F18" s="188"/>
      <c r="G18" s="188"/>
      <c r="H18" s="191"/>
      <c r="I18" s="210" t="str">
        <f t="shared" si="0"/>
        <v>NA</v>
      </c>
      <c r="J18" s="189">
        <f t="shared" si="2"/>
        <v>0</v>
      </c>
      <c r="K18" s="151"/>
      <c r="L18" s="211" t="str">
        <f t="shared" si="1"/>
        <v>NA</v>
      </c>
      <c r="M18" s="151"/>
      <c r="N18" s="152"/>
      <c r="O18" s="157"/>
      <c r="P18" s="187" t="str">
        <f>IF(D18=Inputs!F$4,Inputs!I$4,IF(D18=Inputs!F$2,Inputs!I$2,IF(D18=Inputs!F$3,Inputs!I$3,IF(D18=Inputs!F$5,Inputs!I$5,"NA"))))</f>
        <v>NA</v>
      </c>
    </row>
    <row r="19" spans="1:16" x14ac:dyDescent="0.25">
      <c r="A19" s="148">
        <v>13</v>
      </c>
      <c r="B19" s="189">
        <f>Inputs!C$2</f>
        <v>32</v>
      </c>
      <c r="C19" s="151"/>
      <c r="D19" s="188"/>
      <c r="E19" s="148">
        <v>60</v>
      </c>
      <c r="F19" s="188"/>
      <c r="G19" s="188"/>
      <c r="H19" s="191"/>
      <c r="I19" s="210" t="str">
        <f t="shared" si="0"/>
        <v>NA</v>
      </c>
      <c r="J19" s="189">
        <f t="shared" si="2"/>
        <v>0</v>
      </c>
      <c r="K19" s="151"/>
      <c r="L19" s="211" t="str">
        <f t="shared" si="1"/>
        <v>NA</v>
      </c>
      <c r="M19" s="151"/>
      <c r="N19" s="152"/>
      <c r="O19" s="157"/>
      <c r="P19" s="187" t="str">
        <f>IF(D19=Inputs!F$4,Inputs!I$4,IF(D19=Inputs!F$2,Inputs!I$2,IF(D19=Inputs!F$3,Inputs!I$3,IF(D19=Inputs!F$5,Inputs!I$5,"NA"))))</f>
        <v>NA</v>
      </c>
    </row>
    <row r="20" spans="1:16" x14ac:dyDescent="0.25">
      <c r="A20" s="148">
        <v>14</v>
      </c>
      <c r="B20" s="189">
        <f>Inputs!C$2</f>
        <v>32</v>
      </c>
      <c r="C20" s="151"/>
      <c r="D20" s="188"/>
      <c r="E20" s="148">
        <v>60</v>
      </c>
      <c r="F20" s="188"/>
      <c r="G20" s="188"/>
      <c r="H20" s="191"/>
      <c r="I20" s="210" t="str">
        <f t="shared" si="0"/>
        <v>NA</v>
      </c>
      <c r="J20" s="189">
        <f t="shared" si="2"/>
        <v>0</v>
      </c>
      <c r="K20" s="151"/>
      <c r="L20" s="211" t="str">
        <f t="shared" si="1"/>
        <v>NA</v>
      </c>
      <c r="M20" s="151"/>
      <c r="N20" s="152"/>
      <c r="O20" s="157"/>
      <c r="P20" s="187" t="str">
        <f>IF(D20=Inputs!F$4,Inputs!I$4,IF(D20=Inputs!F$2,Inputs!I$2,IF(D20=Inputs!F$3,Inputs!I$3,IF(D20=Inputs!F$5,Inputs!I$5,"NA"))))</f>
        <v>NA</v>
      </c>
    </row>
    <row r="21" spans="1:16" x14ac:dyDescent="0.25">
      <c r="A21" s="148">
        <v>15</v>
      </c>
      <c r="B21" s="189">
        <f>Inputs!C$2</f>
        <v>32</v>
      </c>
      <c r="C21" s="151"/>
      <c r="D21" s="188"/>
      <c r="E21" s="148">
        <v>60</v>
      </c>
      <c r="F21" s="188"/>
      <c r="G21" s="188"/>
      <c r="H21" s="191"/>
      <c r="I21" s="210" t="str">
        <f t="shared" si="0"/>
        <v>NA</v>
      </c>
      <c r="J21" s="189">
        <f t="shared" si="2"/>
        <v>0</v>
      </c>
      <c r="K21" s="151"/>
      <c r="L21" s="211" t="str">
        <f t="shared" si="1"/>
        <v>NA</v>
      </c>
      <c r="M21" s="151"/>
      <c r="N21" s="152"/>
      <c r="O21" s="157"/>
      <c r="P21" s="187" t="str">
        <f>IF(D21=Inputs!F$4,Inputs!I$4,IF(D21=Inputs!F$2,Inputs!I$2,IF(D21=Inputs!F$3,Inputs!I$3,IF(D21=Inputs!F$5,Inputs!I$5,"NA"))))</f>
        <v>NA</v>
      </c>
    </row>
    <row r="22" spans="1:16" x14ac:dyDescent="0.25">
      <c r="A22" s="148">
        <v>16</v>
      </c>
      <c r="B22" s="189">
        <f>Inputs!C$2</f>
        <v>32</v>
      </c>
      <c r="C22" s="151"/>
      <c r="D22" s="188"/>
      <c r="E22" s="148">
        <v>60</v>
      </c>
      <c r="F22" s="188"/>
      <c r="G22" s="188"/>
      <c r="H22" s="191"/>
      <c r="I22" s="210" t="str">
        <f t="shared" si="0"/>
        <v>NA</v>
      </c>
      <c r="J22" s="189">
        <f t="shared" si="2"/>
        <v>0</v>
      </c>
      <c r="K22" s="235"/>
      <c r="L22" s="211" t="str">
        <f t="shared" si="1"/>
        <v>NA</v>
      </c>
      <c r="M22" s="151"/>
      <c r="N22" s="152"/>
      <c r="O22" s="157"/>
      <c r="P22" s="187" t="str">
        <f>IF(D22=Inputs!F$4,Inputs!I$4,IF(D22=Inputs!F$2,Inputs!I$2,IF(D22=Inputs!F$3,Inputs!I$3,IF(D22=Inputs!F$5,Inputs!I$5,"NA"))))</f>
        <v>NA</v>
      </c>
    </row>
    <row r="23" spans="1:16" x14ac:dyDescent="0.25">
      <c r="A23" s="148">
        <v>17</v>
      </c>
      <c r="B23" s="189">
        <f>Inputs!C$2</f>
        <v>32</v>
      </c>
      <c r="C23" s="151"/>
      <c r="D23" s="188"/>
      <c r="E23" s="148">
        <v>60</v>
      </c>
      <c r="F23" s="188"/>
      <c r="G23" s="188"/>
      <c r="H23" s="191"/>
      <c r="I23" s="210" t="str">
        <f t="shared" si="0"/>
        <v>NA</v>
      </c>
      <c r="J23" s="189">
        <f t="shared" si="2"/>
        <v>0</v>
      </c>
      <c r="K23" s="151"/>
      <c r="L23" s="211" t="str">
        <f t="shared" si="1"/>
        <v>NA</v>
      </c>
      <c r="M23" s="151"/>
      <c r="N23" s="152"/>
      <c r="O23" s="157"/>
      <c r="P23" s="187" t="str">
        <f>IF(D23=Inputs!F$4,Inputs!I$4,IF(D23=Inputs!F$2,Inputs!I$2,IF(D23=Inputs!F$3,Inputs!I$3,IF(D23=Inputs!F$5,Inputs!I$5,"NA"))))</f>
        <v>NA</v>
      </c>
    </row>
    <row r="24" spans="1:16" x14ac:dyDescent="0.25">
      <c r="A24" s="148">
        <v>18</v>
      </c>
      <c r="B24" s="189">
        <f>Inputs!C$2</f>
        <v>32</v>
      </c>
      <c r="C24" s="151"/>
      <c r="D24" s="188"/>
      <c r="E24" s="148">
        <v>60</v>
      </c>
      <c r="F24" s="188"/>
      <c r="G24" s="188"/>
      <c r="H24" s="191"/>
      <c r="I24" s="210" t="str">
        <f t="shared" si="0"/>
        <v>NA</v>
      </c>
      <c r="J24" s="189">
        <f t="shared" si="2"/>
        <v>0</v>
      </c>
      <c r="K24" s="151"/>
      <c r="L24" s="211" t="str">
        <f t="shared" si="1"/>
        <v>NA</v>
      </c>
      <c r="M24" s="151"/>
      <c r="N24" s="152"/>
      <c r="O24" s="157"/>
      <c r="P24" s="187" t="str">
        <f>IF(D24=Inputs!F$4,Inputs!I$4,IF(D24=Inputs!F$2,Inputs!I$2,IF(D24=Inputs!F$3,Inputs!I$3,IF(D24=Inputs!F$5,Inputs!I$5,"NA"))))</f>
        <v>NA</v>
      </c>
    </row>
    <row r="25" spans="1:16" x14ac:dyDescent="0.25">
      <c r="A25" s="148">
        <v>19</v>
      </c>
      <c r="B25" s="189">
        <f>Inputs!C$2</f>
        <v>32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IF(D25=Inputs!F$4,Inputs!I$4,IF(D25=Inputs!F$2,Inputs!I$2,IF(D25=Inputs!F$3,Inputs!I$3,IF(D25=Inputs!F$5,Inputs!I$5,"NA"))))</f>
        <v>NA</v>
      </c>
    </row>
    <row r="26" spans="1:16" x14ac:dyDescent="0.25">
      <c r="A26" s="148">
        <v>20</v>
      </c>
      <c r="B26" s="189">
        <f>Inputs!C$2</f>
        <v>32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IF(D26=Inputs!F$4,Inputs!I$4,IF(D26=Inputs!F$2,Inputs!I$2,IF(D26=Inputs!F$3,Inputs!I$3,IF(D26=Inputs!F$5,Inputs!I$5,"NA"))))</f>
        <v>NA</v>
      </c>
    </row>
    <row r="27" spans="1:16" x14ac:dyDescent="0.25">
      <c r="A27" s="148">
        <v>21</v>
      </c>
      <c r="B27" s="189">
        <f>Inputs!C$2</f>
        <v>32</v>
      </c>
      <c r="C27" s="151"/>
      <c r="D27" s="188"/>
      <c r="E27" s="148"/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IF(D27=Inputs!F$4,Inputs!I$4,IF(D27=Inputs!F$2,Inputs!I$2,IF(D27=Inputs!F$3,Inputs!I$3,IF(D27=Inputs!F$5,Inputs!I$5,"NA"))))</f>
        <v>NA</v>
      </c>
    </row>
    <row r="28" spans="1:16" x14ac:dyDescent="0.25">
      <c r="A28" s="148">
        <v>22</v>
      </c>
      <c r="B28" s="189">
        <f>Inputs!C$2</f>
        <v>32</v>
      </c>
      <c r="C28" s="151"/>
      <c r="D28" s="188"/>
      <c r="E28" s="148"/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IF(D28=Inputs!F$4,Inputs!I$4,IF(D28=Inputs!F$2,Inputs!I$2,IF(D28=Inputs!F$3,Inputs!I$3,IF(D28=Inputs!F$5,Inputs!I$5,"NA"))))</f>
        <v>NA</v>
      </c>
    </row>
    <row r="29" spans="1:16" x14ac:dyDescent="0.25">
      <c r="A29" s="148">
        <v>23</v>
      </c>
      <c r="B29" s="189">
        <f>Inputs!C$2</f>
        <v>32</v>
      </c>
      <c r="C29" s="151"/>
      <c r="D29" s="188"/>
      <c r="E29" s="148"/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IF(D29=Inputs!F$4,Inputs!I$4,IF(D29=Inputs!F$2,Inputs!I$2,IF(D29=Inputs!F$3,Inputs!I$3,IF(D29=Inputs!F$5,Inputs!I$5,"NA"))))</f>
        <v>NA</v>
      </c>
    </row>
    <row r="30" spans="1:16" x14ac:dyDescent="0.25">
      <c r="A30" s="148">
        <v>24</v>
      </c>
      <c r="B30" s="189">
        <f>Inputs!C$2</f>
        <v>32</v>
      </c>
      <c r="C30" s="151"/>
      <c r="D30" s="188"/>
      <c r="E30" s="148"/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IF(D30=Inputs!F$4,Inputs!I$4,IF(D30=Inputs!F$2,Inputs!I$2,IF(D30=Inputs!F$3,Inputs!I$3,IF(D30=Inputs!F$5,Inputs!I$5,"NA"))))</f>
        <v>NA</v>
      </c>
    </row>
    <row r="31" spans="1:16" x14ac:dyDescent="0.25">
      <c r="A31" s="148">
        <v>25</v>
      </c>
      <c r="B31" s="189">
        <f>Inputs!C$2</f>
        <v>32</v>
      </c>
      <c r="C31" s="151"/>
      <c r="D31" s="188"/>
      <c r="E31" s="148"/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IF(D31=Inputs!F$4,Inputs!I$4,IF(D31=Inputs!F$2,Inputs!I$2,IF(D31=Inputs!F$3,Inputs!I$3,IF(D31=Inputs!F$5,Inputs!I$5,"NA"))))</f>
        <v>NA</v>
      </c>
    </row>
    <row r="32" spans="1:16" x14ac:dyDescent="0.25">
      <c r="A32" s="148">
        <v>26</v>
      </c>
      <c r="B32" s="189">
        <f>Inputs!C$2</f>
        <v>32</v>
      </c>
      <c r="C32" s="151"/>
      <c r="D32" s="188"/>
      <c r="E32" s="148"/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IF(D32=Inputs!F$4,Inputs!I$4,IF(D32=Inputs!F$2,Inputs!I$2,IF(D32=Inputs!F$3,Inputs!I$3,IF(D32=Inputs!F$5,Inputs!I$5,"NA"))))</f>
        <v>NA</v>
      </c>
    </row>
    <row r="33" spans="1:16" x14ac:dyDescent="0.25">
      <c r="A33" s="148">
        <v>27</v>
      </c>
      <c r="B33" s="189">
        <f>Inputs!C$2</f>
        <v>32</v>
      </c>
      <c r="C33" s="151"/>
      <c r="D33" s="188"/>
      <c r="E33" s="148"/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IF(D33=Inputs!F$4,Inputs!I$4,IF(D33=Inputs!F$2,Inputs!I$2,IF(D33=Inputs!F$3,Inputs!I$3,IF(D33=Inputs!F$5,Inputs!I$5,"NA"))))</f>
        <v>NA</v>
      </c>
    </row>
    <row r="34" spans="1:16" x14ac:dyDescent="0.25">
      <c r="A34" s="148">
        <v>28</v>
      </c>
      <c r="B34" s="189">
        <f>Inputs!C$2</f>
        <v>32</v>
      </c>
      <c r="C34" s="151"/>
      <c r="D34" s="188"/>
      <c r="E34" s="148"/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IF(D34=Inputs!F$4,Inputs!I$4,IF(D34=Inputs!F$2,Inputs!I$2,IF(D34=Inputs!F$3,Inputs!I$3,IF(D34=Inputs!F$5,Inputs!I$5,"NA"))))</f>
        <v>NA</v>
      </c>
    </row>
    <row r="35" spans="1:16" x14ac:dyDescent="0.25">
      <c r="A35" s="148">
        <v>29</v>
      </c>
      <c r="B35" s="189">
        <f>Inputs!C$2</f>
        <v>32</v>
      </c>
      <c r="C35" s="151"/>
      <c r="D35" s="188"/>
      <c r="E35" s="148"/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IF(D35=Inputs!F$4,Inputs!I$4,IF(D35=Inputs!F$2,Inputs!I$2,IF(D35=Inputs!F$3,Inputs!I$3,IF(D35=Inputs!F$5,Inputs!I$5,"NA"))))</f>
        <v>NA</v>
      </c>
    </row>
    <row r="36" spans="1:16" x14ac:dyDescent="0.25">
      <c r="A36" s="148">
        <v>30</v>
      </c>
      <c r="B36" s="189">
        <f>Inputs!C$2</f>
        <v>32</v>
      </c>
      <c r="C36" s="151"/>
      <c r="D36" s="188"/>
      <c r="E36" s="148"/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IF(D36=Inputs!F$4,Inputs!I$4,IF(D36=Inputs!F$2,Inputs!I$2,IF(D36=Inputs!F$3,Inputs!I$3,IF(D36=Inputs!F$5,Inputs!I$5,"NA"))))</f>
        <v>NA</v>
      </c>
    </row>
    <row r="37" spans="1:16" x14ac:dyDescent="0.25">
      <c r="A37" s="148">
        <v>31</v>
      </c>
      <c r="B37" s="189">
        <f>Inputs!C$2</f>
        <v>32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IF(D37=Inputs!F$4,Inputs!I$4,IF(D37=Inputs!F$2,Inputs!I$2,IF(D37=Inputs!F$3,Inputs!I$3,IF(D37=Inputs!F$5,Inputs!I$5,"NA"))))</f>
        <v>NA</v>
      </c>
    </row>
    <row r="38" spans="1:16" x14ac:dyDescent="0.25">
      <c r="A38" s="148">
        <v>32</v>
      </c>
      <c r="B38" s="189">
        <f>Inputs!C$2</f>
        <v>32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IF(D38=Inputs!F$4,Inputs!I$4,IF(D38=Inputs!F$2,Inputs!I$2,IF(D38=Inputs!F$3,Inputs!I$3,IF(D38=Inputs!F$5,Inputs!I$5,"NA"))))</f>
        <v>NA</v>
      </c>
    </row>
    <row r="39" spans="1:16" x14ac:dyDescent="0.25">
      <c r="A39" s="148">
        <v>33</v>
      </c>
      <c r="B39" s="189">
        <f>Inputs!C$2</f>
        <v>32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IF(D39=Inputs!F$4,Inputs!I$4,IF(D39=Inputs!F$2,Inputs!I$2,IF(D39=Inputs!F$3,Inputs!I$3,IF(D39=Inputs!F$5,Inputs!I$5,"NA"))))</f>
        <v>NA</v>
      </c>
    </row>
    <row r="40" spans="1:16" x14ac:dyDescent="0.25">
      <c r="A40" s="148">
        <v>34</v>
      </c>
      <c r="B40" s="189">
        <f>Inputs!C$2</f>
        <v>32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IF(D40=Inputs!F$4,Inputs!I$4,IF(D40=Inputs!F$2,Inputs!I$2,IF(D40=Inputs!F$3,Inputs!I$3,IF(D40=Inputs!F$5,Inputs!I$5,"NA"))))</f>
        <v>NA</v>
      </c>
    </row>
    <row r="41" spans="1:16" x14ac:dyDescent="0.25">
      <c r="A41" s="148">
        <v>35</v>
      </c>
      <c r="B41" s="189">
        <f>Inputs!C$2</f>
        <v>32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IF(D41=Inputs!F$4,Inputs!I$4,IF(D41=Inputs!F$2,Inputs!I$2,IF(D41=Inputs!F$3,Inputs!I$3,IF(D41=Inputs!F$5,Inputs!I$5,"NA"))))</f>
        <v>NA</v>
      </c>
    </row>
    <row r="42" spans="1:16" x14ac:dyDescent="0.25">
      <c r="A42" s="148">
        <v>36</v>
      </c>
      <c r="B42" s="189">
        <f>Inputs!C$2</f>
        <v>32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IF(D42=Inputs!F$4,Inputs!I$4,IF(D42=Inputs!F$2,Inputs!I$2,IF(D42=Inputs!F$3,Inputs!I$3,IF(D42=Inputs!F$5,Inputs!I$5,"NA"))))</f>
        <v>NA</v>
      </c>
    </row>
    <row r="43" spans="1:16" x14ac:dyDescent="0.25">
      <c r="A43" s="148">
        <v>37</v>
      </c>
      <c r="B43" s="189">
        <f>Inputs!C$2</f>
        <v>32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IF(D43=Inputs!F$4,Inputs!I$4,IF(D43=Inputs!F$2,Inputs!I$2,IF(D43=Inputs!F$3,Inputs!I$3,IF(D43=Inputs!F$5,Inputs!I$5,"NA"))))</f>
        <v>NA</v>
      </c>
    </row>
    <row r="44" spans="1:16" x14ac:dyDescent="0.25">
      <c r="A44" s="148">
        <v>38</v>
      </c>
      <c r="B44" s="189">
        <f>Inputs!C$2</f>
        <v>32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IF(D44=Inputs!F$4,Inputs!I$4,IF(D44=Inputs!F$2,Inputs!I$2,IF(D44=Inputs!F$3,Inputs!I$3,IF(D44=Inputs!F$5,Inputs!I$5,"NA"))))</f>
        <v>NA</v>
      </c>
    </row>
    <row r="45" spans="1:16" x14ac:dyDescent="0.25">
      <c r="A45" s="148">
        <v>39</v>
      </c>
      <c r="B45" s="189">
        <f>Inputs!C$2</f>
        <v>32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IF(D45=Inputs!F$4,Inputs!I$4,IF(D45=Inputs!F$2,Inputs!I$2,IF(D45=Inputs!F$3,Inputs!I$3,IF(D45=Inputs!F$5,Inputs!I$5,"NA"))))</f>
        <v>NA</v>
      </c>
    </row>
    <row r="46" spans="1:16" x14ac:dyDescent="0.25">
      <c r="A46" s="148">
        <v>40</v>
      </c>
      <c r="B46" s="189">
        <f>Inputs!C$2</f>
        <v>32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IF(D46=Inputs!F$4,Inputs!I$4,IF(D46=Inputs!F$2,Inputs!I$2,IF(D46=Inputs!F$3,Inputs!I$3,IF(D46=Inputs!F$5,Inputs!I$5,"NA"))))</f>
        <v>NA</v>
      </c>
    </row>
    <row r="47" spans="1:16" x14ac:dyDescent="0.25">
      <c r="A47" s="148">
        <v>41</v>
      </c>
      <c r="B47" s="189">
        <f>Inputs!C$2</f>
        <v>32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IF(D47=Inputs!F$4,Inputs!I$4,IF(D47=Inputs!F$2,Inputs!I$2,IF(D47=Inputs!F$3,Inputs!I$3,IF(D47=Inputs!F$5,Inputs!I$5,"NA"))))</f>
        <v>NA</v>
      </c>
    </row>
    <row r="48" spans="1:16" x14ac:dyDescent="0.25">
      <c r="A48" s="148">
        <v>42</v>
      </c>
      <c r="B48" s="189">
        <f>Inputs!C$2</f>
        <v>32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IF(D48=Inputs!F$4,Inputs!I$4,IF(D48=Inputs!F$2,Inputs!I$2,IF(D48=Inputs!F$3,Inputs!I$3,IF(D48=Inputs!F$5,Inputs!I$5,"NA"))))</f>
        <v>NA</v>
      </c>
    </row>
    <row r="49" spans="1:16" x14ac:dyDescent="0.25">
      <c r="A49" s="148">
        <v>43</v>
      </c>
      <c r="B49" s="189">
        <f>Inputs!C$2</f>
        <v>32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IF(D49=Inputs!F$4,Inputs!I$4,IF(D49=Inputs!F$2,Inputs!I$2,IF(D49=Inputs!F$3,Inputs!I$3,IF(D49=Inputs!F$5,Inputs!I$5,"NA"))))</f>
        <v>NA</v>
      </c>
    </row>
    <row r="50" spans="1:16" x14ac:dyDescent="0.25">
      <c r="A50" s="148">
        <v>44</v>
      </c>
      <c r="B50" s="189">
        <f>Inputs!C$2</f>
        <v>32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IF(D50=Inputs!F$4,Inputs!I$4,IF(D50=Inputs!F$2,Inputs!I$2,IF(D50=Inputs!F$3,Inputs!I$3,IF(D50=Inputs!F$5,Inputs!I$5,"NA"))))</f>
        <v>NA</v>
      </c>
    </row>
    <row r="51" spans="1:16" x14ac:dyDescent="0.25">
      <c r="A51" s="148">
        <v>45</v>
      </c>
      <c r="B51" s="189">
        <f>Inputs!C$2</f>
        <v>32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IF(D51=Inputs!F$4,Inputs!I$4,IF(D51=Inputs!F$2,Inputs!I$2,IF(D51=Inputs!F$3,Inputs!I$3,IF(D51=Inputs!F$5,Inputs!I$5,"NA"))))</f>
        <v>NA</v>
      </c>
    </row>
    <row r="52" spans="1:16" x14ac:dyDescent="0.25">
      <c r="A52" s="148">
        <v>46</v>
      </c>
      <c r="B52" s="189">
        <f>Inputs!C$2</f>
        <v>32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IF(D52=Inputs!F$4,Inputs!I$4,IF(D52=Inputs!F$2,Inputs!I$2,IF(D52=Inputs!F$3,Inputs!I$3,IF(D52=Inputs!F$5,Inputs!I$5,"NA"))))</f>
        <v>NA</v>
      </c>
    </row>
    <row r="53" spans="1:16" x14ac:dyDescent="0.25">
      <c r="A53" s="148">
        <v>47</v>
      </c>
      <c r="B53" s="189">
        <f>Inputs!C$2</f>
        <v>32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IF(D53=Inputs!F$4,Inputs!I$4,IF(D53=Inputs!F$2,Inputs!I$2,IF(D53=Inputs!F$3,Inputs!I$3,IF(D53=Inputs!F$5,Inputs!I$5,"NA"))))</f>
        <v>NA</v>
      </c>
    </row>
    <row r="54" spans="1:16" x14ac:dyDescent="0.25">
      <c r="A54" s="148">
        <v>48</v>
      </c>
      <c r="B54" s="189">
        <f>Inputs!C$2</f>
        <v>32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IF(D54=Inputs!F$4,Inputs!I$4,IF(D54=Inputs!F$2,Inputs!I$2,IF(D54=Inputs!F$3,Inputs!I$3,IF(D54=Inputs!F$5,Inputs!I$5,"NA"))))</f>
        <v>NA</v>
      </c>
    </row>
    <row r="55" spans="1:16" x14ac:dyDescent="0.25">
      <c r="A55" s="148">
        <v>49</v>
      </c>
      <c r="B55" s="189">
        <f>Inputs!C$2</f>
        <v>32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IF(D55=Inputs!F$4,Inputs!I$4,IF(D55=Inputs!F$2,Inputs!I$2,IF(D55=Inputs!F$3,Inputs!I$3,IF(D55=Inputs!F$5,Inputs!I$5,"NA"))))</f>
        <v>NA</v>
      </c>
    </row>
    <row r="56" spans="1:16" x14ac:dyDescent="0.25">
      <c r="A56" s="148">
        <v>50</v>
      </c>
      <c r="B56" s="189">
        <f>Inputs!C$2</f>
        <v>32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IF(D56=Inputs!F$4,Inputs!I$4,IF(D56=Inputs!F$2,Inputs!I$2,IF(D56=Inputs!F$3,Inputs!I$3,IF(D56=Inputs!F$5,Inputs!I$5,"NA"))))</f>
        <v>NA</v>
      </c>
    </row>
    <row r="57" spans="1:16" x14ac:dyDescent="0.25">
      <c r="A57" s="148">
        <v>51</v>
      </c>
      <c r="B57" s="189">
        <f>Inputs!C$2</f>
        <v>32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IF(D57=Inputs!F$4,Inputs!I$4,IF(D57=Inputs!F$2,Inputs!I$2,IF(D57=Inputs!F$3,Inputs!I$3,IF(D57=Inputs!F$5,Inputs!I$5,"NA"))))</f>
        <v>NA</v>
      </c>
    </row>
    <row r="58" spans="1:16" x14ac:dyDescent="0.25">
      <c r="A58" s="148">
        <v>52</v>
      </c>
      <c r="B58" s="189">
        <f>Inputs!C$2</f>
        <v>32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IF(D58=Inputs!F$4,Inputs!I$4,IF(D58=Inputs!F$2,Inputs!I$2,IF(D58=Inputs!F$3,Inputs!I$3,IF(D58=Inputs!F$5,Inputs!I$5,"NA"))))</f>
        <v>NA</v>
      </c>
    </row>
    <row r="59" spans="1:16" x14ac:dyDescent="0.25">
      <c r="A59" s="148">
        <v>53</v>
      </c>
      <c r="B59" s="189">
        <f>Inputs!C$2</f>
        <v>32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IF(D59=Inputs!F$4,Inputs!I$4,IF(D59=Inputs!F$2,Inputs!I$2,IF(D59=Inputs!F$3,Inputs!I$3,IF(D59=Inputs!F$5,Inputs!I$5,"NA"))))</f>
        <v>NA</v>
      </c>
    </row>
    <row r="60" spans="1:16" x14ac:dyDescent="0.25">
      <c r="A60" s="148">
        <v>54</v>
      </c>
      <c r="B60" s="189">
        <f>Inputs!C$2</f>
        <v>32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IF(D60=Inputs!F$4,Inputs!I$4,IF(D60=Inputs!F$2,Inputs!I$2,IF(D60=Inputs!F$3,Inputs!I$3,IF(D60=Inputs!F$5,Inputs!I$5,"NA"))))</f>
        <v>NA</v>
      </c>
    </row>
    <row r="61" spans="1:16" x14ac:dyDescent="0.25">
      <c r="A61" s="148">
        <v>55</v>
      </c>
      <c r="B61" s="189">
        <f>Inputs!C$2</f>
        <v>32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IF(D61=Inputs!F$4,Inputs!I$4,IF(D61=Inputs!F$2,Inputs!I$2,IF(D61=Inputs!F$3,Inputs!I$3,IF(D61=Inputs!F$5,Inputs!I$5,"NA"))))</f>
        <v>NA</v>
      </c>
    </row>
    <row r="62" spans="1:16" x14ac:dyDescent="0.25">
      <c r="A62" s="148">
        <v>56</v>
      </c>
      <c r="B62" s="189">
        <f>Inputs!C$2</f>
        <v>32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IF(D62=Inputs!F$4,Inputs!I$4,IF(D62=Inputs!F$2,Inputs!I$2,IF(D62=Inputs!F$3,Inputs!I$3,IF(D62=Inputs!F$5,Inputs!I$5,"NA"))))</f>
        <v>NA</v>
      </c>
    </row>
    <row r="63" spans="1:16" x14ac:dyDescent="0.25">
      <c r="A63" s="148">
        <v>57</v>
      </c>
      <c r="B63" s="189">
        <f>Inputs!C$2</f>
        <v>32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IF(D63=Inputs!F$4,Inputs!I$4,IF(D63=Inputs!F$2,Inputs!I$2,IF(D63=Inputs!F$3,Inputs!I$3,IF(D63=Inputs!F$5,Inputs!I$5,"NA"))))</f>
        <v>NA</v>
      </c>
    </row>
    <row r="64" spans="1:16" x14ac:dyDescent="0.25">
      <c r="A64" s="148">
        <v>58</v>
      </c>
      <c r="B64" s="189">
        <f>Inputs!C$2</f>
        <v>32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IF(D64=Inputs!F$4,Inputs!I$4,IF(D64=Inputs!F$2,Inputs!I$2,IF(D64=Inputs!F$3,Inputs!I$3,IF(D64=Inputs!F$5,Inputs!I$5,"NA"))))</f>
        <v>NA</v>
      </c>
    </row>
    <row r="65" spans="1:16" x14ac:dyDescent="0.25">
      <c r="A65" s="148">
        <v>59</v>
      </c>
      <c r="B65" s="189">
        <f>Inputs!C$2</f>
        <v>32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IF(D65=Inputs!F$4,Inputs!I$4,IF(D65=Inputs!F$2,Inputs!I$2,IF(D65=Inputs!F$3,Inputs!I$3,IF(D65=Inputs!F$5,Inputs!I$5,"NA"))))</f>
        <v>NA</v>
      </c>
    </row>
    <row r="66" spans="1:16" x14ac:dyDescent="0.25">
      <c r="A66" s="148">
        <v>60</v>
      </c>
      <c r="B66" s="189">
        <f>Inputs!C$2</f>
        <v>32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IF(D66=Inputs!F$4,Inputs!I$4,IF(D66=Inputs!F$2,Inputs!I$2,IF(D66=Inputs!F$3,Inputs!I$3,IF(D66=Inputs!F$5,Inputs!I$5,"NA"))))</f>
        <v>NA</v>
      </c>
    </row>
    <row r="67" spans="1:16" x14ac:dyDescent="0.25">
      <c r="A67" s="148">
        <v>61</v>
      </c>
      <c r="B67" s="189">
        <f>Inputs!C$2</f>
        <v>32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IF(D67=Inputs!F$4,Inputs!I$4,IF(D67=Inputs!F$2,Inputs!I$2,IF(D67=Inputs!F$3,Inputs!I$3,IF(D67=Inputs!F$5,Inputs!I$5,"NA"))))</f>
        <v>NA</v>
      </c>
    </row>
    <row r="68" spans="1:16" x14ac:dyDescent="0.25">
      <c r="A68" s="148">
        <v>62</v>
      </c>
      <c r="B68" s="189">
        <f>Inputs!C$2</f>
        <v>32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IF(D68=Inputs!F$4,Inputs!I$4,IF(D68=Inputs!F$2,Inputs!I$2,IF(D68=Inputs!F$3,Inputs!I$3,IF(D68=Inputs!F$5,Inputs!I$5,"NA"))))</f>
        <v>NA</v>
      </c>
    </row>
    <row r="69" spans="1:16" x14ac:dyDescent="0.25">
      <c r="A69" s="148">
        <v>63</v>
      </c>
      <c r="B69" s="189">
        <f>Inputs!C$2</f>
        <v>32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IF(D69=Inputs!F$4,Inputs!I$4,IF(D69=Inputs!F$2,Inputs!I$2,IF(D69=Inputs!F$3,Inputs!I$3,IF(D69=Inputs!F$5,Inputs!I$5,"NA"))))</f>
        <v>NA</v>
      </c>
    </row>
    <row r="70" spans="1:16" x14ac:dyDescent="0.25">
      <c r="A70" s="148">
        <v>64</v>
      </c>
      <c r="B70" s="189">
        <f>Inputs!C$2</f>
        <v>32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IF(D70=Inputs!F$4,Inputs!I$4,IF(D70=Inputs!F$2,Inputs!I$2,IF(D70=Inputs!F$3,Inputs!I$3,IF(D70=Inputs!F$5,Inputs!I$5,"NA"))))</f>
        <v>NA</v>
      </c>
    </row>
    <row r="71" spans="1:16" x14ac:dyDescent="0.25">
      <c r="A71" s="148">
        <v>65</v>
      </c>
      <c r="B71" s="189">
        <f>Inputs!C$2</f>
        <v>32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IF(D71=Inputs!F$4,Inputs!I$4,IF(D71=Inputs!F$2,Inputs!I$2,IF(D71=Inputs!F$3,Inputs!I$3,IF(D71=Inputs!F$5,Inputs!I$5,"NA"))))</f>
        <v>NA</v>
      </c>
    </row>
    <row r="72" spans="1:16" x14ac:dyDescent="0.25">
      <c r="A72" s="148">
        <v>66</v>
      </c>
      <c r="B72" s="189">
        <f>Inputs!C$2</f>
        <v>32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IF(D72=Inputs!F$4,Inputs!I$4,IF(D72=Inputs!F$2,Inputs!I$2,IF(D72=Inputs!F$3,Inputs!I$3,IF(D72=Inputs!F$5,Inputs!I$5,"NA"))))</f>
        <v>NA</v>
      </c>
    </row>
    <row r="73" spans="1:16" x14ac:dyDescent="0.25">
      <c r="A73" s="148">
        <v>67</v>
      </c>
      <c r="B73" s="189">
        <f>Inputs!C$2</f>
        <v>32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IF(D73=Inputs!F$4,Inputs!I$4,IF(D73=Inputs!F$2,Inputs!I$2,IF(D73=Inputs!F$3,Inputs!I$3,IF(D73=Inputs!F$5,Inputs!I$5,"NA"))))</f>
        <v>NA</v>
      </c>
    </row>
    <row r="74" spans="1:16" x14ac:dyDescent="0.25">
      <c r="A74" s="148">
        <v>68</v>
      </c>
      <c r="B74" s="189">
        <f>Inputs!C$2</f>
        <v>32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IF(D74=Inputs!F$4,Inputs!I$4,IF(D74=Inputs!F$2,Inputs!I$2,IF(D74=Inputs!F$3,Inputs!I$3,IF(D74=Inputs!F$5,Inputs!I$5,"NA"))))</f>
        <v>NA</v>
      </c>
    </row>
    <row r="75" spans="1:16" x14ac:dyDescent="0.25">
      <c r="A75" s="148">
        <v>69</v>
      </c>
      <c r="B75" s="189">
        <f>Inputs!C$2</f>
        <v>32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IF(D75=Inputs!F$4,Inputs!I$4,IF(D75=Inputs!F$2,Inputs!I$2,IF(D75=Inputs!F$3,Inputs!I$3,IF(D75=Inputs!F$5,Inputs!I$5,"NA"))))</f>
        <v>NA</v>
      </c>
    </row>
    <row r="76" spans="1:16" x14ac:dyDescent="0.25">
      <c r="A76" s="148">
        <v>70</v>
      </c>
      <c r="B76" s="189">
        <f>Inputs!C$2</f>
        <v>32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IF(D76=Inputs!F$4,Inputs!I$4,IF(D76=Inputs!F$2,Inputs!I$2,IF(D76=Inputs!F$3,Inputs!I$3,IF(D76=Inputs!F$5,Inputs!I$5,"NA"))))</f>
        <v>NA</v>
      </c>
    </row>
    <row r="77" spans="1:16" x14ac:dyDescent="0.25">
      <c r="A77" s="148">
        <v>71</v>
      </c>
      <c r="B77" s="189">
        <f>Inputs!C$2</f>
        <v>32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IF(D77=Inputs!F$4,Inputs!I$4,IF(D77=Inputs!F$2,Inputs!I$2,IF(D77=Inputs!F$3,Inputs!I$3,IF(D77=Inputs!F$5,Inputs!I$5,"NA"))))</f>
        <v>NA</v>
      </c>
    </row>
    <row r="78" spans="1:16" x14ac:dyDescent="0.25">
      <c r="A78" s="148">
        <v>72</v>
      </c>
      <c r="B78" s="189">
        <f>Inputs!C$2</f>
        <v>32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IF(D78=Inputs!F$4,Inputs!I$4,IF(D78=Inputs!F$2,Inputs!I$2,IF(D78=Inputs!F$3,Inputs!I$3,IF(D78=Inputs!F$5,Inputs!I$5,"NA"))))</f>
        <v>NA</v>
      </c>
    </row>
    <row r="79" spans="1:16" x14ac:dyDescent="0.25">
      <c r="A79" s="148">
        <v>73</v>
      </c>
      <c r="B79" s="189">
        <f>Inputs!C$2</f>
        <v>32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IF(D79=Inputs!F$4,Inputs!I$4,IF(D79=Inputs!F$2,Inputs!I$2,IF(D79=Inputs!F$3,Inputs!I$3,IF(D79=Inputs!F$5,Inputs!I$5,"NA"))))</f>
        <v>NA</v>
      </c>
    </row>
    <row r="80" spans="1:16" x14ac:dyDescent="0.25">
      <c r="A80" s="148">
        <v>74</v>
      </c>
      <c r="B80" s="189">
        <f>Inputs!C$2</f>
        <v>32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IF(D80=Inputs!F$4,Inputs!I$4,IF(D80=Inputs!F$2,Inputs!I$2,IF(D80=Inputs!F$3,Inputs!I$3,IF(D80=Inputs!F$5,Inputs!I$5,"NA"))))</f>
        <v>NA</v>
      </c>
    </row>
    <row r="81" spans="1:16" x14ac:dyDescent="0.25">
      <c r="A81" s="148">
        <v>75</v>
      </c>
      <c r="B81" s="189">
        <f>Inputs!C$2</f>
        <v>32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IF(D81=Inputs!F$4,Inputs!I$4,IF(D81=Inputs!F$2,Inputs!I$2,IF(D81=Inputs!F$3,Inputs!I$3,IF(D81=Inputs!F$5,Inputs!I$5,"NA"))))</f>
        <v>NA</v>
      </c>
    </row>
    <row r="82" spans="1:16" x14ac:dyDescent="0.25">
      <c r="A82" s="148">
        <v>76</v>
      </c>
      <c r="B82" s="189">
        <f>Inputs!C$2</f>
        <v>32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IF(D82=Inputs!F$4,Inputs!I$4,IF(D82=Inputs!F$2,Inputs!I$2,IF(D82=Inputs!F$3,Inputs!I$3,IF(D82=Inputs!F$5,Inputs!I$5,"NA"))))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  <x14:dataValidation type="list" allowBlank="1" showInputMessage="1" showErrorMessage="1" xr:uid="{00000000-0002-0000-0500-000003000000}">
          <x14:formula1>
            <xm:f>'Producer Number'!$A$3:$A$22</xm:f>
          </x14:formula1>
          <x14:formula2>
            <xm:f>0</xm:f>
          </x14:formula2>
          <xm:sqref>D3:D5</xm:sqref>
        </x14:dataValidation>
        <x14:dataValidation type="list" allowBlank="1" showInputMessage="1" showErrorMessage="1" xr:uid="{A285B986-F773-4166-ABD8-870C5880BA7B}">
          <x14:formula1>
            <xm:f>'Producer Number'!$A$2:$A$6</xm:f>
          </x14:formula1>
          <xm:sqref>D7:D82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view="pageLayout" zoomScaleNormal="100" workbookViewId="0">
      <selection activeCell="K14" sqref="K14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.5703125" customWidth="1"/>
    <col min="9" max="9" width="7.42578125" customWidth="1"/>
    <col min="10" max="11" width="7.140625" customWidth="1"/>
    <col min="12" max="12" width="4.85546875" customWidth="1"/>
  </cols>
  <sheetData>
    <row r="1" spans="1:12" x14ac:dyDescent="0.2">
      <c r="B1" s="170" t="s">
        <v>194</v>
      </c>
      <c r="C1" s="168">
        <v>2025</v>
      </c>
      <c r="G1" s="166" t="s">
        <v>199</v>
      </c>
      <c r="I1" s="166" t="s">
        <v>200</v>
      </c>
      <c r="J1" s="166" t="s">
        <v>214</v>
      </c>
      <c r="K1" s="166" t="s">
        <v>203</v>
      </c>
    </row>
    <row r="2" spans="1:12" x14ac:dyDescent="0.2">
      <c r="B2" s="24" t="s">
        <v>94</v>
      </c>
      <c r="C2" s="168">
        <v>32</v>
      </c>
      <c r="F2" s="166" t="s">
        <v>5</v>
      </c>
      <c r="G2" s="186">
        <v>45390</v>
      </c>
      <c r="I2" s="205">
        <f>(C$3-G2)/7</f>
        <v>69.892857142857139</v>
      </c>
      <c r="J2" s="230">
        <f>I2-19</f>
        <v>50.892857142857139</v>
      </c>
      <c r="K2" s="166" t="s">
        <v>201</v>
      </c>
      <c r="L2">
        <v>203</v>
      </c>
    </row>
    <row r="3" spans="1:12" x14ac:dyDescent="0.2">
      <c r="B3" s="170" t="s">
        <v>193</v>
      </c>
      <c r="C3" s="246">
        <f>C2*7+(C1-1900)*365.25-1</f>
        <v>45879.25</v>
      </c>
      <c r="D3" s="247"/>
      <c r="F3" s="166" t="s">
        <v>168</v>
      </c>
      <c r="G3" s="186">
        <v>45572</v>
      </c>
      <c r="I3" s="205">
        <f>(C$3-G3)/7</f>
        <v>43.892857142857146</v>
      </c>
      <c r="J3" s="230">
        <f>I3-19</f>
        <v>24.892857142857146</v>
      </c>
      <c r="K3" s="166" t="s">
        <v>202</v>
      </c>
      <c r="L3">
        <v>192</v>
      </c>
    </row>
    <row r="4" spans="1:12" x14ac:dyDescent="0.2">
      <c r="F4" s="166" t="s">
        <v>230</v>
      </c>
      <c r="G4" s="186">
        <v>45663</v>
      </c>
      <c r="I4" s="205">
        <f>(C$3-G4)/7</f>
        <v>30.892857142857142</v>
      </c>
      <c r="J4" s="230">
        <f>I4-19</f>
        <v>11.892857142857142</v>
      </c>
    </row>
    <row r="5" spans="1:12" x14ac:dyDescent="0.2">
      <c r="A5" s="166" t="s">
        <v>204</v>
      </c>
      <c r="B5" s="248" t="s">
        <v>215</v>
      </c>
      <c r="C5" s="248"/>
      <c r="F5" s="166" t="s">
        <v>4</v>
      </c>
      <c r="G5" s="186">
        <v>45449</v>
      </c>
      <c r="I5" s="205">
        <f>(C$3-G5)/7</f>
        <v>61.464285714285715</v>
      </c>
      <c r="J5" s="230">
        <f>I5-19</f>
        <v>42.464285714285715</v>
      </c>
    </row>
    <row r="6" spans="1:12" ht="6.75" customHeight="1" x14ac:dyDescent="0.2"/>
    <row r="7" spans="1:12" x14ac:dyDescent="0.2">
      <c r="A7" s="169" t="s">
        <v>180</v>
      </c>
    </row>
    <row r="8" spans="1:12" x14ac:dyDescent="0.2">
      <c r="A8" s="167" t="s">
        <v>173</v>
      </c>
      <c r="E8" s="167" t="s">
        <v>174</v>
      </c>
    </row>
    <row r="9" spans="1:12" x14ac:dyDescent="0.2">
      <c r="A9" s="139" t="s">
        <v>172</v>
      </c>
      <c r="B9" s="139" t="s">
        <v>47</v>
      </c>
      <c r="C9" s="139" t="s">
        <v>48</v>
      </c>
      <c r="E9" s="139" t="s">
        <v>172</v>
      </c>
      <c r="F9" s="139" t="s">
        <v>47</v>
      </c>
      <c r="G9" s="139" t="s">
        <v>48</v>
      </c>
    </row>
    <row r="10" spans="1:12" x14ac:dyDescent="0.2">
      <c r="A10" s="139">
        <v>6</v>
      </c>
      <c r="B10" s="168">
        <v>208</v>
      </c>
      <c r="C10" s="165"/>
      <c r="E10" s="139">
        <v>6</v>
      </c>
      <c r="F10" s="168">
        <v>216</v>
      </c>
      <c r="G10" s="165"/>
    </row>
    <row r="11" spans="1:12" x14ac:dyDescent="0.2">
      <c r="A11" s="139">
        <v>7</v>
      </c>
      <c r="B11" s="168">
        <v>191</v>
      </c>
      <c r="C11" s="168">
        <v>22</v>
      </c>
      <c r="E11" s="139">
        <v>7</v>
      </c>
      <c r="F11" s="168">
        <v>202</v>
      </c>
      <c r="G11" s="168">
        <v>23</v>
      </c>
    </row>
    <row r="12" spans="1:12" x14ac:dyDescent="0.2">
      <c r="A12" s="139">
        <v>10</v>
      </c>
      <c r="B12" s="237">
        <v>165</v>
      </c>
      <c r="C12" s="168">
        <v>11</v>
      </c>
      <c r="E12" s="139">
        <v>10</v>
      </c>
      <c r="F12" s="168">
        <v>170</v>
      </c>
      <c r="G12" s="168">
        <v>11</v>
      </c>
    </row>
    <row r="13" spans="1:12" x14ac:dyDescent="0.2">
      <c r="A13" s="139">
        <v>11</v>
      </c>
      <c r="B13" s="168">
        <v>90</v>
      </c>
      <c r="C13" s="165"/>
      <c r="E13" s="139">
        <v>11</v>
      </c>
      <c r="F13" s="168">
        <v>117</v>
      </c>
      <c r="G13" s="165"/>
    </row>
    <row r="14" spans="1:12" x14ac:dyDescent="0.2">
      <c r="A14" s="167" t="s">
        <v>175</v>
      </c>
      <c r="E14" s="167" t="s">
        <v>176</v>
      </c>
    </row>
    <row r="15" spans="1:12" x14ac:dyDescent="0.2">
      <c r="A15" s="139" t="s">
        <v>172</v>
      </c>
      <c r="B15" s="139" t="s">
        <v>47</v>
      </c>
      <c r="C15" s="139" t="s">
        <v>48</v>
      </c>
      <c r="E15" s="139" t="s">
        <v>172</v>
      </c>
      <c r="F15" s="139" t="s">
        <v>47</v>
      </c>
      <c r="G15" s="139" t="s">
        <v>48</v>
      </c>
    </row>
    <row r="16" spans="1:12" x14ac:dyDescent="0.2">
      <c r="A16" s="139">
        <v>6</v>
      </c>
      <c r="B16" s="168">
        <v>216</v>
      </c>
      <c r="C16" s="165"/>
      <c r="E16" s="139">
        <v>6</v>
      </c>
      <c r="F16" s="168">
        <v>216</v>
      </c>
      <c r="G16" s="165"/>
    </row>
    <row r="17" spans="1:11" x14ac:dyDescent="0.2">
      <c r="A17" s="139">
        <v>7</v>
      </c>
      <c r="B17" s="168">
        <v>198</v>
      </c>
      <c r="C17" s="168">
        <v>25</v>
      </c>
      <c r="E17" s="139">
        <v>7</v>
      </c>
      <c r="F17" s="168">
        <v>197</v>
      </c>
      <c r="G17" s="168">
        <v>25</v>
      </c>
    </row>
    <row r="18" spans="1:11" x14ac:dyDescent="0.2">
      <c r="A18" s="139">
        <v>10</v>
      </c>
      <c r="B18" s="168">
        <v>171</v>
      </c>
      <c r="C18" s="168">
        <v>12</v>
      </c>
      <c r="E18" s="139">
        <v>10</v>
      </c>
      <c r="F18" s="168">
        <v>174</v>
      </c>
      <c r="G18" s="168">
        <v>11</v>
      </c>
    </row>
    <row r="19" spans="1:11" x14ac:dyDescent="0.2">
      <c r="A19" s="139">
        <v>11</v>
      </c>
      <c r="B19" s="168">
        <v>105</v>
      </c>
      <c r="C19" s="165"/>
      <c r="E19" s="139">
        <v>11</v>
      </c>
      <c r="F19" s="168">
        <v>105</v>
      </c>
      <c r="G19" s="165"/>
    </row>
    <row r="21" spans="1:11" x14ac:dyDescent="0.2">
      <c r="A21" s="167" t="s">
        <v>177</v>
      </c>
      <c r="E21" s="167" t="s">
        <v>178</v>
      </c>
    </row>
    <row r="22" spans="1:11" x14ac:dyDescent="0.2">
      <c r="A22" s="139" t="s">
        <v>172</v>
      </c>
      <c r="B22" s="139" t="s">
        <v>47</v>
      </c>
      <c r="C22" s="139" t="s">
        <v>48</v>
      </c>
      <c r="E22" s="139" t="s">
        <v>172</v>
      </c>
      <c r="F22" s="139" t="s">
        <v>47</v>
      </c>
      <c r="G22" s="139" t="s">
        <v>48</v>
      </c>
    </row>
    <row r="23" spans="1:11" x14ac:dyDescent="0.2">
      <c r="A23" s="139">
        <v>6</v>
      </c>
      <c r="B23" s="168">
        <v>210</v>
      </c>
      <c r="C23" s="165"/>
      <c r="E23" s="139">
        <v>6</v>
      </c>
      <c r="F23" s="168">
        <v>207</v>
      </c>
      <c r="G23" s="165"/>
    </row>
    <row r="24" spans="1:11" x14ac:dyDescent="0.2">
      <c r="A24" s="139">
        <v>7</v>
      </c>
      <c r="B24" s="168">
        <v>192</v>
      </c>
      <c r="C24" s="168">
        <v>22</v>
      </c>
      <c r="E24" s="139">
        <v>7</v>
      </c>
      <c r="F24" s="168">
        <v>195</v>
      </c>
      <c r="G24" s="168">
        <v>22</v>
      </c>
    </row>
    <row r="25" spans="1:11" x14ac:dyDescent="0.2">
      <c r="A25" s="139">
        <v>10</v>
      </c>
      <c r="B25" s="168">
        <v>167</v>
      </c>
      <c r="C25" s="168">
        <v>12</v>
      </c>
      <c r="E25" s="139">
        <v>10</v>
      </c>
      <c r="F25" s="168">
        <v>170</v>
      </c>
      <c r="G25" s="168">
        <v>12</v>
      </c>
    </row>
    <row r="26" spans="1:11" x14ac:dyDescent="0.2">
      <c r="A26" s="139">
        <v>11</v>
      </c>
      <c r="B26" s="168">
        <v>105</v>
      </c>
      <c r="C26" s="165"/>
      <c r="E26" s="139">
        <v>11</v>
      </c>
      <c r="F26" s="168">
        <v>107</v>
      </c>
      <c r="G26" s="165"/>
    </row>
    <row r="27" spans="1:11" x14ac:dyDescent="0.2">
      <c r="A27" s="167" t="s">
        <v>179</v>
      </c>
      <c r="E27" s="167" t="s">
        <v>181</v>
      </c>
      <c r="I27" s="167" t="s">
        <v>182</v>
      </c>
    </row>
    <row r="28" spans="1:11" x14ac:dyDescent="0.2">
      <c r="A28" s="139" t="s">
        <v>172</v>
      </c>
      <c r="B28" s="139" t="s">
        <v>47</v>
      </c>
      <c r="C28" s="139" t="s">
        <v>48</v>
      </c>
      <c r="E28" s="139" t="s">
        <v>172</v>
      </c>
      <c r="F28" s="139" t="s">
        <v>47</v>
      </c>
      <c r="G28" s="139" t="s">
        <v>48</v>
      </c>
      <c r="I28" s="139" t="s">
        <v>172</v>
      </c>
      <c r="J28" s="139" t="s">
        <v>47</v>
      </c>
      <c r="K28" s="139" t="s">
        <v>48</v>
      </c>
    </row>
    <row r="29" spans="1:11" x14ac:dyDescent="0.2">
      <c r="A29" s="139">
        <v>6</v>
      </c>
      <c r="B29" s="168">
        <v>224</v>
      </c>
      <c r="C29" s="165"/>
      <c r="E29" s="139">
        <v>6</v>
      </c>
      <c r="F29" s="203">
        <f t="shared" ref="F29:G31" si="0">B10+F10+B16+F16+B23+F23+B29</f>
        <v>1497</v>
      </c>
      <c r="G29" s="204">
        <f t="shared" si="0"/>
        <v>0</v>
      </c>
      <c r="I29" s="139">
        <v>6</v>
      </c>
      <c r="J29" s="203">
        <f t="shared" ref="J29:K31" si="1">F29*15</f>
        <v>22455</v>
      </c>
      <c r="K29" s="204">
        <f t="shared" si="1"/>
        <v>0</v>
      </c>
    </row>
    <row r="30" spans="1:11" x14ac:dyDescent="0.2">
      <c r="A30" s="139">
        <v>7</v>
      </c>
      <c r="B30" s="168">
        <v>192</v>
      </c>
      <c r="C30" s="168">
        <v>22</v>
      </c>
      <c r="E30" s="139">
        <v>7</v>
      </c>
      <c r="F30" s="203">
        <f t="shared" si="0"/>
        <v>1367</v>
      </c>
      <c r="G30" s="203">
        <f t="shared" si="0"/>
        <v>161</v>
      </c>
      <c r="I30" s="139">
        <v>7</v>
      </c>
      <c r="J30" s="203">
        <f t="shared" si="1"/>
        <v>20505</v>
      </c>
      <c r="K30" s="203">
        <f t="shared" si="1"/>
        <v>2415</v>
      </c>
    </row>
    <row r="31" spans="1:11" x14ac:dyDescent="0.2">
      <c r="A31" s="139">
        <v>10</v>
      </c>
      <c r="B31" s="168">
        <v>170</v>
      </c>
      <c r="C31" s="168">
        <v>12</v>
      </c>
      <c r="E31" s="139">
        <v>10</v>
      </c>
      <c r="F31" s="203">
        <f t="shared" si="0"/>
        <v>1187</v>
      </c>
      <c r="G31" s="203">
        <f t="shared" si="0"/>
        <v>81</v>
      </c>
      <c r="I31" s="139">
        <v>10</v>
      </c>
      <c r="J31" s="203">
        <f t="shared" si="1"/>
        <v>17805</v>
      </c>
      <c r="K31" s="203">
        <f t="shared" si="1"/>
        <v>1215</v>
      </c>
    </row>
    <row r="32" spans="1:11" x14ac:dyDescent="0.2">
      <c r="A32" s="139">
        <v>11</v>
      </c>
      <c r="B32" s="168">
        <v>106</v>
      </c>
      <c r="C32" s="165"/>
      <c r="E32" s="139">
        <v>11</v>
      </c>
      <c r="F32" s="203">
        <f t="shared" ref="F32:G32" si="2">B13+F13+B19+F19+B26+F26+B32</f>
        <v>735</v>
      </c>
      <c r="G32" s="204">
        <f t="shared" si="2"/>
        <v>0</v>
      </c>
      <c r="I32" s="139">
        <v>11</v>
      </c>
      <c r="J32" s="203">
        <f>F32*15</f>
        <v>11025</v>
      </c>
      <c r="K32" s="204">
        <f>G32*180/12</f>
        <v>0</v>
      </c>
    </row>
    <row r="34" spans="1:9" x14ac:dyDescent="0.2">
      <c r="A34" s="167" t="s">
        <v>183</v>
      </c>
      <c r="G34" s="167" t="s">
        <v>209</v>
      </c>
    </row>
    <row r="35" spans="1:9" x14ac:dyDescent="0.2">
      <c r="A35" s="139"/>
      <c r="B35" s="172" t="s">
        <v>170</v>
      </c>
      <c r="C35" s="172" t="s">
        <v>171</v>
      </c>
      <c r="D35" s="172" t="s">
        <v>218</v>
      </c>
      <c r="E35" s="172" t="s">
        <v>169</v>
      </c>
      <c r="G35" s="245" t="s">
        <v>205</v>
      </c>
      <c r="H35" s="245"/>
      <c r="I35" s="225">
        <v>0</v>
      </c>
    </row>
    <row r="36" spans="1:9" x14ac:dyDescent="0.2">
      <c r="A36" s="172" t="s">
        <v>100</v>
      </c>
      <c r="B36" s="201">
        <f>B37+B38</f>
        <v>0.39700000000000002</v>
      </c>
      <c r="C36" s="201">
        <f>C37+C38</f>
        <v>0.217</v>
      </c>
      <c r="D36" s="201">
        <f>D37+D38</f>
        <v>0.23899999999999999</v>
      </c>
      <c r="E36" s="201">
        <f>E37+E38</f>
        <v>0.316</v>
      </c>
      <c r="G36" s="245" t="s">
        <v>206</v>
      </c>
      <c r="H36" s="245"/>
      <c r="I36" s="225">
        <v>0</v>
      </c>
    </row>
    <row r="37" spans="1:9" x14ac:dyDescent="0.2">
      <c r="A37" s="172" t="s">
        <v>184</v>
      </c>
      <c r="B37" s="236">
        <v>7.9000000000000001E-2</v>
      </c>
      <c r="C37" s="173">
        <v>1.7999999999999999E-2</v>
      </c>
      <c r="D37" s="173">
        <v>2.5000000000000001E-2</v>
      </c>
      <c r="E37" s="173">
        <v>4.8000000000000001E-2</v>
      </c>
      <c r="G37" s="245" t="s">
        <v>207</v>
      </c>
      <c r="H37" s="245"/>
      <c r="I37" s="225">
        <v>0</v>
      </c>
    </row>
    <row r="38" spans="1:9" x14ac:dyDescent="0.2">
      <c r="A38" s="172" t="s">
        <v>185</v>
      </c>
      <c r="B38" s="173">
        <v>0.318</v>
      </c>
      <c r="C38" s="173">
        <v>0.19900000000000001</v>
      </c>
      <c r="D38" s="173">
        <v>0.214</v>
      </c>
      <c r="E38" s="173">
        <v>0.26800000000000002</v>
      </c>
      <c r="G38" s="245" t="s">
        <v>216</v>
      </c>
      <c r="H38" s="245"/>
      <c r="I38" s="225">
        <v>0</v>
      </c>
    </row>
    <row r="39" spans="1:9" x14ac:dyDescent="0.2">
      <c r="A39" s="172" t="s">
        <v>186</v>
      </c>
      <c r="B39" s="173">
        <v>0.53900000000000003</v>
      </c>
      <c r="C39" s="173">
        <v>0.68500000000000005</v>
      </c>
      <c r="D39" s="173">
        <v>0.68700000000000006</v>
      </c>
      <c r="E39" s="173">
        <v>0.59399999999999997</v>
      </c>
      <c r="G39" s="245" t="s">
        <v>217</v>
      </c>
      <c r="H39" s="245"/>
      <c r="I39" s="225">
        <v>0</v>
      </c>
    </row>
    <row r="40" spans="1:9" x14ac:dyDescent="0.2">
      <c r="A40" s="172" t="s">
        <v>187</v>
      </c>
      <c r="B40" s="173">
        <v>0.05</v>
      </c>
      <c r="C40" s="173">
        <v>8.8999999999999996E-2</v>
      </c>
      <c r="D40" s="173">
        <v>6.4000000000000001E-2</v>
      </c>
      <c r="E40" s="173">
        <v>7.8E-2</v>
      </c>
      <c r="G40" s="245" t="s">
        <v>208</v>
      </c>
      <c r="H40" s="245"/>
      <c r="I40" s="225">
        <v>0</v>
      </c>
    </row>
    <row r="41" spans="1:9" x14ac:dyDescent="0.2">
      <c r="A41" s="172" t="s">
        <v>195</v>
      </c>
      <c r="B41" s="173">
        <v>1E-3</v>
      </c>
      <c r="C41" s="173">
        <v>1E-3</v>
      </c>
      <c r="D41" s="173">
        <v>0</v>
      </c>
      <c r="E41" s="173">
        <v>1E-3</v>
      </c>
      <c r="G41" s="245" t="s">
        <v>210</v>
      </c>
      <c r="H41" s="245"/>
      <c r="I41" s="225">
        <v>0</v>
      </c>
    </row>
    <row r="42" spans="1:9" x14ac:dyDescent="0.2">
      <c r="A42" s="172" t="s">
        <v>196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197</v>
      </c>
      <c r="B43" s="202">
        <f>SUM(B47:B50)</f>
        <v>1.3000000000000001E-2</v>
      </c>
      <c r="C43" s="202">
        <f>SUM(C47:C50)</f>
        <v>8.0000000000000002E-3</v>
      </c>
      <c r="D43" s="202">
        <f>SUM(D47:D50)</f>
        <v>0.01</v>
      </c>
      <c r="E43" s="202">
        <f>SUM(E47:E50)</f>
        <v>1.0999999999999999E-2</v>
      </c>
    </row>
    <row r="44" spans="1:9" x14ac:dyDescent="0.2">
      <c r="A44" s="233" t="s">
        <v>211</v>
      </c>
      <c r="B44" s="232">
        <v>63.04</v>
      </c>
      <c r="C44" s="232">
        <v>61.03</v>
      </c>
      <c r="D44" s="232">
        <v>61.49</v>
      </c>
      <c r="E44" s="232">
        <v>62</v>
      </c>
    </row>
    <row r="45" spans="1:9" x14ac:dyDescent="0.2">
      <c r="A45" s="233" t="s">
        <v>213</v>
      </c>
      <c r="B45" s="231">
        <f>J29</f>
        <v>22455</v>
      </c>
      <c r="C45" s="231">
        <f>J30</f>
        <v>20505</v>
      </c>
      <c r="D45" s="231">
        <f>J31+K31</f>
        <v>19020</v>
      </c>
      <c r="E45" s="231">
        <f>J32</f>
        <v>11025</v>
      </c>
    </row>
    <row r="46" spans="1:9" x14ac:dyDescent="0.2">
      <c r="A46" s="233" t="s">
        <v>212</v>
      </c>
      <c r="B46" s="232"/>
      <c r="C46" s="232"/>
      <c r="D46" s="232"/>
      <c r="E46" s="232"/>
    </row>
    <row r="47" spans="1:9" x14ac:dyDescent="0.2">
      <c r="A47" s="172" t="s">
        <v>188</v>
      </c>
      <c r="B47" s="173">
        <v>1E-3</v>
      </c>
      <c r="C47" s="173">
        <v>2E-3</v>
      </c>
      <c r="D47" s="173">
        <v>1E-3</v>
      </c>
      <c r="E47" s="173">
        <v>2E-3</v>
      </c>
    </row>
    <row r="48" spans="1:9" x14ac:dyDescent="0.2">
      <c r="A48" s="172" t="s">
        <v>189</v>
      </c>
      <c r="B48" s="173">
        <v>3.0000000000000001E-3</v>
      </c>
      <c r="C48" s="173">
        <v>1E-3</v>
      </c>
      <c r="D48" s="173">
        <v>1E-3</v>
      </c>
      <c r="E48" s="173">
        <v>1E-3</v>
      </c>
    </row>
    <row r="49" spans="1:5" x14ac:dyDescent="0.2">
      <c r="A49" s="172" t="s">
        <v>190</v>
      </c>
      <c r="B49" s="173">
        <v>4.0000000000000001E-3</v>
      </c>
      <c r="C49" s="173">
        <v>2E-3</v>
      </c>
      <c r="D49" s="173">
        <v>5.0000000000000001E-3</v>
      </c>
      <c r="E49" s="173">
        <v>3.0000000000000001E-3</v>
      </c>
    </row>
    <row r="50" spans="1:5" x14ac:dyDescent="0.2">
      <c r="A50" s="172" t="s">
        <v>191</v>
      </c>
      <c r="B50" s="173">
        <v>5.0000000000000001E-3</v>
      </c>
      <c r="C50" s="173">
        <v>3.0000000000000001E-3</v>
      </c>
      <c r="D50" s="173">
        <v>3.0000000000000001E-3</v>
      </c>
      <c r="E50" s="173">
        <v>5.0000000000000001E-3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198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1</v>
      </c>
      <c r="E52" s="202">
        <f>SUM(E37:E42)+SUM(E47:E50)</f>
        <v>0.99999999999999989</v>
      </c>
    </row>
  </sheetData>
  <mergeCells count="9">
    <mergeCell ref="G37:H37"/>
    <mergeCell ref="G40:H40"/>
    <mergeCell ref="G41:H41"/>
    <mergeCell ref="C3:D3"/>
    <mergeCell ref="B5:C5"/>
    <mergeCell ref="G38:H38"/>
    <mergeCell ref="G39:H39"/>
    <mergeCell ref="G35:H35"/>
    <mergeCell ref="G36:H36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134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135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136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137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138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139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140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141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142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143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144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145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146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147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148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149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150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151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152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153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154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155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156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157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158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159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160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161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162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163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164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C20" sqref="C20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 t="s">
        <v>5</v>
      </c>
      <c r="B2" s="3" t="s">
        <v>234</v>
      </c>
    </row>
    <row r="3" spans="1:2" x14ac:dyDescent="0.2">
      <c r="A3" s="4" t="s">
        <v>168</v>
      </c>
      <c r="B3" s="3" t="s">
        <v>231</v>
      </c>
    </row>
    <row r="4" spans="1:2" x14ac:dyDescent="0.2">
      <c r="A4" s="2" t="s">
        <v>230</v>
      </c>
      <c r="B4" s="3" t="s">
        <v>233</v>
      </c>
    </row>
    <row r="5" spans="1:2" x14ac:dyDescent="0.2">
      <c r="A5" s="4" t="s">
        <v>4</v>
      </c>
      <c r="B5" s="3" t="s">
        <v>232</v>
      </c>
    </row>
    <row r="6" spans="1:2" x14ac:dyDescent="0.2">
      <c r="A6" s="2" t="s">
        <v>6</v>
      </c>
      <c r="B6" s="3" t="s">
        <v>6</v>
      </c>
    </row>
    <row r="8" spans="1:2" x14ac:dyDescent="0.2">
      <c r="A8" s="1" t="s">
        <v>7</v>
      </c>
    </row>
    <row r="9" spans="1:2" x14ac:dyDescent="0.2">
      <c r="A9" s="2" t="s">
        <v>8</v>
      </c>
    </row>
    <row r="10" spans="1:2" x14ac:dyDescent="0.2">
      <c r="A10" s="2" t="s">
        <v>9</v>
      </c>
    </row>
    <row r="11" spans="1:2" x14ac:dyDescent="0.2">
      <c r="A11" s="2" t="s">
        <v>10</v>
      </c>
    </row>
    <row r="12" spans="1:2" x14ac:dyDescent="0.2">
      <c r="A12" s="2" t="s">
        <v>11</v>
      </c>
    </row>
    <row r="15" spans="1:2" x14ac:dyDescent="0.2">
      <c r="A15" s="224" t="s">
        <v>12</v>
      </c>
    </row>
    <row r="16" spans="1:2" x14ac:dyDescent="0.2">
      <c r="A16" s="190" t="s">
        <v>201</v>
      </c>
      <c r="B16" s="3" t="s">
        <v>13</v>
      </c>
    </row>
    <row r="17" spans="1:2" x14ac:dyDescent="0.2">
      <c r="A17" s="190" t="s">
        <v>202</v>
      </c>
      <c r="B17" s="3" t="s">
        <v>14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2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April McIlvaney</cp:lastModifiedBy>
  <cp:revision>3</cp:revision>
  <cp:lastPrinted>2024-06-17T13:10:15Z</cp:lastPrinted>
  <dcterms:created xsi:type="dcterms:W3CDTF">2019-08-23T14:41:05Z</dcterms:created>
  <dcterms:modified xsi:type="dcterms:W3CDTF">2025-08-11T14:24:22Z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