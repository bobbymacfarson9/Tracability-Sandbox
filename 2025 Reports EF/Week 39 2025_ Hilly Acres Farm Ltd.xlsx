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5AD4D14F-8F18-4242-A7A7-46527A3C3A02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11" i="6" l="1"/>
  <c r="L26" i="6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I2" i="8"/>
  <c r="Y23" i="5"/>
  <c r="Y15" i="5"/>
  <c r="P7" i="6" l="1"/>
  <c r="O13" i="2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<sst xmlns="http://schemas.openxmlformats.org/spreadsheetml/2006/main" count="543" uniqueCount="236">
  <si>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</si>
  <si>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</si>
  <si>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</si>
  <si>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</si>
  <si>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</si>
  <si>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</si>
  <si>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</si>
  <si>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</si>
  <si>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</si>
  <si>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</si>
  <si>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</si>
  <si>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</si>
  <si>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</si>
  <si>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</si>
  <si>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</si>
  <si>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</si>
  <si>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</si>
  <si>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</si>
  <si>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</si>
  <si>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</si>
  <si>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</si>
  <si>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</si>
  <si>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</si>
  <si>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</si>
  <si>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</si>
  <si>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</si>
  <si>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</si>
  <si>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</si>
  <si>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</si>
  <si>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</si>
  <si>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</si>
  <si>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</si>
  <si>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</si>
  <si>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</si>
  <si>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</si>
  <si>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</si>
  <si>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</si>
  <si>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</si>
  <si>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</si>
  <si>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</si>
  <si>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</si>
  <si>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</si>
  <si>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</si>
  <si>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</si>
  <si>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</si>
  <si>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</si>
  <si>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</si>
  <si>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</si>
  <si>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</si>
  <si>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</si>
  <si>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</si>
  <si>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</si>
  <si>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</si>
  <si>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</si>
  <si>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</si>
  <si>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</si>
  <si>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</si>
  <si>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</si>
  <si>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</si>
  <si>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</si>
  <si>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</si>
  <si>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</si>
  <si>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</si>
  <si>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</si>
  <si>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</si>
  <si>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</si>
  <si>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</si>
  <si>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</si>
  <si>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</si>
  <si>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</si>
  <si>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</si>
  <si>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</si>
  <si>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</si>
  <si>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</si>
  <si>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</si>
  <si>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</si>
  <si>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</si>
  <si>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</si>
  <si>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</si>
  <si>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</si>
  <si>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</si>
  <si>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</si>
  <si>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</si>
  <si>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</si>
  <si>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</si>
  <si>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</si>
  <si>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</si>
  <si>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</si>
  <si>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</si>
  <si>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</si>
  <si>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</si>
  <si>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</si>
  <si>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</si>
  <si>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</si>
  <si>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</si>
  <si>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</si>
  <si>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</si>
  <si>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</si>
  <si>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</si>
  <si>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</si>
  <si>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</si>
  <si>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</si>
  <si>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</si>
  <si>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</si>
  <si>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</si>
  <si>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</si>
  <si>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</si>
  <si>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</si>
  <si>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</si>
  <si>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</si>
  <si>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</si>
  <si>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</si>
  <si>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</si>
  <si>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</si>
  <si>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</si>
  <si>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</si>
  <si>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</si>
  <si>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</si>
  <si>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</si>
  <si>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</si>
  <si>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</si>
  <si>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</si>
  <si>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</si>
  <si>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</si>
  <si>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</si>
  <si>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</si>
  <si>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</si>
  <si>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</si>
  <si>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</si>
  <si>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</si>
  <si>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</si>
  <si>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</si>
  <si>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</si>
  <si>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</si>
  <si>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</si>
  <si>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</si>
  <si>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</si>
  <si>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</si>
  <si>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</si>
  <si>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</si>
  <si>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</si>
  <si>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</si>
  <si>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</si>
  <si>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</si>
  <si>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</si>
  <si>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</si>
  <si>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</si>
  <si>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</si>
  <si>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</si>
  <si>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</si>
  <si>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</si>
  <si>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</si>
  <si>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</si>
  <si>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</si>
  <si>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</si>
  <si>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</si>
  <si>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</si>
  <si>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</si>
  <si>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</si>
  <si>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</si>
  <si>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</si>
  <si>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</si>
  <si>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</si>
  <si>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</si>
  <si>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</si>
  <si>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</si>
  <si>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</si>
  <si>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</si>
  <si>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</si>
  <si>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</si>
  <si>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</si>
  <si>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</si>
  <si>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</si>
  <si>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</si>
  <si>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</si>
  <si>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</si>
  <si>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</si>
  <si>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</si>
  <si>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</si>
  <si>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</si>
  <si>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</si>
  <si>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</si>
  <si>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</si>
  <si>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</si>
  <si>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</si>
  <si>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</si>
  <si>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</si>
  <si>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</si>
  <si>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</si>
  <si>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</si>
  <si>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</si>
  <si>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</si>
  <si>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</si>
  <si>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</si>
  <si>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</si>
  <si>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</si>
  <si>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</si>
  <si>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</si>
  <si>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</si>
  <si>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</si>
  <si>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</si>
  <si>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</si>
  <si>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</si>
  <si>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</si>
  <si>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</si>
  <si>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</si>
  <si>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</si>
  <si>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</si>
  <si>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</si>
  <si>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</si>
  <si>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</si>
  <si>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</si>
  <si>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</si>
  <si>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</si>
  <si>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</si>
  <si>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</si>
  <si>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</si>
  <si>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</si>
  <si>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</si>
  <si>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</si>
  <si>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</si>
  <si>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</si>
  <si>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</si>
  <si>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</si>
  <si>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</si>
  <si>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</si>
  <si>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</si>
  <si>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</si>
  <si>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</si>
  <si>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</si>
  <si>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</si>
  <si>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</si>
  <si>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</si>
  <si>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</si>
  <si>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</si>
  <si>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Sept 26/25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</si>
</sst>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I48" sqref="I48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39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45928.25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27075</v>
      </c>
      <c r="I7" s="27">
        <v>0</v>
      </c>
      <c r="J7" s="26">
        <f>IFERROR(H7-I7,"")</f>
        <v>27075</v>
      </c>
      <c r="K7" s="26">
        <f>IFERROR(($E$26/($H$27+$H$28)*$H$27)*R28,"")</f>
        <v>460.27500000000003</v>
      </c>
      <c r="L7" s="26">
        <f>IFERROR(($E$26/($H$27+$H$28)*$H$27)*S28,"")</f>
        <v>54.15</v>
      </c>
      <c r="M7" s="28">
        <f>IFERROR(K7+L7,"")</f>
        <v>514.42500000000007</v>
      </c>
      <c r="N7" s="29">
        <f>IFERROR(O7+P7+Q7+R7+S7+T7+U7+V7,"")</f>
        <v>26560.575000000001</v>
      </c>
      <c r="O7" s="26">
        <f t="shared" ref="O7:V7" si="0">IFERROR(($E$26/($H$27+$H$28)*$H$27)*J28,"")</f>
        <v>1001.775</v>
      </c>
      <c r="P7" s="26">
        <f t="shared" si="0"/>
        <v>351.97499999999997</v>
      </c>
      <c r="Q7" s="26">
        <f t="shared" si="0"/>
        <v>14782.95</v>
      </c>
      <c r="R7" s="26">
        <f t="shared" si="0"/>
        <v>9909.4499999999989</v>
      </c>
      <c r="S7" s="26">
        <f t="shared" si="0"/>
        <v>487.34999999999997</v>
      </c>
      <c r="T7" s="26">
        <f t="shared" si="0"/>
        <v>0</v>
      </c>
      <c r="U7" s="26">
        <f t="shared" si="0"/>
        <v>27.074999999999999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20439.354788314326</v>
      </c>
      <c r="I10" s="27">
        <v>0</v>
      </c>
      <c r="J10" s="26">
        <f>IFERROR(H10-I10,"")</f>
        <v>20439.354788314326</v>
      </c>
      <c r="K10" s="26">
        <f>IFERROR(($E$30/($H$31+$H$32)*$H$31)*R32,"")</f>
        <v>122.63612872988595</v>
      </c>
      <c r="L10" s="26">
        <f>IFERROR(($E$30/($H$31+$H$32)*$H$31)*S32,"")</f>
        <v>20.439354788314326</v>
      </c>
      <c r="M10" s="28">
        <f>IFERROR(K10+L10,"")</f>
        <v>143.07548351820029</v>
      </c>
      <c r="N10" s="29">
        <f>IFERROR(O10+P10+Q10+R10+S10+T10+U10+V10,"")</f>
        <v>20296.279304796124</v>
      </c>
      <c r="O10" s="26">
        <f t="shared" ref="O10:V10" si="2">IFERROR(($E$30/($H$31+$H$32)*$H$31)*J32,"")</f>
        <v>510.98386970785816</v>
      </c>
      <c r="P10" s="26">
        <f t="shared" si="2"/>
        <v>3863.0380549914075</v>
      </c>
      <c r="Q10" s="26">
        <f t="shared" si="2"/>
        <v>14184.912223090141</v>
      </c>
      <c r="R10" s="26">
        <f t="shared" si="2"/>
        <v>1716.9058022184036</v>
      </c>
      <c r="S10" s="26">
        <f t="shared" si="2"/>
        <v>0</v>
      </c>
      <c r="T10" s="26">
        <f t="shared" si="2"/>
        <v>0</v>
      </c>
      <c r="U10" s="26">
        <f t="shared" si="2"/>
        <v>20.439354788314326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2270.6452116856744</v>
      </c>
      <c r="I11" s="27">
        <v>0</v>
      </c>
      <c r="J11" s="26">
        <f>IFERROR(H11-I11,"")</f>
        <v>2270.6452116856744</v>
      </c>
      <c r="K11" s="26">
        <f>IFERROR(($E$30/($H$31+$H$32)*$H$32)*R32,"")</f>
        <v>13.623871270114046</v>
      </c>
      <c r="L11" s="26">
        <f>IFERROR(($E$30/($H$31+$H$32)*$H$32)*S32,"")</f>
        <v>2.2706452116856743</v>
      </c>
      <c r="M11" s="28">
        <f>IFERROR(K11+L11,"")</f>
        <v>15.89451648179972</v>
      </c>
      <c r="N11" s="29">
        <f>IFERROR(O11+P11+Q11+R11+S11+T11+U11+V11,"")</f>
        <v>2254.7506952038748</v>
      </c>
      <c r="O11" s="26">
        <f t="shared" ref="O11:V11" si="3">IFERROR(($E$30/($H$31+$H$32)*$H$32)*J32,"")</f>
        <v>56.766130292141867</v>
      </c>
      <c r="P11" s="26">
        <f t="shared" si="3"/>
        <v>429.15194500859246</v>
      </c>
      <c r="Q11" s="26">
        <f t="shared" si="3"/>
        <v>1575.8277769098579</v>
      </c>
      <c r="R11" s="26">
        <f t="shared" si="3"/>
        <v>190.73419778159666</v>
      </c>
      <c r="S11" s="26">
        <f t="shared" si="3"/>
        <v>0</v>
      </c>
      <c r="T11" s="26">
        <f t="shared" si="3"/>
        <v>0</v>
      </c>
      <c r="U11" s="26">
        <f t="shared" si="3"/>
        <v>2.2706452116856743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17006.764928193497</v>
      </c>
      <c r="I13" s="27">
        <v>0</v>
      </c>
      <c r="J13" s="26">
        <f>IFERROR(H13-I13,"")</f>
        <v>17006.764928193497</v>
      </c>
      <c r="K13" s="26">
        <f>IFERROR(($E$34/($H$35+$H$36)*$H$35)*R36,"")</f>
        <v>68.02705971277399</v>
      </c>
      <c r="L13" s="26">
        <f>IFERROR(($E$34/($H$35+$H$36)*$H$35)*S36,"")</f>
        <v>17.006764928193498</v>
      </c>
      <c r="M13" s="28">
        <f>IFERROR(K13+L13,"")</f>
        <v>85.033824640967481</v>
      </c>
      <c r="N13" s="29">
        <f>IFERROR(O13+P13+Q13+R13+S13+T13+U13+V13,"")</f>
        <v>16921.731103552531</v>
      </c>
      <c r="O13" s="26">
        <f t="shared" ref="O13:V13" si="4">IFERROR(($E$34/($H$35+$H$36)*$H$35)*J36,"")</f>
        <v>629.25030234315932</v>
      </c>
      <c r="P13" s="26">
        <f t="shared" si="4"/>
        <v>3928.562698412698</v>
      </c>
      <c r="Q13" s="26">
        <f t="shared" si="4"/>
        <v>11496.573091458806</v>
      </c>
      <c r="R13" s="26">
        <f t="shared" si="4"/>
        <v>782.3111866969009</v>
      </c>
      <c r="S13" s="26">
        <f t="shared" si="4"/>
        <v>17.006764928193498</v>
      </c>
      <c r="T13" s="26">
        <f t="shared" si="4"/>
        <v>0</v>
      </c>
      <c r="U13" s="26">
        <f t="shared" si="4"/>
        <v>68.02705971277399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1143.2350718065004</v>
      </c>
      <c r="I14" s="27">
        <v>0</v>
      </c>
      <c r="J14" s="26">
        <f>IFERROR(H14-I14,"")</f>
        <v>1143.2350718065004</v>
      </c>
      <c r="K14" s="26">
        <f>IFERROR(($E$34/($H$35+$H$36)*$H$36)*R36,"")</f>
        <v>4.5729402872260021</v>
      </c>
      <c r="L14" s="26">
        <f>IFERROR(($E$34/($H$35+$H$36)*$H$36)*S36,"")</f>
        <v>1.1432350718065005</v>
      </c>
      <c r="M14" s="28">
        <f>IFERROR(K14+L14,"")</f>
        <v>5.7161753590325031</v>
      </c>
      <c r="N14" s="29">
        <f>IFERROR(O14+P14+Q14+R14+S14+T14+U14+V14,"")</f>
        <v>1137.5188964474678</v>
      </c>
      <c r="O14" s="26">
        <f t="shared" ref="O14:V14" si="5">IFERROR(($E$34/($H$35+$H$36)*$H$36)*J36,"")</f>
        <v>42.299697656840515</v>
      </c>
      <c r="P14" s="26">
        <f t="shared" si="5"/>
        <v>264.08730158730162</v>
      </c>
      <c r="Q14" s="26">
        <f t="shared" si="5"/>
        <v>772.82690854119437</v>
      </c>
      <c r="R14" s="26">
        <f t="shared" si="5"/>
        <v>52.588813303099016</v>
      </c>
      <c r="S14" s="26">
        <f t="shared" si="5"/>
        <v>1.1432350718065005</v>
      </c>
      <c r="T14" s="26">
        <f t="shared" si="5"/>
        <v>0</v>
      </c>
      <c r="U14" s="26">
        <f t="shared" si="5"/>
        <v>4.5729402872260021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10799.999999999998</v>
      </c>
      <c r="I16" s="27">
        <v>0</v>
      </c>
      <c r="J16" s="26">
        <f>IFERROR(H16-I16,"")</f>
        <v>10799.999999999998</v>
      </c>
      <c r="K16" s="26">
        <f>IFERROR(($E$38/($H$39)*$H$39)*R40,"")</f>
        <v>32.4</v>
      </c>
      <c r="L16" s="26">
        <f>IFERROR(($E$38/($H$39)*$H$39)*S40,"")</f>
        <v>21.6</v>
      </c>
      <c r="M16" s="28">
        <f>IFERROR(K16+L16,"")</f>
        <v>54</v>
      </c>
      <c r="N16" s="29">
        <f>IFERROR(O16+P16+Q16+R16+S16+T16+U16+V16,"")</f>
        <v>10745.999999999998</v>
      </c>
      <c r="O16" s="26">
        <f t="shared" ref="O16:V16" si="6">IFERROR(($E$38/($H$39)*$H$39)*J40,"")</f>
        <v>507.6</v>
      </c>
      <c r="P16" s="26">
        <f t="shared" si="6"/>
        <v>2667.6</v>
      </c>
      <c r="Q16" s="26">
        <f t="shared" si="6"/>
        <v>6901.2</v>
      </c>
      <c r="R16" s="26">
        <f t="shared" si="6"/>
        <v>626.4</v>
      </c>
      <c r="S16" s="26">
        <f t="shared" si="6"/>
        <v>10.8</v>
      </c>
      <c r="T16" s="26">
        <f t="shared" si="6"/>
        <v>0</v>
      </c>
      <c r="U16" s="26">
        <f t="shared" si="6"/>
        <v>32.4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78735</v>
      </c>
      <c r="I19" s="37">
        <f t="shared" si="7"/>
        <v>0</v>
      </c>
      <c r="J19" s="37">
        <f t="shared" si="7"/>
        <v>78735</v>
      </c>
      <c r="K19" s="37">
        <f t="shared" si="7"/>
        <v>701.53499999999985</v>
      </c>
      <c r="L19" s="37">
        <f t="shared" si="7"/>
        <v>116.61000000000001</v>
      </c>
      <c r="M19" s="37">
        <f t="shared" si="7"/>
        <v>818.1450000000001</v>
      </c>
      <c r="N19" s="37">
        <f t="shared" si="7"/>
        <v>77916.854999999996</v>
      </c>
      <c r="O19" s="37">
        <f t="shared" si="7"/>
        <v>2748.6750000000002</v>
      </c>
      <c r="P19" s="37">
        <f t="shared" si="7"/>
        <v>11504.415000000001</v>
      </c>
      <c r="Q19" s="37">
        <f t="shared" si="7"/>
        <v>49714.29</v>
      </c>
      <c r="R19" s="37">
        <f t="shared" si="7"/>
        <v>13278.389999999998</v>
      </c>
      <c r="S19" s="37">
        <f t="shared" si="7"/>
        <v>516.29999999999995</v>
      </c>
      <c r="T19" s="37">
        <f t="shared" si="7"/>
        <v>0</v>
      </c>
      <c r="U19" s="37">
        <f t="shared" si="7"/>
        <v>154.785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78735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27075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49254</v>
      </c>
      <c r="I27" s="26"/>
      <c r="J27" s="198">
        <f t="shared" ref="J27:S27" si="8">$E26*J28</f>
        <v>1001.775</v>
      </c>
      <c r="K27" s="198">
        <f t="shared" si="8"/>
        <v>351.97499999999997</v>
      </c>
      <c r="L27" s="198">
        <f t="shared" si="8"/>
        <v>14782.95</v>
      </c>
      <c r="M27" s="198">
        <f t="shared" si="8"/>
        <v>9909.4499999999989</v>
      </c>
      <c r="N27" s="198">
        <f t="shared" si="8"/>
        <v>487.34999999999997</v>
      </c>
      <c r="O27" s="198">
        <f t="shared" si="8"/>
        <v>0</v>
      </c>
      <c r="P27" s="198">
        <f t="shared" si="8"/>
        <v>27.074999999999999</v>
      </c>
      <c r="Q27" s="198">
        <f t="shared" si="8"/>
        <v>0</v>
      </c>
      <c r="R27" s="198">
        <f t="shared" si="8"/>
        <v>460.27500000000003</v>
      </c>
      <c r="S27" s="198">
        <f t="shared" si="8"/>
        <v>54.15</v>
      </c>
      <c r="T27" s="199">
        <f>SUM(J27:S27)</f>
        <v>27075.000000000004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3.6999999999999998E-2</v>
      </c>
      <c r="K28" s="197">
        <f>Inputs!B38</f>
        <v>1.2999999999999999E-2</v>
      </c>
      <c r="L28" s="197">
        <f>Inputs!B39</f>
        <v>0.54600000000000004</v>
      </c>
      <c r="M28" s="197">
        <f>Inputs!B40</f>
        <v>0.36599999999999999</v>
      </c>
      <c r="N28" s="197">
        <f>Inputs!B41</f>
        <v>1.7999999999999999E-2</v>
      </c>
      <c r="O28" s="197">
        <v>0</v>
      </c>
      <c r="P28" s="197">
        <f>Inputs!B49</f>
        <v>1E-3</v>
      </c>
      <c r="Q28" s="197">
        <f>Inputs!B42</f>
        <v>0</v>
      </c>
      <c r="R28" s="197">
        <f>Inputs!B48+Inputs!B50</f>
        <v>1.7000000000000001E-2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22710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34566</v>
      </c>
      <c r="I31" s="30"/>
      <c r="J31" s="198">
        <f t="shared" ref="J31:S31" si="9">$E30*J32</f>
        <v>567.75</v>
      </c>
      <c r="K31" s="198">
        <f t="shared" si="9"/>
        <v>4292.1899999999996</v>
      </c>
      <c r="L31" s="198">
        <f t="shared" si="9"/>
        <v>15760.739999999998</v>
      </c>
      <c r="M31" s="198">
        <f t="shared" si="9"/>
        <v>1907.64</v>
      </c>
      <c r="N31" s="198">
        <f t="shared" si="9"/>
        <v>0</v>
      </c>
      <c r="O31" s="198">
        <f t="shared" si="9"/>
        <v>0</v>
      </c>
      <c r="P31" s="198">
        <f t="shared" si="9"/>
        <v>22.71</v>
      </c>
      <c r="Q31" s="198">
        <f t="shared" si="9"/>
        <v>0</v>
      </c>
      <c r="R31" s="198">
        <f t="shared" si="9"/>
        <v>136.26</v>
      </c>
      <c r="S31" s="198">
        <f t="shared" si="9"/>
        <v>22.71</v>
      </c>
      <c r="T31" s="199">
        <f>SUM(J31:S31)</f>
        <v>22709.999999999993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3840</v>
      </c>
      <c r="I32" s="30"/>
      <c r="J32" s="197">
        <f>Inputs!C37</f>
        <v>2.5000000000000001E-2</v>
      </c>
      <c r="K32" s="197">
        <f>Inputs!C38</f>
        <v>0.189</v>
      </c>
      <c r="L32" s="197">
        <f>Inputs!C39</f>
        <v>0.69399999999999995</v>
      </c>
      <c r="M32" s="197">
        <f>Inputs!C40</f>
        <v>8.4000000000000005E-2</v>
      </c>
      <c r="N32" s="197">
        <f>Inputs!C41</f>
        <v>0</v>
      </c>
      <c r="O32" s="197">
        <v>0</v>
      </c>
      <c r="P32" s="197">
        <f>Inputs!C49</f>
        <v>1E-3</v>
      </c>
      <c r="Q32" s="197">
        <f>Inputs!C42</f>
        <v>0</v>
      </c>
      <c r="R32" s="197">
        <f>Inputs!C48+Inputs!C50</f>
        <v>6.0000000000000001E-3</v>
      </c>
      <c r="S32" s="197">
        <f>Inputs!C47</f>
        <v>1E-3</v>
      </c>
      <c r="T32" s="200">
        <f>SUM(J32:S32)</f>
        <v>0.99999999999999989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18150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29752</v>
      </c>
      <c r="I35" s="30"/>
      <c r="J35" s="198">
        <f t="shared" ref="J35:S35" si="10">$E$34*J36</f>
        <v>671.55</v>
      </c>
      <c r="K35" s="198">
        <f t="shared" si="10"/>
        <v>4192.6500000000005</v>
      </c>
      <c r="L35" s="198">
        <f t="shared" si="10"/>
        <v>12269.400000000001</v>
      </c>
      <c r="M35" s="198">
        <f t="shared" si="10"/>
        <v>834.9</v>
      </c>
      <c r="N35" s="198">
        <f t="shared" si="10"/>
        <v>18.150000000000002</v>
      </c>
      <c r="O35" s="198">
        <f t="shared" si="10"/>
        <v>0</v>
      </c>
      <c r="P35" s="198">
        <f t="shared" si="10"/>
        <v>72.600000000000009</v>
      </c>
      <c r="Q35" s="198">
        <f t="shared" si="10"/>
        <v>0</v>
      </c>
      <c r="R35" s="198">
        <f t="shared" si="10"/>
        <v>72.600000000000009</v>
      </c>
      <c r="S35" s="198">
        <f t="shared" si="10"/>
        <v>18.150000000000002</v>
      </c>
      <c r="T35" s="199">
        <f>SUM(J35:S35)</f>
        <v>18150.000000000004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2000</v>
      </c>
      <c r="I36" s="30"/>
      <c r="J36" s="197">
        <f>Inputs!D37</f>
        <v>3.6999999999999998E-2</v>
      </c>
      <c r="K36" s="197">
        <f>Inputs!D38</f>
        <v>0.23100000000000001</v>
      </c>
      <c r="L36" s="197">
        <f>Inputs!D39</f>
        <v>0.67600000000000005</v>
      </c>
      <c r="M36" s="197">
        <f>Inputs!D40</f>
        <v>4.5999999999999999E-2</v>
      </c>
      <c r="N36" s="197">
        <f>Inputs!D41</f>
        <v>1E-3</v>
      </c>
      <c r="O36" s="197">
        <v>0</v>
      </c>
      <c r="P36" s="197">
        <f>Inputs!D49</f>
        <v>4.0000000000000001E-3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10800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18476</v>
      </c>
      <c r="I39" s="30"/>
      <c r="J39" s="198">
        <f t="shared" ref="J39:S39" si="11">$E38*J40</f>
        <v>507.6</v>
      </c>
      <c r="K39" s="198">
        <f t="shared" si="11"/>
        <v>2667.6</v>
      </c>
      <c r="L39" s="198">
        <f t="shared" si="11"/>
        <v>6901.2</v>
      </c>
      <c r="M39" s="198">
        <f t="shared" si="11"/>
        <v>626.4</v>
      </c>
      <c r="N39" s="198">
        <f t="shared" si="11"/>
        <v>10.8</v>
      </c>
      <c r="O39" s="198">
        <f t="shared" si="11"/>
        <v>0</v>
      </c>
      <c r="P39" s="198">
        <f t="shared" si="11"/>
        <v>32.4</v>
      </c>
      <c r="Q39" s="198">
        <f t="shared" si="11"/>
        <v>0</v>
      </c>
      <c r="R39" s="198">
        <f t="shared" si="11"/>
        <v>32.4</v>
      </c>
      <c r="S39" s="198">
        <f t="shared" si="11"/>
        <v>21.6</v>
      </c>
      <c r="T39" s="199">
        <f>SUM(J39:S39)</f>
        <v>10799.999999999998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4.7E-2</v>
      </c>
      <c r="K40" s="197">
        <f>Inputs!E38</f>
        <v>0.247</v>
      </c>
      <c r="L40" s="197">
        <f>Inputs!E39</f>
        <v>0.63900000000000001</v>
      </c>
      <c r="M40" s="197">
        <f>Inputs!E40</f>
        <v>5.8000000000000003E-2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3.0000000000000001E-3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C21" sqref="C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45928.25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39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1020</v>
      </c>
      <c r="C13" s="220">
        <f>'Grade out Information'!X26</f>
        <v>15300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300</v>
      </c>
      <c r="C21" s="220">
        <f>'Grade out Information'!E11</f>
        <v>4500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1320</v>
      </c>
      <c r="C27" s="222">
        <f>SUM(C13:C26)</f>
        <v>19800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K49" sqref="K49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39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4500</v>
      </c>
      <c r="F11" s="217"/>
      <c r="G11" s="228">
        <f>SUM(C11:F11)</f>
        <v>4500</v>
      </c>
      <c r="H11" s="229">
        <f>G11/15</f>
        <v>300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14400</v>
      </c>
      <c r="J15" s="133">
        <f>X15*K15</f>
        <v>719.99999999999989</v>
      </c>
      <c r="K15" s="184">
        <f>Inputs!B36</f>
        <v>4.9999999999999996E-2</v>
      </c>
      <c r="L15" s="133">
        <f>X15*M15</f>
        <v>7862.4000000000005</v>
      </c>
      <c r="M15" s="184">
        <f>Inputs!B39</f>
        <v>0.54600000000000004</v>
      </c>
      <c r="N15" s="133">
        <f>X15*O15</f>
        <v>5270.4</v>
      </c>
      <c r="O15" s="184">
        <f>Inputs!B40</f>
        <v>0.36599999999999999</v>
      </c>
      <c r="P15" s="133">
        <f>X15*Q15</f>
        <v>259.2</v>
      </c>
      <c r="Q15" s="184">
        <f>Inputs!B41</f>
        <v>1.7999999999999999E-2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288</v>
      </c>
      <c r="W15" s="185">
        <f>Inputs!B43</f>
        <v>0.02</v>
      </c>
      <c r="X15" s="213">
        <f>Z15*15</f>
        <v>14400</v>
      </c>
      <c r="Y15" s="209">
        <f>K15+M15+O15+Q15+S15+U15+W15</f>
        <v>1</v>
      </c>
      <c r="Z15" s="226">
        <f>Inputs!I35</f>
        <v>960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0.214</v>
      </c>
      <c r="L17" s="133">
        <f>X17*M17</f>
        <v>0</v>
      </c>
      <c r="M17" s="184">
        <f>Inputs!C39</f>
        <v>0.69399999999999995</v>
      </c>
      <c r="N17" s="133">
        <f>X17*O17</f>
        <v>0</v>
      </c>
      <c r="O17" s="184">
        <f>Inputs!C40</f>
        <v>8.4000000000000005E-2</v>
      </c>
      <c r="P17" s="133">
        <f>X17*Q17</f>
        <v>0</v>
      </c>
      <c r="Q17" s="184">
        <f>Inputs!C41</f>
        <v>0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0.99999999999999989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900</v>
      </c>
      <c r="J18" s="133">
        <f>X18*K18</f>
        <v>192.6</v>
      </c>
      <c r="K18" s="184">
        <f>K17</f>
        <v>0.214</v>
      </c>
      <c r="L18" s="133">
        <f>X18*M18</f>
        <v>624.59999999999991</v>
      </c>
      <c r="M18" s="184">
        <f>M17</f>
        <v>0.69399999999999995</v>
      </c>
      <c r="N18" s="133">
        <f>X18*O18</f>
        <v>75.600000000000009</v>
      </c>
      <c r="O18" s="184">
        <f>O17</f>
        <v>8.4000000000000005E-2</v>
      </c>
      <c r="P18" s="133">
        <f>X18*Q18</f>
        <v>0</v>
      </c>
      <c r="Q18" s="184">
        <f>Q17</f>
        <v>0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7.2</v>
      </c>
      <c r="W18" s="185">
        <f>W17</f>
        <v>8.0000000000000002E-3</v>
      </c>
      <c r="X18" s="213">
        <f>Z18*15</f>
        <v>900</v>
      </c>
      <c r="Y18" s="209">
        <f>K18+M18+O18+Q18+S18+U18+W18</f>
        <v>0.99999999999999989</v>
      </c>
      <c r="Z18" s="226">
        <f>Inputs!I37</f>
        <v>60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0</v>
      </c>
      <c r="J20" s="133">
        <f>X20*K20</f>
        <v>0</v>
      </c>
      <c r="K20" s="184">
        <f>Inputs!D36</f>
        <v>0.26800000000000002</v>
      </c>
      <c r="L20" s="133">
        <f>X20*M20</f>
        <v>0</v>
      </c>
      <c r="M20" s="184">
        <f>Inputs!D39</f>
        <v>0.67600000000000005</v>
      </c>
      <c r="N20" s="133">
        <f>X20*O20</f>
        <v>0</v>
      </c>
      <c r="O20" s="184">
        <f>Inputs!D40</f>
        <v>4.5999999999999999E-2</v>
      </c>
      <c r="P20" s="133">
        <f>X20*Q20</f>
        <v>0</v>
      </c>
      <c r="Q20" s="184">
        <f>Inputs!D41</f>
        <v>1E-3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0</v>
      </c>
      <c r="W20" s="185">
        <f>Inputs!D43</f>
        <v>9.0000000000000011E-3</v>
      </c>
      <c r="X20" s="213">
        <f>Z20*15</f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0.26800000000000002</v>
      </c>
      <c r="L21" s="133">
        <f>X21*M21</f>
        <v>0</v>
      </c>
      <c r="M21" s="184">
        <f>M20</f>
        <v>0.67600000000000005</v>
      </c>
      <c r="N21" s="133">
        <f>X21*O21</f>
        <v>0</v>
      </c>
      <c r="O21" s="184">
        <f>O20</f>
        <v>4.5999999999999999E-2</v>
      </c>
      <c r="P21" s="133">
        <f>X21*Q21</f>
        <v>0</v>
      </c>
      <c r="Q21" s="184">
        <f>Q20</f>
        <v>1E-3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9.0000000000000011E-3</v>
      </c>
      <c r="X21" s="213">
        <f>Z21*15</f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0.29399999999999998</v>
      </c>
      <c r="L23" s="133">
        <f>X23*M23</f>
        <v>0</v>
      </c>
      <c r="M23" s="184">
        <f>Inputs!E39</f>
        <v>0.63900000000000001</v>
      </c>
      <c r="N23" s="133">
        <f>X23*O23</f>
        <v>0</v>
      </c>
      <c r="O23" s="184">
        <f>Inputs!E40</f>
        <v>5.8000000000000003E-2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8.0000000000000002E-3</v>
      </c>
      <c r="X23" s="213">
        <f>Z23*15</f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4500</v>
      </c>
      <c r="F26" s="139">
        <f>SUM(F11:F25)</f>
        <v>0</v>
      </c>
      <c r="G26" s="139">
        <f>G11+G12</f>
        <v>4500</v>
      </c>
      <c r="H26" s="139">
        <f>SUM(H11+H12)</f>
        <v>300</v>
      </c>
      <c r="I26" s="141"/>
      <c r="J26" s="139">
        <f>SUM(J15:J25)</f>
        <v>912.59999999999991</v>
      </c>
      <c r="K26" s="139"/>
      <c r="L26" s="139">
        <f>SUM(L15:L25)</f>
        <v>8487</v>
      </c>
      <c r="M26" s="139"/>
      <c r="N26" s="139">
        <f>SUM(N15:N25)</f>
        <v>5346</v>
      </c>
      <c r="O26" s="139"/>
      <c r="P26" s="139">
        <f>SUM(P15:P25)</f>
        <v>259.2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295.2</v>
      </c>
      <c r="W26" s="139"/>
      <c r="X26" s="139">
        <f>SUM(X15:X25)</f>
        <v>15300</v>
      </c>
      <c r="Y26" s="139"/>
      <c r="Z26" s="139">
        <f>SUM(Z15:Z25)</f>
        <v>1020</v>
      </c>
      <c r="AA26" s="141">
        <f>IF(Z33=0,0,Z33/(H33+Z33))</f>
        <v>0</v>
      </c>
      <c r="AB26" s="139">
        <f>G26+X26</f>
        <v>19800</v>
      </c>
      <c r="AC26" s="139">
        <f>H26+Z26</f>
        <v>1320</v>
      </c>
      <c r="AD26" s="141">
        <f>I26+AA26</f>
        <v>0</v>
      </c>
    </row>
    <row r="30" spans="1:30" x14ac:dyDescent="0.2">
      <c r="A30" s="3" t="s">
        <v>100</v>
      </c>
      <c r="B30">
        <f>J26</f>
        <v>912.59999999999991</v>
      </c>
    </row>
    <row r="31" spans="1:30" x14ac:dyDescent="0.2">
      <c r="A31" s="3" t="s">
        <v>101</v>
      </c>
      <c r="B31">
        <f>L26</f>
        <v>8487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5346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259.2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295.2</v>
      </c>
    </row>
    <row r="38" spans="1:13" x14ac:dyDescent="0.2">
      <c r="A38" s="3" t="s">
        <v>119</v>
      </c>
      <c r="B38">
        <f>SUM(B30:B36)</f>
        <v>15300.000000000002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tabSelected="1" zoomScaleNormal="100" workbookViewId="0">
      <selection activeCell="D17" sqref="D17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49254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34566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3840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29752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2000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18476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4" sqref="N34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39</v>
      </c>
      <c r="C7" s="151">
        <v>941050</v>
      </c>
      <c r="D7" s="188" t="s">
        <v>5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1355</v>
      </c>
      <c r="J7" s="189">
        <f>IF(H7="NEW",203, IF(H7="OLD",192,0))</f>
        <v>203</v>
      </c>
      <c r="K7" s="151">
        <v>1558</v>
      </c>
      <c r="L7" s="211">
        <f>IF(K7&gt;0,I7/E7,"NA")</f>
        <v>22.583333333333332</v>
      </c>
      <c r="M7" s="151">
        <v>135184</v>
      </c>
      <c r="N7" s="152" t="s">
        <v>235</v>
      </c>
      <c r="O7" s="157" t="s">
        <v>47</v>
      </c>
      <c r="P7" s="187">
        <f>IF(D7=Inputs!F$4,Inputs!I$4,IF(D7=Inputs!F$2,Inputs!I$2,IF(D7=Inputs!F$3,Inputs!I$3,IF(D7=Inputs!F$5,Inputs!I$5,"NA"))))</f>
        <v>25.464285714285715</v>
      </c>
    </row>
    <row r="8" spans="1:16" x14ac:dyDescent="0.25">
      <c r="A8" s="148">
        <v>2</v>
      </c>
      <c r="B8" s="189">
        <f>Inputs!C$2</f>
        <v>39</v>
      </c>
      <c r="C8" s="151">
        <v>941051</v>
      </c>
      <c r="D8" s="188" t="s">
        <v>5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1359</v>
      </c>
      <c r="J8" s="189">
        <f>IF(H8="NEW",203, IF(H8="OLD",192,0))</f>
        <v>203</v>
      </c>
      <c r="K8" s="151">
        <v>1562</v>
      </c>
      <c r="L8" s="211">
        <f>IF(K8&gt;0,I8/E8,"NA")</f>
        <v>22.65</v>
      </c>
      <c r="M8" s="151">
        <v>135184</v>
      </c>
      <c r="N8" s="152" t="s">
        <v>235</v>
      </c>
      <c r="O8" s="157" t="s">
        <v>47</v>
      </c>
      <c r="P8" s="187">
        <f>IF(D8=Inputs!F$4,Inputs!I$4,IF(D8=Inputs!F$2,Inputs!I$2,IF(D8=Inputs!F$3,Inputs!I$3,IF(D8=Inputs!F$5,Inputs!I$5,"NA"))))</f>
        <v>25.464285714285715</v>
      </c>
    </row>
    <row r="9" spans="1:16" x14ac:dyDescent="0.25">
      <c r="A9" s="148">
        <v>3</v>
      </c>
      <c r="B9" s="189">
        <f>Inputs!C$2</f>
        <v>39</v>
      </c>
      <c r="C9" s="151">
        <v>941052</v>
      </c>
      <c r="D9" s="188" t="s">
        <v>5</v>
      </c>
      <c r="E9" s="148">
        <v>60</v>
      </c>
      <c r="F9" s="188" t="s">
        <v>113</v>
      </c>
      <c r="G9" s="188"/>
      <c r="H9" s="191" t="s">
        <v>201</v>
      </c>
      <c r="I9" s="210">
        <f t="shared" si="0"/>
        <v>1371</v>
      </c>
      <c r="J9" s="189">
        <f>IF(H9="NEW",203, IF(H9="OLD",192,0))</f>
        <v>203</v>
      </c>
      <c r="K9" s="151">
        <v>1574</v>
      </c>
      <c r="L9" s="211">
        <f t="shared" ref="L9:L72" si="1">IF(K9&gt;0,I9/E9,"NA")</f>
        <v>22.85</v>
      </c>
      <c r="M9" s="151">
        <v>135184</v>
      </c>
      <c r="N9" s="152" t="s">
        <v>235</v>
      </c>
      <c r="O9" s="157" t="s">
        <v>47</v>
      </c>
      <c r="P9" s="187">
        <f>IF(D9=Inputs!F$4,Inputs!I$4,IF(D9=Inputs!F$2,Inputs!I$2,IF(D9=Inputs!F$3,Inputs!I$3,IF(D9=Inputs!F$5,Inputs!I$5,"NA"))))</f>
        <v>25.464285714285715</v>
      </c>
    </row>
    <row r="10" spans="1:16" x14ac:dyDescent="0.25">
      <c r="A10" s="148">
        <v>4</v>
      </c>
      <c r="B10" s="189">
        <f>Inputs!C$2</f>
        <v>39</v>
      </c>
      <c r="C10" s="151">
        <v>941053</v>
      </c>
      <c r="D10" s="188" t="s">
        <v>5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1351</v>
      </c>
      <c r="J10" s="189">
        <f>IF(H10="NEW",203, IF(H10="OLD",192,0))</f>
        <v>203</v>
      </c>
      <c r="K10" s="151">
        <v>1554</v>
      </c>
      <c r="L10" s="211">
        <f t="shared" si="1"/>
        <v>22.516666666666666</v>
      </c>
      <c r="M10" s="151">
        <v>135184</v>
      </c>
      <c r="N10" s="152" t="s">
        <v>235</v>
      </c>
      <c r="O10" s="157" t="s">
        <v>47</v>
      </c>
      <c r="P10" s="187">
        <f>IF(D10=Inputs!F$4,Inputs!I$4,IF(D10=Inputs!F$2,Inputs!I$2,IF(D10=Inputs!F$3,Inputs!I$3,IF(D10=Inputs!F$5,Inputs!I$5,"NA"))))</f>
        <v>25.464285714285715</v>
      </c>
    </row>
    <row r="11" spans="1:16" x14ac:dyDescent="0.25">
      <c r="A11" s="148">
        <v>5</v>
      </c>
      <c r="B11" s="189">
        <f>Inputs!C$2</f>
        <v>39</v>
      </c>
      <c r="C11" s="151">
        <v>941054</v>
      </c>
      <c r="D11" s="188" t="s">
        <v>5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1365</v>
      </c>
      <c r="J11" s="189">
        <f t="shared" ref="J11:J72" si="2">IF(H11="NEW",203, IF(H11="OLD",192,0))</f>
        <v>203</v>
      </c>
      <c r="K11" s="151">
        <v>1568</v>
      </c>
      <c r="L11" s="211">
        <f>IF(K11&gt;0,I11/E11,"NA")</f>
        <v>22.75</v>
      </c>
      <c r="M11" s="151">
        <v>135184</v>
      </c>
      <c r="N11" s="152" t="s">
        <v>235</v>
      </c>
      <c r="O11" s="157" t="s">
        <v>47</v>
      </c>
      <c r="P11" s="187">
        <f>IF(D11=Inputs!F$4,Inputs!I$4,IF(D11=Inputs!F$2,Inputs!I$2,IF(D11=Inputs!F$3,Inputs!I$3,IF(D11=Inputs!F$5,Inputs!I$5,"NA"))))</f>
        <v>25.464285714285715</v>
      </c>
    </row>
    <row r="12" spans="1:16" x14ac:dyDescent="0.25">
      <c r="A12" s="148">
        <v>6</v>
      </c>
      <c r="B12" s="189">
        <f>Inputs!C$2</f>
        <v>39</v>
      </c>
      <c r="C12" s="151">
        <v>941055</v>
      </c>
      <c r="D12" s="188" t="s">
        <v>5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1365</v>
      </c>
      <c r="J12" s="189">
        <f t="shared" si="2"/>
        <v>203</v>
      </c>
      <c r="K12" s="151">
        <v>1568</v>
      </c>
      <c r="L12" s="211">
        <f t="shared" si="1"/>
        <v>22.75</v>
      </c>
      <c r="M12" s="151">
        <v>135184</v>
      </c>
      <c r="N12" s="152" t="s">
        <v>235</v>
      </c>
      <c r="O12" s="157" t="s">
        <v>47</v>
      </c>
      <c r="P12" s="187">
        <f>IF(D12=Inputs!F$4,Inputs!I$4,IF(D12=Inputs!F$2,Inputs!I$2,IF(D12=Inputs!F$3,Inputs!I$3,IF(D12=Inputs!F$5,Inputs!I$5,"NA"))))</f>
        <v>25.464285714285715</v>
      </c>
    </row>
    <row r="13" spans="1:16" x14ac:dyDescent="0.25">
      <c r="A13" s="148">
        <v>7</v>
      </c>
      <c r="B13" s="189">
        <f>Inputs!C$2</f>
        <v>39</v>
      </c>
      <c r="C13" s="151">
        <v>941056</v>
      </c>
      <c r="D13" s="188" t="s">
        <v>5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1359</v>
      </c>
      <c r="J13" s="189">
        <f t="shared" si="2"/>
        <v>203</v>
      </c>
      <c r="K13" s="151">
        <v>1562</v>
      </c>
      <c r="L13" s="211">
        <f t="shared" si="1"/>
        <v>22.65</v>
      </c>
      <c r="M13" s="151">
        <v>135184</v>
      </c>
      <c r="N13" s="152" t="s">
        <v>235</v>
      </c>
      <c r="O13" s="157" t="s">
        <v>47</v>
      </c>
      <c r="P13" s="187">
        <f>IF(D13=Inputs!F$4,Inputs!I$4,IF(D13=Inputs!F$2,Inputs!I$2,IF(D13=Inputs!F$3,Inputs!I$3,IF(D13=Inputs!F$5,Inputs!I$5,"NA"))))</f>
        <v>25.464285714285715</v>
      </c>
    </row>
    <row r="14" spans="1:16" x14ac:dyDescent="0.25">
      <c r="A14" s="148">
        <v>8</v>
      </c>
      <c r="B14" s="189">
        <f>Inputs!C$2</f>
        <v>39</v>
      </c>
      <c r="C14" s="151">
        <v>941057</v>
      </c>
      <c r="D14" s="188" t="s">
        <v>5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1343</v>
      </c>
      <c r="J14" s="189">
        <f t="shared" si="2"/>
        <v>203</v>
      </c>
      <c r="K14" s="151">
        <v>1546</v>
      </c>
      <c r="L14" s="211">
        <f t="shared" si="1"/>
        <v>22.383333333333333</v>
      </c>
      <c r="M14" s="151">
        <v>135184</v>
      </c>
      <c r="N14" s="152" t="s">
        <v>235</v>
      </c>
      <c r="O14" s="157" t="s">
        <v>47</v>
      </c>
      <c r="P14" s="187">
        <f>IF(D14=Inputs!F$4,Inputs!I$4,IF(D14=Inputs!F$2,Inputs!I$2,IF(D14=Inputs!F$3,Inputs!I$3,IF(D14=Inputs!F$5,Inputs!I$5,"NA"))))</f>
        <v>25.464285714285715</v>
      </c>
    </row>
    <row r="15" spans="1:16" x14ac:dyDescent="0.25">
      <c r="A15" s="148">
        <v>9</v>
      </c>
      <c r="B15" s="189">
        <f>Inputs!C$2</f>
        <v>39</v>
      </c>
      <c r="C15" s="151">
        <v>941058</v>
      </c>
      <c r="D15" s="188" t="s">
        <v>5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1347</v>
      </c>
      <c r="J15" s="189">
        <f t="shared" si="2"/>
        <v>203</v>
      </c>
      <c r="K15" s="151">
        <v>1550</v>
      </c>
      <c r="L15" s="211">
        <f t="shared" si="1"/>
        <v>22.45</v>
      </c>
      <c r="M15" s="151">
        <v>135184</v>
      </c>
      <c r="N15" s="152" t="s">
        <v>235</v>
      </c>
      <c r="O15" s="157" t="s">
        <v>47</v>
      </c>
      <c r="P15" s="187">
        <f>IF(D15=Inputs!F$4,Inputs!I$4,IF(D15=Inputs!F$2,Inputs!I$2,IF(D15=Inputs!F$3,Inputs!I$3,IF(D15=Inputs!F$5,Inputs!I$5,"NA"))))</f>
        <v>25.464285714285715</v>
      </c>
    </row>
    <row r="16" spans="1:16" x14ac:dyDescent="0.25">
      <c r="A16" s="148">
        <v>10</v>
      </c>
      <c r="B16" s="189">
        <f>Inputs!C$2</f>
        <v>39</v>
      </c>
      <c r="C16" s="151">
        <v>941059</v>
      </c>
      <c r="D16" s="188" t="s">
        <v>5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1357</v>
      </c>
      <c r="J16" s="189">
        <f t="shared" si="2"/>
        <v>203</v>
      </c>
      <c r="K16" s="151">
        <v>1560</v>
      </c>
      <c r="L16" s="211">
        <f t="shared" si="1"/>
        <v>22.616666666666667</v>
      </c>
      <c r="M16" s="151">
        <v>135184</v>
      </c>
      <c r="N16" s="152" t="s">
        <v>235</v>
      </c>
      <c r="O16" s="157" t="s">
        <v>47</v>
      </c>
      <c r="P16" s="187">
        <f>IF(D16=Inputs!F$4,Inputs!I$4,IF(D16=Inputs!F$2,Inputs!I$2,IF(D16=Inputs!F$3,Inputs!I$3,IF(D16=Inputs!F$5,Inputs!I$5,"NA"))))</f>
        <v>25.464285714285715</v>
      </c>
    </row>
    <row r="17" spans="1:16" x14ac:dyDescent="0.25">
      <c r="A17" s="148">
        <v>11</v>
      </c>
      <c r="B17" s="189">
        <f>Inputs!C$2</f>
        <v>39</v>
      </c>
      <c r="C17" s="151">
        <v>941060</v>
      </c>
      <c r="D17" s="188" t="s">
        <v>5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1353</v>
      </c>
      <c r="J17" s="189">
        <f t="shared" si="2"/>
        <v>203</v>
      </c>
      <c r="K17" s="151">
        <v>1556</v>
      </c>
      <c r="L17" s="211">
        <f t="shared" si="1"/>
        <v>22.55</v>
      </c>
      <c r="M17" s="151">
        <v>135184</v>
      </c>
      <c r="N17" s="152" t="s">
        <v>235</v>
      </c>
      <c r="O17" s="157" t="s">
        <v>47</v>
      </c>
      <c r="P17" s="187">
        <f>IF(D17=Inputs!F$4,Inputs!I$4,IF(D17=Inputs!F$2,Inputs!I$2,IF(D17=Inputs!F$3,Inputs!I$3,IF(D17=Inputs!F$5,Inputs!I$5,"NA"))))</f>
        <v>25.464285714285715</v>
      </c>
    </row>
    <row r="18" spans="1:16" x14ac:dyDescent="0.25">
      <c r="A18" s="148">
        <v>12</v>
      </c>
      <c r="B18" s="189">
        <f>Inputs!C$2</f>
        <v>39</v>
      </c>
      <c r="C18" s="151">
        <v>941061</v>
      </c>
      <c r="D18" s="188" t="s">
        <v>5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1339</v>
      </c>
      <c r="J18" s="189">
        <f t="shared" si="2"/>
        <v>203</v>
      </c>
      <c r="K18" s="151">
        <v>1542</v>
      </c>
      <c r="L18" s="211">
        <f t="shared" si="1"/>
        <v>22.316666666666666</v>
      </c>
      <c r="M18" s="151">
        <v>135184</v>
      </c>
      <c r="N18" s="152" t="s">
        <v>235</v>
      </c>
      <c r="O18" s="157" t="s">
        <v>47</v>
      </c>
      <c r="P18" s="187">
        <f>IF(D18=Inputs!F$4,Inputs!I$4,IF(D18=Inputs!F$2,Inputs!I$2,IF(D18=Inputs!F$3,Inputs!I$3,IF(D18=Inputs!F$5,Inputs!I$5,"NA"))))</f>
        <v>25.464285714285715</v>
      </c>
    </row>
    <row r="19" spans="1:16" x14ac:dyDescent="0.25">
      <c r="A19" s="148">
        <v>13</v>
      </c>
      <c r="B19" s="189">
        <f>Inputs!C$2</f>
        <v>39</v>
      </c>
      <c r="C19" s="151">
        <v>941062</v>
      </c>
      <c r="D19" s="188" t="s">
        <v>5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1341</v>
      </c>
      <c r="J19" s="189">
        <f t="shared" si="2"/>
        <v>203</v>
      </c>
      <c r="K19" s="151">
        <v>1544</v>
      </c>
      <c r="L19" s="211">
        <f t="shared" si="1"/>
        <v>22.35</v>
      </c>
      <c r="M19" s="151">
        <v>135184</v>
      </c>
      <c r="N19" s="152" t="s">
        <v>235</v>
      </c>
      <c r="O19" s="157" t="s">
        <v>47</v>
      </c>
      <c r="P19" s="187">
        <f>IF(D19=Inputs!F$4,Inputs!I$4,IF(D19=Inputs!F$2,Inputs!I$2,IF(D19=Inputs!F$3,Inputs!I$3,IF(D19=Inputs!F$5,Inputs!I$5,"NA"))))</f>
        <v>25.464285714285715</v>
      </c>
    </row>
    <row r="20" spans="1:16" x14ac:dyDescent="0.25">
      <c r="A20" s="148">
        <v>14</v>
      </c>
      <c r="B20" s="189">
        <f>Inputs!C$2</f>
        <v>39</v>
      </c>
      <c r="C20" s="151">
        <v>941063</v>
      </c>
      <c r="D20" s="188" t="s">
        <v>5</v>
      </c>
      <c r="E20" s="148">
        <v>60</v>
      </c>
      <c r="F20" s="188" t="s">
        <v>113</v>
      </c>
      <c r="G20" s="188"/>
      <c r="H20" s="191" t="s">
        <v>201</v>
      </c>
      <c r="I20" s="210">
        <f t="shared" si="0"/>
        <v>1339</v>
      </c>
      <c r="J20" s="189">
        <f t="shared" si="2"/>
        <v>203</v>
      </c>
      <c r="K20" s="151">
        <v>1542</v>
      </c>
      <c r="L20" s="211">
        <f t="shared" si="1"/>
        <v>22.316666666666666</v>
      </c>
      <c r="M20" s="151">
        <v>135184</v>
      </c>
      <c r="N20" s="152" t="s">
        <v>235</v>
      </c>
      <c r="O20" s="157" t="s">
        <v>47</v>
      </c>
      <c r="P20" s="187">
        <f>IF(D20=Inputs!F$4,Inputs!I$4,IF(D20=Inputs!F$2,Inputs!I$2,IF(D20=Inputs!F$3,Inputs!I$3,IF(D20=Inputs!F$5,Inputs!I$5,"NA"))))</f>
        <v>25.464285714285715</v>
      </c>
    </row>
    <row r="21" spans="1:16" x14ac:dyDescent="0.25">
      <c r="A21" s="148">
        <v>15</v>
      </c>
      <c r="B21" s="189">
        <f>Inputs!C$2</f>
        <v>39</v>
      </c>
      <c r="C21" s="151">
        <v>941064</v>
      </c>
      <c r="D21" s="188" t="s">
        <v>5</v>
      </c>
      <c r="E21" s="148">
        <v>60</v>
      </c>
      <c r="F21" s="188" t="s">
        <v>113</v>
      </c>
      <c r="G21" s="188"/>
      <c r="H21" s="191" t="s">
        <v>201</v>
      </c>
      <c r="I21" s="210">
        <f t="shared" si="0"/>
        <v>1355</v>
      </c>
      <c r="J21" s="189">
        <f t="shared" si="2"/>
        <v>203</v>
      </c>
      <c r="K21" s="151">
        <v>1558</v>
      </c>
      <c r="L21" s="211">
        <f t="shared" si="1"/>
        <v>22.583333333333332</v>
      </c>
      <c r="M21" s="151">
        <v>135184</v>
      </c>
      <c r="N21" s="152" t="s">
        <v>235</v>
      </c>
      <c r="O21" s="157" t="s">
        <v>47</v>
      </c>
      <c r="P21" s="187">
        <f>IF(D21=Inputs!F$4,Inputs!I$4,IF(D21=Inputs!F$2,Inputs!I$2,IF(D21=Inputs!F$3,Inputs!I$3,IF(D21=Inputs!F$5,Inputs!I$5,"NA"))))</f>
        <v>25.464285714285715</v>
      </c>
    </row>
    <row r="22" spans="1:16" x14ac:dyDescent="0.25">
      <c r="A22" s="148">
        <v>16</v>
      </c>
      <c r="B22" s="189">
        <f>Inputs!C$2</f>
        <v>39</v>
      </c>
      <c r="C22" s="151">
        <v>941065</v>
      </c>
      <c r="D22" s="188" t="s">
        <v>168</v>
      </c>
      <c r="E22" s="148">
        <v>60</v>
      </c>
      <c r="F22" s="188" t="s">
        <v>113</v>
      </c>
      <c r="G22" s="188"/>
      <c r="H22" s="191" t="s">
        <v>201</v>
      </c>
      <c r="I22" s="210">
        <f t="shared" si="0"/>
        <v>1471</v>
      </c>
      <c r="J22" s="189">
        <f t="shared" si="2"/>
        <v>203</v>
      </c>
      <c r="K22" s="235">
        <v>1674</v>
      </c>
      <c r="L22" s="211">
        <f t="shared" si="1"/>
        <v>24.516666666666666</v>
      </c>
      <c r="M22" s="151">
        <v>135184</v>
      </c>
      <c r="N22" s="152" t="s">
        <v>235</v>
      </c>
      <c r="O22" s="157" t="s">
        <v>48</v>
      </c>
      <c r="P22" s="187">
        <f>IF(D22=Inputs!F$4,Inputs!I$4,IF(D22=Inputs!F$2,Inputs!I$2,IF(D22=Inputs!F$3,Inputs!I$3,IF(D22=Inputs!F$5,Inputs!I$5,"NA"))))</f>
        <v>50.892857142857146</v>
      </c>
    </row>
    <row r="23" spans="1:16" x14ac:dyDescent="0.25">
      <c r="A23" s="148">
        <v>17</v>
      </c>
      <c r="B23" s="189">
        <f>Inputs!C$2</f>
        <v>39</v>
      </c>
      <c r="C23" s="151">
        <v>941066</v>
      </c>
      <c r="D23" s="188" t="s">
        <v>5</v>
      </c>
      <c r="E23" s="148">
        <v>60</v>
      </c>
      <c r="F23" s="188" t="s">
        <v>113</v>
      </c>
      <c r="G23" s="188"/>
      <c r="H23" s="191" t="s">
        <v>201</v>
      </c>
      <c r="I23" s="210">
        <f t="shared" si="0"/>
        <v>1303</v>
      </c>
      <c r="J23" s="189">
        <f t="shared" si="2"/>
        <v>203</v>
      </c>
      <c r="K23" s="151">
        <v>1506</v>
      </c>
      <c r="L23" s="211">
        <f t="shared" si="1"/>
        <v>21.716666666666665</v>
      </c>
      <c r="M23" s="151">
        <v>135184</v>
      </c>
      <c r="N23" s="152" t="s">
        <v>235</v>
      </c>
      <c r="O23" s="157" t="s">
        <v>47</v>
      </c>
      <c r="P23" s="187">
        <f>IF(D23=Inputs!F$4,Inputs!I$4,IF(D23=Inputs!F$2,Inputs!I$2,IF(D23=Inputs!F$3,Inputs!I$3,IF(D23=Inputs!F$5,Inputs!I$5,"NA"))))</f>
        <v>25.464285714285715</v>
      </c>
    </row>
    <row r="24" spans="1:16" x14ac:dyDescent="0.25">
      <c r="A24" s="148">
        <v>18</v>
      </c>
      <c r="B24" s="189">
        <f>Inputs!C$2</f>
        <v>39</v>
      </c>
      <c r="C24" s="151">
        <v>941067</v>
      </c>
      <c r="D24" s="188" t="s">
        <v>6</v>
      </c>
      <c r="E24" s="148">
        <v>60</v>
      </c>
      <c r="F24" s="188"/>
      <c r="G24" s="188" t="s">
        <v>10</v>
      </c>
      <c r="H24" s="191" t="s">
        <v>201</v>
      </c>
      <c r="I24" s="210" t="str">
        <f t="shared" si="0"/>
        <v>NA</v>
      </c>
      <c r="J24" s="189">
        <f t="shared" si="2"/>
        <v>203</v>
      </c>
      <c r="K24" s="151"/>
      <c r="L24" s="211" t="str">
        <f t="shared" si="1"/>
        <v>NA</v>
      </c>
      <c r="M24" s="151">
        <v>135184</v>
      </c>
      <c r="N24" s="152" t="s">
        <v>235</v>
      </c>
      <c r="O24" s="157" t="s">
        <v>47</v>
      </c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39</v>
      </c>
      <c r="C25" s="151">
        <v>941068</v>
      </c>
      <c r="D25" s="188" t="s">
        <v>6</v>
      </c>
      <c r="E25" s="148">
        <v>60</v>
      </c>
      <c r="F25" s="188"/>
      <c r="G25" s="188" t="s">
        <v>10</v>
      </c>
      <c r="H25" s="191" t="s">
        <v>201</v>
      </c>
      <c r="I25" s="210" t="str">
        <f t="shared" si="0"/>
        <v>NA</v>
      </c>
      <c r="J25" s="189">
        <f t="shared" si="2"/>
        <v>203</v>
      </c>
      <c r="K25" s="151"/>
      <c r="L25" s="211" t="str">
        <f t="shared" si="1"/>
        <v>NA</v>
      </c>
      <c r="M25" s="151">
        <v>135184</v>
      </c>
      <c r="N25" s="152" t="s">
        <v>235</v>
      </c>
      <c r="O25" s="157" t="s">
        <v>47</v>
      </c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39</v>
      </c>
      <c r="C26" s="151">
        <v>941069</v>
      </c>
      <c r="D26" s="188" t="s">
        <v>6</v>
      </c>
      <c r="E26" s="148">
        <v>60</v>
      </c>
      <c r="F26" s="188"/>
      <c r="G26" s="188" t="s">
        <v>10</v>
      </c>
      <c r="H26" s="191" t="s">
        <v>201</v>
      </c>
      <c r="I26" s="210" t="str">
        <f t="shared" si="0"/>
        <v>NA</v>
      </c>
      <c r="J26" s="189">
        <f t="shared" si="2"/>
        <v>203</v>
      </c>
      <c r="K26" s="151"/>
      <c r="L26" s="211" t="str">
        <f t="shared" si="1"/>
        <v>NA</v>
      </c>
      <c r="M26" s="151">
        <v>135184</v>
      </c>
      <c r="N26" s="152" t="s">
        <v>235</v>
      </c>
      <c r="O26" s="157" t="s">
        <v>47</v>
      </c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39</v>
      </c>
      <c r="C27" s="151">
        <v>941070</v>
      </c>
      <c r="D27" s="188" t="s">
        <v>6</v>
      </c>
      <c r="E27" s="148">
        <v>60</v>
      </c>
      <c r="F27" s="188"/>
      <c r="G27" s="188" t="s">
        <v>10</v>
      </c>
      <c r="H27" s="191" t="s">
        <v>201</v>
      </c>
      <c r="I27" s="210" t="str">
        <f t="shared" si="0"/>
        <v>NA</v>
      </c>
      <c r="J27" s="189">
        <f t="shared" si="2"/>
        <v>203</v>
      </c>
      <c r="K27" s="151"/>
      <c r="L27" s="211" t="str">
        <f t="shared" si="1"/>
        <v>NA</v>
      </c>
      <c r="M27" s="151">
        <v>135184</v>
      </c>
      <c r="N27" s="152" t="s">
        <v>235</v>
      </c>
      <c r="O27" s="157" t="s">
        <v>47</v>
      </c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39</v>
      </c>
      <c r="C28" s="151">
        <v>941071</v>
      </c>
      <c r="D28" s="188" t="s">
        <v>6</v>
      </c>
      <c r="E28" s="148">
        <v>60</v>
      </c>
      <c r="F28" s="188"/>
      <c r="G28" s="188" t="s">
        <v>10</v>
      </c>
      <c r="H28" s="191" t="s">
        <v>201</v>
      </c>
      <c r="I28" s="210" t="str">
        <f t="shared" si="0"/>
        <v>NA</v>
      </c>
      <c r="J28" s="189">
        <f t="shared" si="2"/>
        <v>203</v>
      </c>
      <c r="K28" s="151"/>
      <c r="L28" s="211" t="str">
        <f t="shared" si="1"/>
        <v>NA</v>
      </c>
      <c r="M28" s="151">
        <v>135184</v>
      </c>
      <c r="N28" s="152" t="s">
        <v>235</v>
      </c>
      <c r="O28" s="157" t="s">
        <v>47</v>
      </c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39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39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39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39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39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39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39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39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39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39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39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39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39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39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39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39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39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39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39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39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39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39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39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39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39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39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39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39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39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39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39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39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39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39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39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39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39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39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39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39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39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39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39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39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39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39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39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39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39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39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39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39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39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39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K20" sqref="K20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39</v>
      </c>
      <c r="F2" s="166" t="s">
        <v>5</v>
      </c>
      <c r="G2" s="186">
        <v>45750</v>
      </c>
      <c r="I2" s="205">
        <f>(C$3-G2)/7</f>
        <v>25.464285714285715</v>
      </c>
      <c r="J2" s="230">
        <f>I2-19</f>
        <v>6.4642857142857153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45928.25</v>
      </c>
      <c r="D3" s="247"/>
      <c r="F3" s="166" t="s">
        <v>168</v>
      </c>
      <c r="G3" s="186">
        <v>45572</v>
      </c>
      <c r="I3" s="205">
        <f>(C$3-G3)/7</f>
        <v>50.892857142857146</v>
      </c>
      <c r="J3" s="230">
        <f>I3-19</f>
        <v>31.892857142857146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37.892857142857146</v>
      </c>
      <c r="J4" s="230">
        <f>I4-19</f>
        <v>18.892857142857146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68.464285714285708</v>
      </c>
      <c r="J5" s="230">
        <f>I5-19</f>
        <v>49.464285714285708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257</v>
      </c>
      <c r="C10" s="165"/>
      <c r="E10" s="139">
        <v>6</v>
      </c>
      <c r="F10" s="168">
        <v>260</v>
      </c>
      <c r="G10" s="165"/>
    </row>
    <row r="11" spans="1:12" x14ac:dyDescent="0.2">
      <c r="A11" s="139">
        <v>7</v>
      </c>
      <c r="B11" s="168">
        <v>187</v>
      </c>
      <c r="C11" s="168">
        <v>20</v>
      </c>
      <c r="E11" s="139">
        <v>7</v>
      </c>
      <c r="F11" s="168">
        <v>199</v>
      </c>
      <c r="G11" s="168">
        <v>22</v>
      </c>
    </row>
    <row r="12" spans="1:12" x14ac:dyDescent="0.2">
      <c r="A12" s="139">
        <v>10</v>
      </c>
      <c r="B12" s="237">
        <v>157</v>
      </c>
      <c r="C12" s="168">
        <v>11</v>
      </c>
      <c r="E12" s="139">
        <v>10</v>
      </c>
      <c r="F12" s="168">
        <v>167</v>
      </c>
      <c r="G12" s="168">
        <v>12</v>
      </c>
    </row>
    <row r="13" spans="1:12" x14ac:dyDescent="0.2">
      <c r="A13" s="139">
        <v>11</v>
      </c>
      <c r="B13" s="168">
        <v>95</v>
      </c>
      <c r="C13" s="165"/>
      <c r="E13" s="139">
        <v>11</v>
      </c>
      <c r="F13" s="168">
        <v>105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256</v>
      </c>
      <c r="C16" s="165"/>
      <c r="E16" s="139">
        <v>6</v>
      </c>
      <c r="F16" s="168">
        <v>261</v>
      </c>
      <c r="G16" s="165"/>
    </row>
    <row r="17" spans="1:11" x14ac:dyDescent="0.2">
      <c r="A17" s="139">
        <v>7</v>
      </c>
      <c r="B17" s="168">
        <v>201</v>
      </c>
      <c r="C17" s="168">
        <v>24</v>
      </c>
      <c r="E17" s="139">
        <v>7</v>
      </c>
      <c r="F17" s="168">
        <v>197</v>
      </c>
      <c r="G17" s="168">
        <v>22</v>
      </c>
    </row>
    <row r="18" spans="1:11" x14ac:dyDescent="0.2">
      <c r="A18" s="139">
        <v>10</v>
      </c>
      <c r="B18" s="168">
        <v>166</v>
      </c>
      <c r="C18" s="168">
        <v>14</v>
      </c>
      <c r="E18" s="139">
        <v>10</v>
      </c>
      <c r="F18" s="168">
        <v>165</v>
      </c>
      <c r="G18" s="168">
        <v>12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105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246</v>
      </c>
      <c r="C23" s="165"/>
      <c r="E23" s="139">
        <v>6</v>
      </c>
      <c r="F23" s="168">
        <v>270</v>
      </c>
      <c r="G23" s="165"/>
    </row>
    <row r="24" spans="1:11" x14ac:dyDescent="0.2">
      <c r="A24" s="139">
        <v>7</v>
      </c>
      <c r="B24" s="168">
        <v>196</v>
      </c>
      <c r="C24" s="168">
        <v>22</v>
      </c>
      <c r="E24" s="139">
        <v>7</v>
      </c>
      <c r="F24" s="168">
        <v>195</v>
      </c>
      <c r="G24" s="168">
        <v>22</v>
      </c>
    </row>
    <row r="25" spans="1:11" x14ac:dyDescent="0.2">
      <c r="A25" s="139">
        <v>10</v>
      </c>
      <c r="B25" s="168">
        <v>161</v>
      </c>
      <c r="C25" s="168">
        <v>13</v>
      </c>
      <c r="E25" s="139">
        <v>10</v>
      </c>
      <c r="F25" s="168">
        <v>154</v>
      </c>
      <c r="G25" s="168">
        <v>12</v>
      </c>
    </row>
    <row r="26" spans="1:11" x14ac:dyDescent="0.2">
      <c r="A26" s="139">
        <v>11</v>
      </c>
      <c r="B26" s="168">
        <v>101</v>
      </c>
      <c r="C26" s="165"/>
      <c r="E26" s="139">
        <v>11</v>
      </c>
      <c r="F26" s="168">
        <v>102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255</v>
      </c>
      <c r="C29" s="165"/>
      <c r="E29" s="139">
        <v>6</v>
      </c>
      <c r="F29" s="203">
        <f t="shared" ref="F29:G31" si="0">B10+F10+B16+F16+B23+F23+B29</f>
        <v>1805</v>
      </c>
      <c r="G29" s="204">
        <f t="shared" si="0"/>
        <v>0</v>
      </c>
      <c r="I29" s="139">
        <v>6</v>
      </c>
      <c r="J29" s="203">
        <f t="shared" ref="J29:K31" si="1">F29*15</f>
        <v>27075</v>
      </c>
      <c r="K29" s="204">
        <f t="shared" si="1"/>
        <v>0</v>
      </c>
    </row>
    <row r="30" spans="1:11" x14ac:dyDescent="0.2">
      <c r="A30" s="139">
        <v>7</v>
      </c>
      <c r="B30" s="168">
        <v>187</v>
      </c>
      <c r="C30" s="168">
        <v>20</v>
      </c>
      <c r="E30" s="139">
        <v>7</v>
      </c>
      <c r="F30" s="203">
        <f t="shared" si="0"/>
        <v>1362</v>
      </c>
      <c r="G30" s="203">
        <f t="shared" si="0"/>
        <v>152</v>
      </c>
      <c r="I30" s="139">
        <v>7</v>
      </c>
      <c r="J30" s="203">
        <f t="shared" si="1"/>
        <v>20430</v>
      </c>
      <c r="K30" s="203">
        <f t="shared" si="1"/>
        <v>2280</v>
      </c>
    </row>
    <row r="31" spans="1:11" x14ac:dyDescent="0.2">
      <c r="A31" s="139">
        <v>10</v>
      </c>
      <c r="B31" s="168">
        <v>155</v>
      </c>
      <c r="C31" s="168">
        <v>11</v>
      </c>
      <c r="E31" s="139">
        <v>10</v>
      </c>
      <c r="F31" s="203">
        <f t="shared" si="0"/>
        <v>1125</v>
      </c>
      <c r="G31" s="203">
        <f t="shared" si="0"/>
        <v>85</v>
      </c>
      <c r="I31" s="139">
        <v>10</v>
      </c>
      <c r="J31" s="203">
        <f t="shared" si="1"/>
        <v>16875</v>
      </c>
      <c r="K31" s="203">
        <f t="shared" si="1"/>
        <v>1275</v>
      </c>
    </row>
    <row r="32" spans="1:11" x14ac:dyDescent="0.2">
      <c r="A32" s="139">
        <v>11</v>
      </c>
      <c r="B32" s="168">
        <v>95</v>
      </c>
      <c r="C32" s="165"/>
      <c r="E32" s="139">
        <v>11</v>
      </c>
      <c r="F32" s="203">
        <f t="shared" ref="F32:G32" si="2">B13+F13+B19+F19+B26+F26+B32</f>
        <v>720</v>
      </c>
      <c r="G32" s="204">
        <f t="shared" si="2"/>
        <v>0</v>
      </c>
      <c r="I32" s="139">
        <v>11</v>
      </c>
      <c r="J32" s="203">
        <f>F32*15</f>
        <v>10800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960</v>
      </c>
    </row>
    <row r="36" spans="1:9" x14ac:dyDescent="0.2">
      <c r="A36" s="172" t="s">
        <v>100</v>
      </c>
      <c r="B36" s="201">
        <f>B37+B38</f>
        <v>4.9999999999999996E-2</v>
      </c>
      <c r="C36" s="201">
        <f>C37+C38</f>
        <v>0.214</v>
      </c>
      <c r="D36" s="201">
        <f>D37+D38</f>
        <v>0.26800000000000002</v>
      </c>
      <c r="E36" s="201">
        <f>E37+E38</f>
        <v>0.29399999999999998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3.6999999999999998E-2</v>
      </c>
      <c r="C37" s="173">
        <v>2.5000000000000001E-2</v>
      </c>
      <c r="D37" s="173">
        <v>3.6999999999999998E-2</v>
      </c>
      <c r="E37" s="173">
        <v>4.7E-2</v>
      </c>
      <c r="G37" s="245" t="s">
        <v>207</v>
      </c>
      <c r="H37" s="245"/>
      <c r="I37" s="225">
        <v>60</v>
      </c>
    </row>
    <row r="38" spans="1:9" x14ac:dyDescent="0.2">
      <c r="A38" s="172" t="s">
        <v>185</v>
      </c>
      <c r="B38" s="173">
        <v>1.2999999999999999E-2</v>
      </c>
      <c r="C38" s="173">
        <v>0.189</v>
      </c>
      <c r="D38" s="173">
        <v>0.23100000000000001</v>
      </c>
      <c r="E38" s="173">
        <v>0.247</v>
      </c>
      <c r="G38" s="245" t="s">
        <v>216</v>
      </c>
      <c r="H38" s="245"/>
      <c r="I38" s="225">
        <v>0</v>
      </c>
    </row>
    <row r="39" spans="1:9" x14ac:dyDescent="0.2">
      <c r="A39" s="172" t="s">
        <v>186</v>
      </c>
      <c r="B39" s="173">
        <v>0.54600000000000004</v>
      </c>
      <c r="C39" s="173">
        <v>0.69399999999999995</v>
      </c>
      <c r="D39" s="173">
        <v>0.67600000000000005</v>
      </c>
      <c r="E39" s="173">
        <v>0.63900000000000001</v>
      </c>
      <c r="G39" s="245" t="s">
        <v>217</v>
      </c>
      <c r="H39" s="245"/>
      <c r="I39" s="225">
        <v>0</v>
      </c>
    </row>
    <row r="40" spans="1:9" x14ac:dyDescent="0.2">
      <c r="A40" s="172" t="s">
        <v>187</v>
      </c>
      <c r="B40" s="173">
        <v>0.36599999999999999</v>
      </c>
      <c r="C40" s="173">
        <v>8.4000000000000005E-2</v>
      </c>
      <c r="D40" s="173">
        <v>4.5999999999999999E-2</v>
      </c>
      <c r="E40" s="236">
        <v>5.8000000000000003E-2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1.7999999999999999E-2</v>
      </c>
      <c r="C41" s="173">
        <v>0</v>
      </c>
      <c r="D41" s="173">
        <v>1E-3</v>
      </c>
      <c r="E41" s="173">
        <v>1E-3</v>
      </c>
      <c r="G41" s="245" t="s">
        <v>210</v>
      </c>
      <c r="H41" s="245"/>
      <c r="I41" s="225">
        <v>300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0.02</v>
      </c>
      <c r="C43" s="202">
        <f>SUM(C47:C50)</f>
        <v>8.0000000000000002E-3</v>
      </c>
      <c r="D43" s="202">
        <f>SUM(D47:D50)</f>
        <v>9.0000000000000011E-3</v>
      </c>
      <c r="E43" s="202">
        <f>SUM(E47:E50)</f>
        <v>8.0000000000000002E-3</v>
      </c>
    </row>
    <row r="44" spans="1:9" x14ac:dyDescent="0.2">
      <c r="A44" s="233" t="s">
        <v>211</v>
      </c>
      <c r="B44" s="232">
        <v>56.67</v>
      </c>
      <c r="C44" s="232">
        <v>60.65</v>
      </c>
      <c r="D44" s="232">
        <v>61.63</v>
      </c>
      <c r="E44" s="232">
        <v>61.69</v>
      </c>
    </row>
    <row r="45" spans="1:9" x14ac:dyDescent="0.2">
      <c r="A45" s="233" t="s">
        <v>213</v>
      </c>
      <c r="B45" s="231">
        <f>J29</f>
        <v>27075</v>
      </c>
      <c r="C45" s="231">
        <f>J30</f>
        <v>20430</v>
      </c>
      <c r="D45" s="231">
        <f>J31+K31</f>
        <v>18150</v>
      </c>
      <c r="E45" s="231">
        <f>J32</f>
        <v>10800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2E-3</v>
      </c>
      <c r="C47" s="173">
        <v>1E-3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2E-3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1E-3</v>
      </c>
      <c r="C49" s="173">
        <v>1E-3</v>
      </c>
      <c r="D49" s="173">
        <v>4.0000000000000001E-3</v>
      </c>
      <c r="E49" s="173">
        <v>3.0000000000000001E-3</v>
      </c>
    </row>
    <row r="50" spans="1:5" x14ac:dyDescent="0.2">
      <c r="A50" s="172" t="s">
        <v>191</v>
      </c>
      <c r="B50" s="173">
        <v>1.4999999999999999E-2</v>
      </c>
      <c r="C50" s="173">
        <v>5.0000000000000001E-3</v>
      </c>
      <c r="D50" s="173">
        <v>3.0000000000000001E-3</v>
      </c>
      <c r="E50" s="173">
        <v>2E-3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1</v>
      </c>
      <c r="C52" s="202">
        <f>SUM(C37:C42)+SUM(C47:C50)</f>
        <v>0.99999999999999989</v>
      </c>
      <c r="D52" s="202">
        <f>SUM(D37:D42)+SUM(D47:D50)</f>
        <v>1</v>
      </c>
      <c r="E52" s="202">
        <f>SUM(E37:E42)+SUM(E47:E50)</f>
        <v>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2025-09-29T15:09:43Z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