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Reports/2025 Reports EF/2026 EFC Reports/"/>
    </mc:Choice>
  </mc:AlternateContent>
  <xr:revisionPtr revIDLastSave="15" documentId="13_ncr:1_{E44D445D-14CD-44DF-8F0E-C5705E717AE2}" xr6:coauthVersionLast="47" xr6:coauthVersionMax="47" xr10:uidLastSave="{08AE0A4C-5A26-42CF-BEDC-F74864C93069}"/>
  <bookViews>
    <workbookView xWindow="-120" yWindow="-120" windowWidth="29040" windowHeight="15720" tabRatio="500" activeTab="4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26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I2" i="8"/>
  <c r="P60" i="6" l="1"/>
  <c r="P23" i="6"/>
  <c r="P70" i="6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<sst xmlns="http://schemas.openxmlformats.org/spreadsheetml/2006/main" count="955" uniqueCount="238">
  <si>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</si>
  <si>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</si>
  <si>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</si>
  <si>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</si>
  <si>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</si>
  <si>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</si>
  <si>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</si>
  <si>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</si>
  <si>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</si>
  <si>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</si>
  <si>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</si>
  <si>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</si>
  <si>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</si>
  <si>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</si>
  <si>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</si>
  <si>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</si>
  <si>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</si>
  <si>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</si>
  <si>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</si>
  <si>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</si>
  <si>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</si>
  <si>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</si>
  <si>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</si>
  <si>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</si>
  <si>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</si>
  <si>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</si>
  <si>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</si>
  <si>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</si>
  <si>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</si>
  <si>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</si>
  <si>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</si>
  <si>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</si>
  <si>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</si>
  <si>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</si>
  <si>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</si>
  <si>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</si>
  <si>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</si>
  <si>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</si>
  <si>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</si>
  <si>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</si>
  <si>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</si>
  <si>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</si>
  <si>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</si>
  <si>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</si>
  <si>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</si>
  <si>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</si>
  <si>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</si>
  <si>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</si>
  <si>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</si>
  <si>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</si>
  <si>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</si>
  <si>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</si>
  <si>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</si>
  <si>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</si>
  <si>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</si>
  <si>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</si>
  <si>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</si>
  <si>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</si>
  <si>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</si>
  <si>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</si>
  <si>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</si>
  <si>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</si>
  <si>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</si>
  <si>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</si>
  <si>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</si>
  <si>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</si>
  <si>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</si>
  <si>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</si>
  <si>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</si>
  <si>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</si>
  <si>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</si>
  <si>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</si>
  <si>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</si>
  <si>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</si>
  <si>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</si>
  <si>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</si>
  <si>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</si>
  <si>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</si>
  <si>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</si>
  <si>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</si>
  <si>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</si>
  <si>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</si>
  <si>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</si>
  <si>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</si>
  <si>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</si>
  <si>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</si>
  <si>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</si>
  <si>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</si>
  <si>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</si>
  <si>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</si>
  <si>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</si>
  <si>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</si>
  <si>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</si>
  <si>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</si>
  <si>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</si>
  <si>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</si>
  <si>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</si>
  <si>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</si>
  <si>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</si>
  <si>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</si>
  <si>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</si>
  <si>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</si>
  <si>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</si>
  <si>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</si>
  <si>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</si>
  <si>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</si>
  <si>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</si>
  <si>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</si>
  <si>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</si>
  <si>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</si>
  <si>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</si>
  <si>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</si>
  <si>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</si>
  <si>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</si>
  <si>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</si>
  <si>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</si>
  <si>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</si>
  <si>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</si>
  <si>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</si>
  <si>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</si>
  <si>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</si>
  <si>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</si>
  <si>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</si>
  <si>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</si>
  <si>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</si>
  <si>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</si>
  <si>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</si>
  <si>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</si>
  <si>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</si>
  <si>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</si>
  <si>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</si>
  <si>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</si>
  <si>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</si>
  <si>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</si>
  <si>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</si>
  <si>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</si>
  <si>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</si>
  <si>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</si>
  <si>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</si>
  <si>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</si>
  <si>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</si>
  <si>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</si>
  <si>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</si>
  <si>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</si>
  <si>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</si>
  <si>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</si>
  <si>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</si>
  <si>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</si>
  <si>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</si>
  <si>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</si>
  <si>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</si>
  <si>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</si>
  <si>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</si>
  <si>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</si>
  <si>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</si>
  <si>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</si>
  <si>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</si>
  <si>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</si>
  <si>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</si>
  <si>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</si>
  <si>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</si>
  <si>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</si>
  <si>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</si>
  <si>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</si>
  <si>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</si>
  <si>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</si>
  <si>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</si>
  <si>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</si>
  <si>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</si>
  <si>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</si>
  <si>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</si>
  <si>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</si>
  <si>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</si>
  <si>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</si>
  <si>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</si>
  <si>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</si>
  <si>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</si>
  <si>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</si>
  <si>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</si>
  <si>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</si>
  <si>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</si>
  <si>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</si>
  <si>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</si>
  <si>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</si>
  <si>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</si>
  <si>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</si>
  <si>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</si>
  <si>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</si>
  <si>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</si>
  <si>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</si>
  <si>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</si>
  <si>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</si>
  <si>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</si>
  <si>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</si>
  <si>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</si>
  <si>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</si>
  <si>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</si>
  <si>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</si>
  <si>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</si>
  <si>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</si>
  <si>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</si>
  <si>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</si>
  <si>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</si>
  <si>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</si>
  <si>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</si>
  <si>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</si>
  <si>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</si>
  <si>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</si>
  <si>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</si>
  <si>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</si>
  <si>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</si>
  <si>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</si>
  <si>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</si>
  <si>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</si>
  <si>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</si>
  <si>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</si>
  <si>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</si>
  <si>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</si>
  <si>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</si>
  <si>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</si>
  <si>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</si>
  <si>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</si>
  <si>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</si>
  <si>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</si>
  <si>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</si>
  <si>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</si>
  <si>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</si>
  <si>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</si>
  <si>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</si>
  <si>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</si>
  <si>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</si>
  <si>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</si>
  <si>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</si>
  <si>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</si>
  <si>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</si>
  <si>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</si>
  <si>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Pamela Penney</t>
  </si>
  <si>
    <t>Jan 30/26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</si>
</sst>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F19" sqref="F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46053.5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1380</v>
      </c>
      <c r="C13" s="214">
        <f>'Grade out Information'!Z26</f>
        <v>20700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60</v>
      </c>
      <c r="C21" s="214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1440</v>
      </c>
      <c r="C27" s="216">
        <f>SUM(C13:C26)</f>
        <v>21600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5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900</v>
      </c>
      <c r="F11" s="220">
        <f>Inputs!R73*15</f>
        <v>0</v>
      </c>
      <c r="G11" s="221">
        <f>SUM(C11:F11)</f>
        <v>900</v>
      </c>
      <c r="H11" s="222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3541.8403071594548</v>
      </c>
      <c r="J15" s="229">
        <f>Inputs!P11</f>
        <v>1317.4823331992634</v>
      </c>
      <c r="K15" s="233">
        <f>J15/Z15</f>
        <v>0.36596731477757316</v>
      </c>
      <c r="L15" s="229">
        <f>Inputs!R11</f>
        <v>1790.5324327969342</v>
      </c>
      <c r="M15" s="233">
        <f>L15/Z15</f>
        <v>0.49737012022137062</v>
      </c>
      <c r="N15" s="229">
        <f>Inputs!T11</f>
        <v>304.09473534708803</v>
      </c>
      <c r="O15" s="233">
        <f>N15/Z15</f>
        <v>8.4470759818635568E-2</v>
      </c>
      <c r="P15" s="229">
        <f>Inputs!V11</f>
        <v>5.3088840644920285</v>
      </c>
      <c r="Q15" s="233">
        <f>P15/Z15</f>
        <v>1.4746900179144523E-3</v>
      </c>
      <c r="R15" s="229">
        <f>Inputs!X11</f>
        <v>0.70034647338313416</v>
      </c>
      <c r="S15" s="233">
        <f>R15/Z15</f>
        <v>1.9454068705087061E-4</v>
      </c>
      <c r="T15" s="234">
        <f>Inputs!Z11</f>
        <v>20.336686673724234</v>
      </c>
      <c r="U15" s="235">
        <f>T15/Z15</f>
        <v>5.6490796315900654E-3</v>
      </c>
      <c r="V15" s="229">
        <f>Inputs!AB11</f>
        <v>103.38488860457039</v>
      </c>
      <c r="W15" s="233">
        <f>V15/Z15</f>
        <v>2.8718024612380665E-2</v>
      </c>
      <c r="X15" s="229">
        <f>Inputs!AD11</f>
        <v>58.159692840544665</v>
      </c>
      <c r="Y15" s="182">
        <f>X15/Z15</f>
        <v>1.6155470233484629E-2</v>
      </c>
      <c r="Z15" s="207">
        <f>AB15*15</f>
        <v>3600</v>
      </c>
      <c r="AA15" s="204">
        <f>K15+M15+O15+Q15+S15+U15+W15+Y15</f>
        <v>1.0000000000000002</v>
      </c>
      <c r="AB15" s="219">
        <f>Inputs!AH11</f>
        <v>240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11516.241931509277</v>
      </c>
      <c r="J17" s="229">
        <f>Inputs!P22</f>
        <v>4107.766712693614</v>
      </c>
      <c r="K17" s="233">
        <f t="shared" ref="K17:K18" si="0">J17/Z17</f>
        <v>0.35109117202509521</v>
      </c>
      <c r="L17" s="229">
        <f>Inputs!R22</f>
        <v>5920.0198243601208</v>
      </c>
      <c r="M17" s="233">
        <f t="shared" ref="M17:M18" si="1">L17/Z17</f>
        <v>0.50598460037265991</v>
      </c>
      <c r="N17" s="229">
        <f>Inputs!T22</f>
        <v>1076.7814773823702</v>
      </c>
      <c r="O17" s="233">
        <f t="shared" ref="O17:O18" si="2">N17/Z17</f>
        <v>9.2032604904476081E-2</v>
      </c>
      <c r="P17" s="229">
        <f>Inputs!V22</f>
        <v>19.256757552442711</v>
      </c>
      <c r="Q17" s="233">
        <f t="shared" ref="Q17:Q18" si="3">P17/Z17</f>
        <v>1.6458767138839924E-3</v>
      </c>
      <c r="R17" s="229">
        <f>Inputs!X22</f>
        <v>2.2835106877756921</v>
      </c>
      <c r="S17" s="233">
        <f t="shared" ref="S17:S18" si="4">R17/Z17</f>
        <v>1.9517185365604207E-4</v>
      </c>
      <c r="T17" s="234">
        <f>Inputs!Z22</f>
        <v>63.908886837702049</v>
      </c>
      <c r="U17" s="235">
        <f>T17/Z17</f>
        <v>5.4622980203164143E-3</v>
      </c>
      <c r="V17" s="229">
        <f>Inputs!AB22</f>
        <v>326.22476199525187</v>
      </c>
      <c r="W17" s="233">
        <f t="shared" ref="W17:W18" si="5">V17/Z17</f>
        <v>2.7882458290192466E-2</v>
      </c>
      <c r="X17" s="229">
        <f>Inputs!AD22</f>
        <v>183.75806849072254</v>
      </c>
      <c r="Y17" s="182">
        <f t="shared" ref="Y17:Y18" si="6">X17/Z17</f>
        <v>1.5705817819719876E-2</v>
      </c>
      <c r="Z17" s="207">
        <f>AB17*15</f>
        <v>11700</v>
      </c>
      <c r="AA17" s="254">
        <f>K17+M17+O17+Q17+S17+U17+W17+Y17</f>
        <v>0.99999999999999989</v>
      </c>
      <c r="AB17" s="219">
        <f>Inputs!AH22</f>
        <v>780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0</v>
      </c>
      <c r="J18" s="229">
        <f>Inputs!P33</f>
        <v>0</v>
      </c>
      <c r="K18" s="233" t="e">
        <f t="shared" si="0"/>
        <v>#DIV/0!</v>
      </c>
      <c r="L18" s="229">
        <f>Inputs!R33</f>
        <v>0</v>
      </c>
      <c r="M18" s="233" t="e">
        <f t="shared" si="1"/>
        <v>#DIV/0!</v>
      </c>
      <c r="N18" s="229">
        <f>Inputs!T33</f>
        <v>0</v>
      </c>
      <c r="O18" s="233" t="e">
        <f t="shared" si="2"/>
        <v>#DIV/0!</v>
      </c>
      <c r="P18" s="229">
        <f>Inputs!V33</f>
        <v>0</v>
      </c>
      <c r="Q18" s="233" t="e">
        <f t="shared" si="3"/>
        <v>#DIV/0!</v>
      </c>
      <c r="R18" s="229">
        <f>Inputs!X33</f>
        <v>0</v>
      </c>
      <c r="S18" s="233" t="e">
        <f t="shared" si="4"/>
        <v>#DIV/0!</v>
      </c>
      <c r="T18" s="234">
        <f>Inputs!Z33</f>
        <v>0</v>
      </c>
      <c r="U18" s="235" t="e">
        <f>T18/Z18</f>
        <v>#DIV/0!</v>
      </c>
      <c r="V18" s="229">
        <f>Inputs!AB33</f>
        <v>0</v>
      </c>
      <c r="W18" s="233" t="e">
        <f t="shared" si="5"/>
        <v>#DIV/0!</v>
      </c>
      <c r="X18" s="229">
        <f>Inputs!AD33</f>
        <v>0</v>
      </c>
      <c r="Y18" s="182" t="e">
        <f t="shared" si="6"/>
        <v>#DIV/0!</v>
      </c>
      <c r="Z18" s="207">
        <f>AB18*15</f>
        <v>0</v>
      </c>
      <c r="AA18" s="254" t="e">
        <f>K18+M18+O18+Q18+S18+U18+W18+Y18</f>
        <v>#DIV/0!</v>
      </c>
      <c r="AB18" s="219">
        <f>Inputs!AH33</f>
        <v>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2656.3802303695916</v>
      </c>
      <c r="J20" s="229">
        <f>Inputs!P44</f>
        <v>988.11174989944755</v>
      </c>
      <c r="K20" s="233">
        <f t="shared" ref="K20:K21" si="7">J20/Z20</f>
        <v>0.36596731477757316</v>
      </c>
      <c r="L20" s="229">
        <f>Inputs!R44</f>
        <v>1342.8993245977006</v>
      </c>
      <c r="M20" s="233">
        <f t="shared" ref="M20:M21" si="8">L20/Z20</f>
        <v>0.49737012022137056</v>
      </c>
      <c r="N20" s="229">
        <f>Inputs!T44</f>
        <v>228.07105151031604</v>
      </c>
      <c r="O20" s="233">
        <f t="shared" ref="O20:O21" si="9">N20/Z20</f>
        <v>8.4470759818635568E-2</v>
      </c>
      <c r="P20" s="229">
        <f>Inputs!V44</f>
        <v>3.9816630483690214</v>
      </c>
      <c r="Q20" s="233">
        <f t="shared" ref="Q20:Q21" si="10">P20/Z20</f>
        <v>1.4746900179144523E-3</v>
      </c>
      <c r="R20" s="229">
        <f>Inputs!X44</f>
        <v>0.52525985503735062</v>
      </c>
      <c r="S20" s="233">
        <f t="shared" ref="S20:S21" si="11">R20/Z20</f>
        <v>1.9454068705087061E-4</v>
      </c>
      <c r="T20" s="234">
        <f>Inputs!Z44</f>
        <v>15.252515005293176</v>
      </c>
      <c r="U20" s="235">
        <f t="shared" ref="U20:U21" si="12">T20/Z20</f>
        <v>5.6490796315900654E-3</v>
      </c>
      <c r="V20" s="229">
        <f>Inputs!AB44</f>
        <v>77.538666453427794</v>
      </c>
      <c r="W20" s="233">
        <f t="shared" ref="W20:W21" si="13">V20/Z20</f>
        <v>2.8718024612380665E-2</v>
      </c>
      <c r="X20" s="229">
        <f>Inputs!AD44</f>
        <v>43.619769630408499</v>
      </c>
      <c r="Y20" s="182">
        <f t="shared" ref="Y20:Y21" si="14">X20/Z20</f>
        <v>1.6155470233484629E-2</v>
      </c>
      <c r="Z20" s="207">
        <f>AB20*15</f>
        <v>2700</v>
      </c>
      <c r="AA20" s="254">
        <f>K20+M20+O20+Q20+S20+U20+W20+Y20</f>
        <v>1.0000000000000002</v>
      </c>
      <c r="AB20" s="219">
        <f>Inputs!AH44</f>
        <v>180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885.46007678986371</v>
      </c>
      <c r="J21" s="229">
        <f>Inputs!P55</f>
        <v>329.37058329981585</v>
      </c>
      <c r="K21" s="233">
        <f t="shared" si="7"/>
        <v>0.36596731477757316</v>
      </c>
      <c r="L21" s="229">
        <f>Inputs!R55</f>
        <v>447.63310819923356</v>
      </c>
      <c r="M21" s="233">
        <f t="shared" si="8"/>
        <v>0.49737012022137062</v>
      </c>
      <c r="N21" s="229">
        <f>Inputs!T55</f>
        <v>76.023683836772008</v>
      </c>
      <c r="O21" s="233">
        <f t="shared" si="9"/>
        <v>8.4470759818635568E-2</v>
      </c>
      <c r="P21" s="229">
        <f>Inputs!V55</f>
        <v>1.3272210161230071</v>
      </c>
      <c r="Q21" s="233">
        <f t="shared" si="10"/>
        <v>1.4746900179144523E-3</v>
      </c>
      <c r="R21" s="229">
        <f>Inputs!X55</f>
        <v>0.17508661834578354</v>
      </c>
      <c r="S21" s="233">
        <f t="shared" si="11"/>
        <v>1.9454068705087061E-4</v>
      </c>
      <c r="T21" s="234">
        <f>Inputs!Z55</f>
        <v>5.0841716684310585</v>
      </c>
      <c r="U21" s="235">
        <f t="shared" si="12"/>
        <v>5.6490796315900654E-3</v>
      </c>
      <c r="V21" s="229">
        <f>Inputs!AB55</f>
        <v>25.846222151142598</v>
      </c>
      <c r="W21" s="233">
        <f t="shared" si="13"/>
        <v>2.8718024612380665E-2</v>
      </c>
      <c r="X21" s="229">
        <f>Inputs!AD55</f>
        <v>14.539923210136166</v>
      </c>
      <c r="Y21" s="182">
        <f t="shared" si="14"/>
        <v>1.6155470233484629E-2</v>
      </c>
      <c r="Z21" s="207">
        <f>AB21*15</f>
        <v>900</v>
      </c>
      <c r="AA21" s="254">
        <f>K21+M21+O21+Q21+S21+U21+W21+Y21</f>
        <v>1.0000000000000002</v>
      </c>
      <c r="AB21" s="219">
        <f>Inputs!AH55</f>
        <v>60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1770.9201535797274</v>
      </c>
      <c r="J23" s="229">
        <f>Inputs!P67</f>
        <v>658.7411665996317</v>
      </c>
      <c r="K23" s="233">
        <f>J23/Z23</f>
        <v>0.36596731477757316</v>
      </c>
      <c r="L23" s="229">
        <f>Inputs!R67</f>
        <v>895.26621639846712</v>
      </c>
      <c r="M23" s="233">
        <f>L23/Z23</f>
        <v>0.49737012022137062</v>
      </c>
      <c r="N23" s="229">
        <f>Inputs!T67</f>
        <v>152.04736767354402</v>
      </c>
      <c r="O23" s="233">
        <f>N23/Z23</f>
        <v>8.4470759818635568E-2</v>
      </c>
      <c r="P23" s="229">
        <f>Inputs!V67</f>
        <v>2.6544420322460143</v>
      </c>
      <c r="Q23" s="233">
        <f>P23/Z23</f>
        <v>1.4746900179144523E-3</v>
      </c>
      <c r="R23" s="229">
        <f>Inputs!X67</f>
        <v>0.35017323669156708</v>
      </c>
      <c r="S23" s="233">
        <f>R23/Z23</f>
        <v>1.9454068705087061E-4</v>
      </c>
      <c r="T23" s="234">
        <f>Inputs!Z67</f>
        <v>10.168343336862117</v>
      </c>
      <c r="U23" s="235">
        <f>T23/Z23</f>
        <v>5.6490796315900654E-3</v>
      </c>
      <c r="V23" s="229">
        <f>Inputs!AB67</f>
        <v>51.692444302285196</v>
      </c>
      <c r="W23" s="237">
        <f>V23/Z23</f>
        <v>2.8718024612380665E-2</v>
      </c>
      <c r="X23" s="229">
        <f>Inputs!AD67</f>
        <v>29.079846420272332</v>
      </c>
      <c r="Y23" s="212">
        <f>X23/Z23</f>
        <v>1.6155470233484629E-2</v>
      </c>
      <c r="Z23" s="207">
        <f>AB23*15</f>
        <v>1800</v>
      </c>
      <c r="AA23" s="204">
        <f>K23+M23+O23+Q23+S23+U23+W23+Y23</f>
        <v>1.0000000000000002</v>
      </c>
      <c r="AB23" s="219">
        <f>Inputs!AH67</f>
        <v>120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231"/>
      <c r="J26" s="232">
        <f>SUM(J15:J25)</f>
        <v>7401.4725456917713</v>
      </c>
      <c r="K26" s="232"/>
      <c r="L26" s="232">
        <f>SUM(L15:L25)</f>
        <v>10396.350906352456</v>
      </c>
      <c r="M26" s="232"/>
      <c r="N26" s="232">
        <f>SUM(N15:N25)</f>
        <v>1837.0183157500903</v>
      </c>
      <c r="O26" s="232"/>
      <c r="P26" s="232">
        <f>SUM(P15:P25)</f>
        <v>32.528967713672785</v>
      </c>
      <c r="Q26" s="232"/>
      <c r="R26" s="232">
        <f>SUM(R15:R25)</f>
        <v>4.034376871233528</v>
      </c>
      <c r="S26" s="232"/>
      <c r="T26" s="232">
        <f>SUM(T15:T25)</f>
        <v>114.75060352201264</v>
      </c>
      <c r="U26" s="232"/>
      <c r="V26" s="232">
        <f>SUM(V15:V25)</f>
        <v>584.68698350667773</v>
      </c>
      <c r="W26" s="232"/>
      <c r="X26" s="232">
        <f>SUM(X15:X25)</f>
        <v>329.1573005920842</v>
      </c>
      <c r="Y26" s="139"/>
      <c r="Z26" s="139">
        <f>SUM(Z15:Z25)</f>
        <v>20700</v>
      </c>
      <c r="AA26" s="139"/>
      <c r="AB26" s="139">
        <f>SUM(AB15:AB25)</f>
        <v>1380</v>
      </c>
      <c r="AC26" s="141">
        <f>IF(AB33=0,0,AB33/(H33+AB33))</f>
        <v>0</v>
      </c>
      <c r="AD26" s="139">
        <f>G26+Z26</f>
        <v>21600</v>
      </c>
      <c r="AE26" s="139">
        <f>H26+AB26</f>
        <v>1440</v>
      </c>
      <c r="AF26" s="141">
        <f>I26+AC26</f>
        <v>0</v>
      </c>
    </row>
    <row r="30" spans="1:32" x14ac:dyDescent="0.2">
      <c r="A30" s="3" t="s">
        <v>100</v>
      </c>
      <c r="B30">
        <f>J26</f>
        <v>7401.4725456917713</v>
      </c>
    </row>
    <row r="31" spans="1:32" x14ac:dyDescent="0.2">
      <c r="A31" s="3" t="s">
        <v>101</v>
      </c>
      <c r="B31">
        <f>L26</f>
        <v>10396.350906352456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1837.0183157500903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32.528967713672785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4.034376871233528</v>
      </c>
    </row>
    <row r="35" spans="1:13" x14ac:dyDescent="0.2">
      <c r="A35" s="3" t="s">
        <v>105</v>
      </c>
      <c r="B35">
        <f>T26</f>
        <v>114.75060352201264</v>
      </c>
    </row>
    <row r="36" spans="1:13" x14ac:dyDescent="0.2">
      <c r="A36" s="3" t="s">
        <v>214</v>
      </c>
      <c r="B36">
        <f>V26</f>
        <v>584.68698350667773</v>
      </c>
    </row>
    <row r="37" spans="1:13" x14ac:dyDescent="0.2">
      <c r="A37" s="3" t="s">
        <v>225</v>
      </c>
      <c r="B37" s="162">
        <f>X26</f>
        <v>329.1573005920842</v>
      </c>
    </row>
    <row r="39" spans="1:13" x14ac:dyDescent="0.2">
      <c r="A39" s="3" t="s">
        <v>118</v>
      </c>
      <c r="B39">
        <f>SUM(B30:B37)</f>
        <v>20700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5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46053.5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28335.000000000004</v>
      </c>
      <c r="I7" s="27">
        <v>0</v>
      </c>
      <c r="J7" s="26">
        <f>IFERROR(H7-I7,"")</f>
        <v>28335.000000000004</v>
      </c>
      <c r="K7" s="26">
        <f>IFERROR(($E$26/($H$27+$H$28)*$H$27)*R28,"")</f>
        <v>457.76524906578697</v>
      </c>
      <c r="L7" s="26">
        <f>IFERROR(($E$26/($H$27+$H$28)*$H$27)*S28,"")</f>
        <v>0</v>
      </c>
      <c r="M7" s="28">
        <f>IFERROR(K7+L7,"")</f>
        <v>457.76524906578697</v>
      </c>
      <c r="N7" s="29">
        <f>IFERROR(O7+P7+Q7+R7+S7+T7+U7+V7,"")</f>
        <v>27877.234750934218</v>
      </c>
      <c r="O7" s="26">
        <f t="shared" ref="O7:V7" si="0">IFERROR(($E$26/($H$27+$H$28)*$H$27)*J28,"")</f>
        <v>0</v>
      </c>
      <c r="P7" s="26">
        <f t="shared" si="0"/>
        <v>10369.683864222536</v>
      </c>
      <c r="Q7" s="26">
        <f t="shared" si="0"/>
        <v>14092.982356472536</v>
      </c>
      <c r="R7" s="26">
        <f t="shared" si="0"/>
        <v>2393.4789794610388</v>
      </c>
      <c r="S7" s="26">
        <f t="shared" si="0"/>
        <v>41.785341657606004</v>
      </c>
      <c r="T7" s="26">
        <f t="shared" si="0"/>
        <v>160.06667136110451</v>
      </c>
      <c r="U7" s="26">
        <f t="shared" si="0"/>
        <v>813.72522739180613</v>
      </c>
      <c r="V7" s="26">
        <f t="shared" si="0"/>
        <v>5.5123103675864185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19996.178891626914</v>
      </c>
      <c r="I10" s="27">
        <v>0</v>
      </c>
      <c r="J10" s="26">
        <f>IFERROR(H10-I10,"")</f>
        <v>19996.178891626914</v>
      </c>
      <c r="K10" s="26">
        <f>IFERROR(($E$30/($H$31+$H$32)*$H$31)*R32,"")</f>
        <v>314.05634276242029</v>
      </c>
      <c r="L10" s="26">
        <f>IFERROR(($E$30/($H$31+$H$32)*$H$31)*S32,"")</f>
        <v>0</v>
      </c>
      <c r="M10" s="28">
        <f>IFERROR(K10+L10,"")</f>
        <v>314.05634276242029</v>
      </c>
      <c r="N10" s="29">
        <f>IFERROR(O10+P10+Q10+R10+S10+T10+U10+V10,"")</f>
        <v>19682.122548864492</v>
      </c>
      <c r="O10" s="26">
        <f t="shared" ref="O10:V10" si="2">IFERROR(($E$30/($H$31+$H$32)*$H$31)*J32,"")</f>
        <v>0</v>
      </c>
      <c r="P10" s="26">
        <f t="shared" si="2"/>
        <v>7020.4818830847598</v>
      </c>
      <c r="Q10" s="26">
        <f t="shared" si="2"/>
        <v>10117.758585460058</v>
      </c>
      <c r="R10" s="26">
        <f t="shared" si="2"/>
        <v>1840.3004315323235</v>
      </c>
      <c r="S10" s="26">
        <f t="shared" si="2"/>
        <v>32.911245204387349</v>
      </c>
      <c r="T10" s="26">
        <f t="shared" si="2"/>
        <v>109.22508837362652</v>
      </c>
      <c r="U10" s="26">
        <f t="shared" si="2"/>
        <v>557.5426239090142</v>
      </c>
      <c r="V10" s="26">
        <f t="shared" si="2"/>
        <v>3.9026913003166444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2218.8211083730916</v>
      </c>
      <c r="I11" s="27">
        <v>0</v>
      </c>
      <c r="J11" s="26">
        <f>IFERROR(H11-I11,"")</f>
        <v>2218.8211083730916</v>
      </c>
      <c r="K11" s="26">
        <f>IFERROR(($E$30/($H$31+$H$32)*$H$32)*R32,"")</f>
        <v>34.848400102656726</v>
      </c>
      <c r="L11" s="26">
        <f>IFERROR(($E$30/($H$31+$H$32)*$H$32)*S32,"")</f>
        <v>0</v>
      </c>
      <c r="M11" s="28">
        <f>IFERROR(K11+L11,"")</f>
        <v>34.848400102656726</v>
      </c>
      <c r="N11" s="29">
        <f>IFERROR(O11+P11+Q11+R11+S11+T11+U11+V11,"")</f>
        <v>2183.9727082704349</v>
      </c>
      <c r="O11" s="26">
        <f t="shared" ref="O11:V11" si="3">IFERROR(($E$30/($H$31+$H$32)*$H$32)*J32,"")</f>
        <v>0</v>
      </c>
      <c r="P11" s="26">
        <f t="shared" si="3"/>
        <v>779.00850345272988</v>
      </c>
      <c r="Q11" s="26">
        <f t="shared" si="3"/>
        <v>1122.6893118185815</v>
      </c>
      <c r="R11" s="26">
        <f t="shared" si="3"/>
        <v>204.20388642061252</v>
      </c>
      <c r="S11" s="26">
        <f t="shared" si="3"/>
        <v>3.6519059945455434</v>
      </c>
      <c r="T11" s="26">
        <f t="shared" si="3"/>
        <v>12.119862147702616</v>
      </c>
      <c r="U11" s="26">
        <f t="shared" si="3"/>
        <v>61.866187007611373</v>
      </c>
      <c r="V11" s="26">
        <f t="shared" si="3"/>
        <v>0.43305142865233032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16043.213878868428</v>
      </c>
      <c r="I13" s="27">
        <v>0</v>
      </c>
      <c r="J13" s="26">
        <f>IFERROR(H13-I13,"")</f>
        <v>16043.213878868428</v>
      </c>
      <c r="K13" s="26">
        <f>IFERROR(($E$34/($H$35+$H$36)*$H$35)*R36,"")</f>
        <v>259.18566426948632</v>
      </c>
      <c r="L13" s="26">
        <f>IFERROR(($E$34/($H$35+$H$36)*$H$35)*S36,"")</f>
        <v>0</v>
      </c>
      <c r="M13" s="28">
        <f>IFERROR(K13+L13,"")</f>
        <v>259.18566426948632</v>
      </c>
      <c r="N13" s="29">
        <f>IFERROR(O13+P13+Q13+R13+S13+T13+U13+V13,"")</f>
        <v>15784.028214598942</v>
      </c>
      <c r="O13" s="26">
        <f t="shared" ref="O13:V13" si="4">IFERROR(($E$34/($H$35+$H$36)*$H$35)*J36,"")</f>
        <v>0</v>
      </c>
      <c r="P13" s="26">
        <f t="shared" si="4"/>
        <v>5871.2919036517715</v>
      </c>
      <c r="Q13" s="26">
        <f t="shared" si="4"/>
        <v>7979.4152156699511</v>
      </c>
      <c r="R13" s="26">
        <f t="shared" si="4"/>
        <v>1355.1824662808956</v>
      </c>
      <c r="S13" s="26">
        <f t="shared" si="4"/>
        <v>23.658767362433871</v>
      </c>
      <c r="T13" s="26">
        <f t="shared" si="4"/>
        <v>90.629392748358669</v>
      </c>
      <c r="U13" s="26">
        <f t="shared" si="4"/>
        <v>460.72941103503052</v>
      </c>
      <c r="V13" s="26">
        <f t="shared" si="4"/>
        <v>3.1210578504991267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1071.7861211315742</v>
      </c>
      <c r="I14" s="27">
        <v>0</v>
      </c>
      <c r="J14" s="26">
        <f>IFERROR(H14-I14,"")</f>
        <v>1071.7861211315742</v>
      </c>
      <c r="K14" s="26">
        <f>IFERROR(($E$34/($H$35+$H$36)*$H$36)*R36,"")</f>
        <v>17.315208776603093</v>
      </c>
      <c r="L14" s="26">
        <f>IFERROR(($E$34/($H$35+$H$36)*$H$36)*S36,"")</f>
        <v>0</v>
      </c>
      <c r="M14" s="28">
        <f>IFERROR(K14+L14,"")</f>
        <v>17.315208776603093</v>
      </c>
      <c r="N14" s="29">
        <f>IFERROR(O14+P14+Q14+R14+S14+T14+U14+V14,"")</f>
        <v>1054.470912354971</v>
      </c>
      <c r="O14" s="26">
        <f t="shared" ref="O14:V14" si="5">IFERROR(($E$34/($H$35+$H$36)*$H$36)*J36,"")</f>
        <v>0</v>
      </c>
      <c r="P14" s="26">
        <f t="shared" si="5"/>
        <v>392.2386887663929</v>
      </c>
      <c r="Q14" s="26">
        <f t="shared" si="5"/>
        <v>533.07439191880746</v>
      </c>
      <c r="R14" s="26">
        <f t="shared" si="5"/>
        <v>90.534588015052236</v>
      </c>
      <c r="S14" s="26">
        <f t="shared" si="5"/>
        <v>1.5805522941719823</v>
      </c>
      <c r="T14" s="26">
        <f t="shared" si="5"/>
        <v>6.0546051463052972</v>
      </c>
      <c r="U14" s="26">
        <f t="shared" si="5"/>
        <v>30.779580205864548</v>
      </c>
      <c r="V14" s="26">
        <f t="shared" si="5"/>
        <v>0.20850600837652403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15270.000000000002</v>
      </c>
      <c r="I16" s="27">
        <v>0</v>
      </c>
      <c r="J16" s="26">
        <f>IFERROR(H16-I16,"")</f>
        <v>15270.000000000002</v>
      </c>
      <c r="K16" s="26">
        <f>IFERROR(($E$38/($H$39)*$H$39)*R40,"")</f>
        <v>246.69403046531028</v>
      </c>
      <c r="L16" s="26">
        <f>IFERROR(($E$38/($H$39)*$H$39)*S40,"")</f>
        <v>0</v>
      </c>
      <c r="M16" s="28">
        <f>IFERROR(K16+L16,"")</f>
        <v>246.69403046531028</v>
      </c>
      <c r="N16" s="29">
        <f>IFERROR(O16+P16+Q16+R16+S16+T16+U16+V16,"")</f>
        <v>15023.305969534691</v>
      </c>
      <c r="O16" s="26">
        <f t="shared" ref="O16:V16" si="6">IFERROR(($E$38/($H$39)*$H$39)*J40,"")</f>
        <v>0</v>
      </c>
      <c r="P16" s="26">
        <f t="shared" si="6"/>
        <v>5588.3208966535421</v>
      </c>
      <c r="Q16" s="26">
        <f t="shared" si="6"/>
        <v>7594.8417357803291</v>
      </c>
      <c r="R16" s="26">
        <f t="shared" si="6"/>
        <v>1289.8685024305651</v>
      </c>
      <c r="S16" s="26">
        <f t="shared" si="6"/>
        <v>22.518516573553686</v>
      </c>
      <c r="T16" s="26">
        <f t="shared" si="6"/>
        <v>86.261445974380294</v>
      </c>
      <c r="U16" s="26">
        <f t="shared" si="6"/>
        <v>438.52423583105275</v>
      </c>
      <c r="V16" s="26">
        <f t="shared" si="6"/>
        <v>2.9706362912667941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82935.000000000015</v>
      </c>
      <c r="I19" s="37">
        <f t="shared" si="7"/>
        <v>0</v>
      </c>
      <c r="J19" s="37">
        <f t="shared" si="7"/>
        <v>82935.000000000015</v>
      </c>
      <c r="K19" s="37">
        <f t="shared" si="7"/>
        <v>1329.8648954422638</v>
      </c>
      <c r="L19" s="37">
        <f t="shared" si="7"/>
        <v>0</v>
      </c>
      <c r="M19" s="37">
        <f t="shared" si="7"/>
        <v>1329.8648954422638</v>
      </c>
      <c r="N19" s="37">
        <f t="shared" si="7"/>
        <v>81605.135104557747</v>
      </c>
      <c r="O19" s="37">
        <f t="shared" si="7"/>
        <v>0</v>
      </c>
      <c r="P19" s="37">
        <f t="shared" si="7"/>
        <v>30021.02573983173</v>
      </c>
      <c r="Q19" s="37">
        <f t="shared" si="7"/>
        <v>41440.761597120261</v>
      </c>
      <c r="R19" s="37">
        <f t="shared" si="7"/>
        <v>7173.5688541404879</v>
      </c>
      <c r="S19" s="37">
        <f t="shared" si="7"/>
        <v>126.10632908669842</v>
      </c>
      <c r="T19" s="37">
        <f t="shared" si="7"/>
        <v>464.35706575147793</v>
      </c>
      <c r="U19" s="37">
        <f t="shared" si="7"/>
        <v>2363.1672653803798</v>
      </c>
      <c r="V19" s="37">
        <f t="shared" si="7"/>
        <v>16.148253246697838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82935.000000000015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28335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48947</v>
      </c>
      <c r="I27" s="26"/>
      <c r="J27" s="195"/>
      <c r="K27" s="195">
        <f t="shared" ref="K27:R27" si="8">$E26*K28</f>
        <v>10369.683864222536</v>
      </c>
      <c r="L27" s="195">
        <f t="shared" si="8"/>
        <v>14092.982356472536</v>
      </c>
      <c r="M27" s="195">
        <f t="shared" si="8"/>
        <v>2393.4789794610388</v>
      </c>
      <c r="N27" s="195">
        <f t="shared" si="8"/>
        <v>41.785341657606004</v>
      </c>
      <c r="O27" s="195">
        <f t="shared" si="8"/>
        <v>160.06667136110451</v>
      </c>
      <c r="P27" s="195">
        <f t="shared" si="8"/>
        <v>813.72522739180613</v>
      </c>
      <c r="Q27" s="195">
        <f t="shared" si="8"/>
        <v>5.5123103675864185</v>
      </c>
      <c r="R27" s="195">
        <f t="shared" si="8"/>
        <v>457.76524906578697</v>
      </c>
      <c r="S27" s="195"/>
      <c r="T27" s="196">
        <f>SUM(J27:S27)</f>
        <v>28335.000000000004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22215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34336</v>
      </c>
      <c r="I31" s="30"/>
      <c r="J31" s="195"/>
      <c r="K31" s="195">
        <f t="shared" ref="K31:R31" si="9">$E30*K32</f>
        <v>7799.4903865374899</v>
      </c>
      <c r="L31" s="195">
        <f t="shared" si="9"/>
        <v>11240.44789727864</v>
      </c>
      <c r="M31" s="195">
        <f t="shared" si="9"/>
        <v>2044.5043179529362</v>
      </c>
      <c r="N31" s="195">
        <f t="shared" si="9"/>
        <v>36.563151198932893</v>
      </c>
      <c r="O31" s="195">
        <f t="shared" si="9"/>
        <v>121.34495052132914</v>
      </c>
      <c r="P31" s="195">
        <f t="shared" si="9"/>
        <v>619.40881091662561</v>
      </c>
      <c r="Q31" s="195">
        <f t="shared" si="9"/>
        <v>4.3357427289689747</v>
      </c>
      <c r="R31" s="195">
        <f t="shared" si="9"/>
        <v>348.90474286507703</v>
      </c>
      <c r="S31" s="195"/>
      <c r="T31" s="196">
        <f>SUM(J31:S31)</f>
        <v>22215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3810</v>
      </c>
      <c r="I32" s="30"/>
      <c r="J32" s="194"/>
      <c r="K32" s="194">
        <f>Inputs!Q82</f>
        <v>0.35109117202509521</v>
      </c>
      <c r="L32" s="194">
        <f>Inputs!S82</f>
        <v>0.50598460037265991</v>
      </c>
      <c r="M32" s="194">
        <f>Inputs!U82</f>
        <v>9.2032604904476081E-2</v>
      </c>
      <c r="N32" s="194">
        <f>Inputs!W82</f>
        <v>1.6458767138839924E-3</v>
      </c>
      <c r="O32" s="194">
        <f>Inputs!AA82</f>
        <v>5.4622980203164143E-3</v>
      </c>
      <c r="P32" s="194">
        <f>Inputs!AC82</f>
        <v>2.7882458290192466E-2</v>
      </c>
      <c r="Q32" s="194">
        <f>Inputs!Y82</f>
        <v>1.9517185365604207E-4</v>
      </c>
      <c r="R32" s="194">
        <f>Inputs!AE82</f>
        <v>1.5705817819719876E-2</v>
      </c>
      <c r="S32" s="194"/>
      <c r="T32" s="197">
        <f>SUM(J32:S32)</f>
        <v>0.99999999999999989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17115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29623</v>
      </c>
      <c r="I35" s="30"/>
      <c r="J35" s="195"/>
      <c r="K35" s="195">
        <f t="shared" ref="K35:R35" si="10">$E$34*K36</f>
        <v>6263.5305924181648</v>
      </c>
      <c r="L35" s="195">
        <f t="shared" si="10"/>
        <v>8512.4896075887573</v>
      </c>
      <c r="M35" s="195">
        <f t="shared" si="10"/>
        <v>1445.7170542959477</v>
      </c>
      <c r="N35" s="195">
        <f t="shared" si="10"/>
        <v>25.239319656605851</v>
      </c>
      <c r="O35" s="195">
        <f t="shared" si="10"/>
        <v>96.683997894663975</v>
      </c>
      <c r="P35" s="195">
        <f t="shared" si="10"/>
        <v>491.50899124089511</v>
      </c>
      <c r="Q35" s="195">
        <f t="shared" si="10"/>
        <v>3.3295638588756504</v>
      </c>
      <c r="R35" s="195">
        <f t="shared" si="10"/>
        <v>276.50087304608945</v>
      </c>
      <c r="S35" s="195"/>
      <c r="T35" s="196">
        <f>SUM(J35:S35)</f>
        <v>17115.000000000004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1979</v>
      </c>
      <c r="I36" s="30"/>
      <c r="J36" s="194"/>
      <c r="K36" s="194">
        <f>Inputs!Q89</f>
        <v>0.36596731477757316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15270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24733</v>
      </c>
      <c r="I39" s="30"/>
      <c r="J39" s="195"/>
      <c r="K39" s="195">
        <f t="shared" ref="K39:R39" si="11">$E38*K40</f>
        <v>5588.3208966535421</v>
      </c>
      <c r="L39" s="195">
        <f t="shared" si="11"/>
        <v>7594.8417357803291</v>
      </c>
      <c r="M39" s="195">
        <f t="shared" si="11"/>
        <v>1289.8685024305651</v>
      </c>
      <c r="N39" s="195">
        <f t="shared" si="11"/>
        <v>22.518516573553686</v>
      </c>
      <c r="O39" s="195">
        <f t="shared" si="11"/>
        <v>86.261445974380294</v>
      </c>
      <c r="P39" s="195">
        <f t="shared" si="11"/>
        <v>438.52423583105275</v>
      </c>
      <c r="Q39" s="195">
        <f t="shared" si="11"/>
        <v>2.9706362912667941</v>
      </c>
      <c r="R39" s="195">
        <f t="shared" si="11"/>
        <v>246.69403046531028</v>
      </c>
      <c r="S39" s="195"/>
      <c r="T39" s="196">
        <f>SUM(J39:S39)</f>
        <v>15270.000000000002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0.36596731477757316</v>
      </c>
      <c r="L40" s="194">
        <f>Inputs!S67</f>
        <v>0.49737012022137062</v>
      </c>
      <c r="M40" s="194">
        <f>Inputs!U67</f>
        <v>8.4470759818635568E-2</v>
      </c>
      <c r="N40" s="194">
        <f>Inputs!W67</f>
        <v>1.4746900179144523E-3</v>
      </c>
      <c r="O40" s="194">
        <f>Inputs!AA67</f>
        <v>5.6490796315900654E-3</v>
      </c>
      <c r="P40" s="194">
        <f>Inputs!AC67</f>
        <v>2.8718024612380665E-2</v>
      </c>
      <c r="Q40" s="194">
        <f>Inputs!Y67</f>
        <v>1.9454068705087061E-4</v>
      </c>
      <c r="R40" s="194">
        <f>Inputs!AE67</f>
        <v>1.6155470233484629E-2</v>
      </c>
      <c r="S40" s="194"/>
      <c r="T40" s="197">
        <f>SUM(J40:S40)</f>
        <v>1.0000000000000002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6" sqref="B16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48947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34336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3810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29623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1979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24733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F32" sqref="F3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5</v>
      </c>
      <c r="C7" s="151">
        <v>1263154</v>
      </c>
      <c r="D7" s="185" t="s">
        <v>167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1455</v>
      </c>
      <c r="J7" s="186">
        <f t="shared" ref="J7:J38" si="1">IF(H7="NEW",203, IF(H7="OLD",192,0))</f>
        <v>203</v>
      </c>
      <c r="K7" s="151">
        <v>1658</v>
      </c>
      <c r="L7" s="206">
        <f t="shared" ref="L7:L38" si="2">IF(K7&gt;0,I7/E7,"NA")</f>
        <v>24.25</v>
      </c>
      <c r="M7" s="151">
        <v>955227</v>
      </c>
      <c r="N7" s="152" t="s">
        <v>237</v>
      </c>
      <c r="O7" s="157" t="s">
        <v>47</v>
      </c>
      <c r="P7" s="184">
        <f>IF(D7=Inputs!F$4,Inputs!I$4,IF(D7=Inputs!F$2,Inputs!I$2,IF(D7=Inputs!F$3,Inputs!I$3,IF(D7=Inputs!F$5,Inputs!I$5,"NA"))))</f>
        <v>68.785714285714292</v>
      </c>
      <c r="Q7" s="255">
        <f>IF(ROUNDDOWN(I7/60,0)&gt;24, 24, ROUNDDOWN(I7/60,0))</f>
        <v>24</v>
      </c>
      <c r="R7" s="142">
        <f>IF(O7="MED",72,(IF(D7="7169-E6",3,0)+IF(D7="7168-E7",14,0)+IF(D7="7169-E10",36,0)+IF(D7="7168-E11",59,0))+IF(O7="Brown",11,0)+(Q7-18))</f>
        <v>20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5</v>
      </c>
      <c r="C8" s="151">
        <v>1263155</v>
      </c>
      <c r="D8" s="185" t="s">
        <v>6</v>
      </c>
      <c r="E8" s="148">
        <v>60</v>
      </c>
      <c r="F8" s="185"/>
      <c r="G8" s="185" t="s">
        <v>10</v>
      </c>
      <c r="H8" s="188" t="s">
        <v>184</v>
      </c>
      <c r="I8" s="205" t="str">
        <f t="shared" si="0"/>
        <v>NA</v>
      </c>
      <c r="J8" s="186">
        <f t="shared" si="1"/>
        <v>203</v>
      </c>
      <c r="K8" s="151"/>
      <c r="L8" s="206" t="str">
        <f t="shared" si="2"/>
        <v>NA</v>
      </c>
      <c r="M8" s="151">
        <v>955227</v>
      </c>
      <c r="N8" s="152" t="s">
        <v>237</v>
      </c>
      <c r="O8" s="157" t="s">
        <v>10</v>
      </c>
      <c r="P8" s="184" t="str">
        <f>IF(D8=Inputs!F$4,Inputs!I$4,IF(D8=Inputs!F$2,Inputs!I$2,IF(D8=Inputs!F$3,Inputs!I$3,IF(D8=Inputs!F$5,Inputs!I$5,"NA"))))</f>
        <v>NA</v>
      </c>
      <c r="Q8" s="255" t="e">
        <f t="shared" ref="Q8:Q71" si="3">IF(ROUNDDOWN(I8/60,0)&gt;24, 24, ROUNDDOWN(I8/60,0))</f>
        <v>#VALUE!</v>
      </c>
      <c r="R8" s="142">
        <f>IF(O8="MED",72,(IF(D8="7169-E6",3,0)+IF(D8="7168-E7",14,0)+IF(D8="7169-E10",36,0)+IF(D8="7168-E11",59,0))+IF(O8="Brown",11,0)+(Q8-18))</f>
        <v>72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5</v>
      </c>
      <c r="C9" s="151">
        <v>1263156</v>
      </c>
      <c r="D9" s="185" t="s">
        <v>5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1485</v>
      </c>
      <c r="J9" s="186">
        <f t="shared" si="1"/>
        <v>203</v>
      </c>
      <c r="K9" s="151">
        <v>1688</v>
      </c>
      <c r="L9" s="206">
        <f t="shared" si="2"/>
        <v>24.75</v>
      </c>
      <c r="M9" s="151">
        <v>955227</v>
      </c>
      <c r="N9" s="152" t="s">
        <v>237</v>
      </c>
      <c r="O9" s="157" t="s">
        <v>47</v>
      </c>
      <c r="P9" s="184">
        <f>IF(D9=Inputs!F$4,Inputs!I$4,IF(D9=Inputs!F$2,Inputs!I$2,IF(D9=Inputs!F$3,Inputs!I$3,IF(D9=Inputs!F$5,Inputs!I$5,"NA"))))</f>
        <v>43.357142857142854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9</v>
      </c>
      <c r="U9" s="142" t="s">
        <v>222</v>
      </c>
      <c r="V9" s="142">
        <f>COUNTIF(R$7:R$82,9)*60</f>
        <v>240</v>
      </c>
    </row>
    <row r="10" spans="1:22" x14ac:dyDescent="0.25">
      <c r="A10" s="148">
        <v>11</v>
      </c>
      <c r="B10" s="186">
        <f>Inputs!C$2</f>
        <v>5</v>
      </c>
      <c r="C10" s="151">
        <v>1263157</v>
      </c>
      <c r="D10" s="185" t="s">
        <v>5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1493</v>
      </c>
      <c r="J10" s="186">
        <f t="shared" si="1"/>
        <v>203</v>
      </c>
      <c r="K10" s="151">
        <v>1696</v>
      </c>
      <c r="L10" s="206">
        <f t="shared" si="2"/>
        <v>24.883333333333333</v>
      </c>
      <c r="M10" s="151">
        <v>955227</v>
      </c>
      <c r="N10" s="152" t="s">
        <v>237</v>
      </c>
      <c r="O10" s="157" t="s">
        <v>47</v>
      </c>
      <c r="P10" s="184">
        <f>IF(D10=Inputs!F$4,Inputs!I$4,IF(D10=Inputs!F$2,Inputs!I$2,IF(D10=Inputs!F$3,Inputs!I$3,IF(D10=Inputs!F$5,Inputs!I$5,"NA"))))</f>
        <v>43.357142857142854</v>
      </c>
      <c r="Q10" s="255">
        <f t="shared" si="3"/>
        <v>24</v>
      </c>
      <c r="R10" s="142">
        <f t="shared" si="4"/>
        <v>9</v>
      </c>
      <c r="U10" s="142" t="s">
        <v>50</v>
      </c>
      <c r="V10" s="142">
        <f>SUM(V3:V9)</f>
        <v>240</v>
      </c>
    </row>
    <row r="11" spans="1:22" x14ac:dyDescent="0.25">
      <c r="A11" s="148">
        <v>13</v>
      </c>
      <c r="B11" s="186">
        <f>Inputs!C$2</f>
        <v>5</v>
      </c>
      <c r="C11" s="151">
        <v>1263158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1473</v>
      </c>
      <c r="J11" s="186">
        <f t="shared" si="1"/>
        <v>203</v>
      </c>
      <c r="K11" s="151">
        <v>1676</v>
      </c>
      <c r="L11" s="206">
        <f t="shared" si="2"/>
        <v>24.55</v>
      </c>
      <c r="M11" s="151">
        <v>955227</v>
      </c>
      <c r="N11" s="152" t="s">
        <v>237</v>
      </c>
      <c r="O11" s="157" t="s">
        <v>47</v>
      </c>
      <c r="P11" s="184">
        <f>IF(D11=Inputs!F$4,Inputs!I$4,IF(D11=Inputs!F$2,Inputs!I$2,IF(D11=Inputs!F$3,Inputs!I$3,IF(D11=Inputs!F$5,Inputs!I$5,"NA"))))</f>
        <v>43.357142857142854</v>
      </c>
      <c r="Q11" s="255">
        <f>IF(ROUNDDOWN(I11/60,0)&gt;24, 24, ROUNDDOWN(I11/60,0))</f>
        <v>24</v>
      </c>
      <c r="R11" s="142">
        <f t="shared" si="4"/>
        <v>9</v>
      </c>
    </row>
    <row r="12" spans="1:22" x14ac:dyDescent="0.25">
      <c r="A12" s="148">
        <v>29</v>
      </c>
      <c r="B12" s="186">
        <f>Inputs!C$2</f>
        <v>5</v>
      </c>
      <c r="C12" s="151">
        <v>1263159</v>
      </c>
      <c r="D12" s="185" t="s">
        <v>5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1479</v>
      </c>
      <c r="J12" s="186">
        <f t="shared" si="1"/>
        <v>203</v>
      </c>
      <c r="K12" s="151">
        <v>1682</v>
      </c>
      <c r="L12" s="206">
        <f t="shared" si="2"/>
        <v>24.65</v>
      </c>
      <c r="M12" s="151">
        <v>955227</v>
      </c>
      <c r="N12" s="152" t="s">
        <v>237</v>
      </c>
      <c r="O12" s="157" t="s">
        <v>47</v>
      </c>
      <c r="P12" s="184">
        <f>IF(D12=Inputs!F$4,Inputs!I$4,IF(D12=Inputs!F$2,Inputs!I$2,IF(D12=Inputs!F$3,Inputs!I$3,IF(D12=Inputs!F$5,Inputs!I$5,"NA"))))</f>
        <v>43.357142857142854</v>
      </c>
      <c r="Q12" s="255">
        <f t="shared" si="3"/>
        <v>24</v>
      </c>
      <c r="R12" s="142">
        <f t="shared" si="4"/>
        <v>9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5</v>
      </c>
      <c r="C13" s="151">
        <v>1263160</v>
      </c>
      <c r="D13" s="185" t="s">
        <v>208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1487</v>
      </c>
      <c r="J13" s="186">
        <f t="shared" si="1"/>
        <v>203</v>
      </c>
      <c r="K13" s="151">
        <v>1690</v>
      </c>
      <c r="L13" s="206">
        <f t="shared" si="2"/>
        <v>24.783333333333335</v>
      </c>
      <c r="M13" s="151">
        <v>955227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55.785714285714285</v>
      </c>
      <c r="Q13" s="255">
        <f t="shared" si="3"/>
        <v>24</v>
      </c>
      <c r="R13" s="142">
        <f t="shared" si="4"/>
        <v>42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5</v>
      </c>
      <c r="C14" s="151">
        <v>1263161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1497</v>
      </c>
      <c r="J14" s="186">
        <f t="shared" si="1"/>
        <v>203</v>
      </c>
      <c r="K14" s="151">
        <v>1700</v>
      </c>
      <c r="L14" s="206">
        <f t="shared" si="2"/>
        <v>24.95</v>
      </c>
      <c r="M14" s="151">
        <v>955227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55.785714285714285</v>
      </c>
      <c r="Q14" s="255">
        <f t="shared" si="3"/>
        <v>24</v>
      </c>
      <c r="R14" s="142">
        <f t="shared" si="4"/>
        <v>42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5</v>
      </c>
      <c r="C15" s="151">
        <v>1263162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1509</v>
      </c>
      <c r="J15" s="186">
        <f t="shared" si="1"/>
        <v>203</v>
      </c>
      <c r="K15" s="151">
        <v>1712</v>
      </c>
      <c r="L15" s="206">
        <f t="shared" si="2"/>
        <v>25.15</v>
      </c>
      <c r="M15" s="151">
        <v>955227</v>
      </c>
      <c r="N15" s="152" t="s">
        <v>237</v>
      </c>
      <c r="O15" s="157" t="s">
        <v>47</v>
      </c>
      <c r="P15" s="184">
        <f>IF(D15=Inputs!F$4,Inputs!I$4,IF(D15=Inputs!F$2,Inputs!I$2,IF(D15=Inputs!F$3,Inputs!I$3,IF(D15=Inputs!F$5,Inputs!I$5,"NA"))))</f>
        <v>55.785714285714285</v>
      </c>
      <c r="Q15" s="255">
        <f t="shared" si="3"/>
        <v>24</v>
      </c>
      <c r="R15" s="142">
        <f t="shared" si="4"/>
        <v>42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5</v>
      </c>
      <c r="C16" s="151">
        <v>1263163</v>
      </c>
      <c r="D16" s="185" t="s">
        <v>167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1449</v>
      </c>
      <c r="J16" s="186">
        <f t="shared" si="1"/>
        <v>203</v>
      </c>
      <c r="K16" s="151">
        <v>1652</v>
      </c>
      <c r="L16" s="206">
        <f t="shared" si="2"/>
        <v>24.15</v>
      </c>
      <c r="M16" s="151">
        <v>955227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68.785714285714292</v>
      </c>
      <c r="Q16" s="255">
        <f t="shared" si="3"/>
        <v>24</v>
      </c>
      <c r="R16" s="142">
        <f t="shared" si="4"/>
        <v>20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5</v>
      </c>
      <c r="C17" s="151">
        <v>1263164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1475</v>
      </c>
      <c r="J17" s="186">
        <f t="shared" si="1"/>
        <v>203</v>
      </c>
      <c r="K17" s="151">
        <v>1678</v>
      </c>
      <c r="L17" s="206">
        <f t="shared" si="2"/>
        <v>24.583333333333332</v>
      </c>
      <c r="M17" s="151">
        <v>955227</v>
      </c>
      <c r="N17" s="152" t="s">
        <v>237</v>
      </c>
      <c r="O17" s="157" t="s">
        <v>47</v>
      </c>
      <c r="P17" s="184">
        <f>IF(D17=Inputs!F$4,Inputs!I$4,IF(D17=Inputs!F$2,Inputs!I$2,IF(D17=Inputs!F$3,Inputs!I$3,IF(D17=Inputs!F$5,Inputs!I$5,"NA"))))</f>
        <v>68.785714285714292</v>
      </c>
      <c r="Q17" s="255">
        <f t="shared" si="3"/>
        <v>24</v>
      </c>
      <c r="R17" s="142">
        <f t="shared" si="4"/>
        <v>20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5</v>
      </c>
      <c r="C18" s="151">
        <v>1263165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1449</v>
      </c>
      <c r="J18" s="186">
        <f t="shared" si="1"/>
        <v>203</v>
      </c>
      <c r="K18" s="151">
        <v>1652</v>
      </c>
      <c r="L18" s="206">
        <f t="shared" si="2"/>
        <v>24.15</v>
      </c>
      <c r="M18" s="151">
        <v>955227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68.785714285714292</v>
      </c>
      <c r="Q18" s="255">
        <f t="shared" si="3"/>
        <v>24</v>
      </c>
      <c r="R18" s="142">
        <f t="shared" si="4"/>
        <v>20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5</v>
      </c>
      <c r="C19" s="151">
        <v>1263166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1445</v>
      </c>
      <c r="J19" s="186">
        <f t="shared" si="1"/>
        <v>203</v>
      </c>
      <c r="K19" s="151">
        <v>1648</v>
      </c>
      <c r="L19" s="206">
        <f t="shared" si="2"/>
        <v>24.083333333333332</v>
      </c>
      <c r="M19" s="151">
        <v>955227</v>
      </c>
      <c r="N19" s="152" t="s">
        <v>237</v>
      </c>
      <c r="O19" s="157" t="s">
        <v>235</v>
      </c>
      <c r="P19" s="184">
        <f>IF(D19=Inputs!F$4,Inputs!I$4,IF(D19=Inputs!F$2,Inputs!I$2,IF(D19=Inputs!F$3,Inputs!I$3,IF(D19=Inputs!F$5,Inputs!I$5,"NA"))))</f>
        <v>68.785714285714292</v>
      </c>
      <c r="Q19" s="255">
        <f t="shared" si="3"/>
        <v>24</v>
      </c>
      <c r="R19" s="142">
        <f t="shared" si="4"/>
        <v>20</v>
      </c>
      <c r="U19" s="142" t="s">
        <v>221</v>
      </c>
      <c r="V19" s="142">
        <f>COUNTIF(R$7:R$82,19)*60</f>
        <v>60</v>
      </c>
    </row>
    <row r="20" spans="1:22" x14ac:dyDescent="0.25">
      <c r="A20" s="148">
        <v>21</v>
      </c>
      <c r="B20" s="186">
        <f>Inputs!C$2</f>
        <v>5</v>
      </c>
      <c r="C20" s="151">
        <v>1263167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1481</v>
      </c>
      <c r="J20" s="186">
        <f t="shared" si="1"/>
        <v>203</v>
      </c>
      <c r="K20" s="151">
        <v>1684</v>
      </c>
      <c r="L20" s="206">
        <f t="shared" si="2"/>
        <v>24.683333333333334</v>
      </c>
      <c r="M20" s="151">
        <v>955227</v>
      </c>
      <c r="N20" s="152" t="s">
        <v>237</v>
      </c>
      <c r="O20" s="157" t="s">
        <v>235</v>
      </c>
      <c r="P20" s="184">
        <f>IF(D20=Inputs!F$4,Inputs!I$4,IF(D20=Inputs!F$2,Inputs!I$2,IF(D20=Inputs!F$3,Inputs!I$3,IF(D20=Inputs!F$5,Inputs!I$5,"NA"))))</f>
        <v>68.785714285714292</v>
      </c>
      <c r="Q20" s="255">
        <f t="shared" si="3"/>
        <v>24</v>
      </c>
      <c r="R20" s="142">
        <f t="shared" si="4"/>
        <v>20</v>
      </c>
      <c r="U20" s="142" t="s">
        <v>222</v>
      </c>
      <c r="V20" s="142">
        <f>COUNTIF(R$7:R$82,20)*60</f>
        <v>720</v>
      </c>
    </row>
    <row r="21" spans="1:22" x14ac:dyDescent="0.25">
      <c r="A21" s="148">
        <v>8</v>
      </c>
      <c r="B21" s="186">
        <f>Inputs!C$2</f>
        <v>5</v>
      </c>
      <c r="C21" s="151">
        <v>1263168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1455</v>
      </c>
      <c r="J21" s="186">
        <f t="shared" si="1"/>
        <v>203</v>
      </c>
      <c r="K21" s="151">
        <v>1658</v>
      </c>
      <c r="L21" s="206">
        <f t="shared" si="2"/>
        <v>24.25</v>
      </c>
      <c r="M21" s="151">
        <v>955227</v>
      </c>
      <c r="N21" s="152" t="s">
        <v>237</v>
      </c>
      <c r="O21" s="157" t="s">
        <v>47</v>
      </c>
      <c r="P21" s="184">
        <f>IF(D21=Inputs!F$4,Inputs!I$4,IF(D21=Inputs!F$2,Inputs!I$2,IF(D21=Inputs!F$3,Inputs!I$3,IF(D21=Inputs!F$5,Inputs!I$5,"NA"))))</f>
        <v>34.5</v>
      </c>
      <c r="Q21" s="255">
        <f t="shared" si="3"/>
        <v>24</v>
      </c>
      <c r="R21" s="142">
        <f t="shared" si="4"/>
        <v>65</v>
      </c>
      <c r="U21" s="142" t="s">
        <v>50</v>
      </c>
      <c r="V21" s="142">
        <f>SUM(V14:V20)</f>
        <v>780</v>
      </c>
    </row>
    <row r="22" spans="1:22" x14ac:dyDescent="0.25">
      <c r="A22" s="148">
        <v>22</v>
      </c>
      <c r="B22" s="186">
        <f>Inputs!C$2</f>
        <v>5</v>
      </c>
      <c r="C22" s="151">
        <v>1263169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1443</v>
      </c>
      <c r="J22" s="186">
        <f t="shared" si="1"/>
        <v>203</v>
      </c>
      <c r="K22" s="225">
        <v>1646</v>
      </c>
      <c r="L22" s="206">
        <f t="shared" si="2"/>
        <v>24.05</v>
      </c>
      <c r="M22" s="151">
        <v>955227</v>
      </c>
      <c r="N22" s="152" t="s">
        <v>237</v>
      </c>
      <c r="O22" s="157" t="s">
        <v>47</v>
      </c>
      <c r="P22" s="184">
        <f>IF(D22=Inputs!F$4,Inputs!I$4,IF(D22=Inputs!F$2,Inputs!I$2,IF(D22=Inputs!F$3,Inputs!I$3,IF(D22=Inputs!F$5,Inputs!I$5,"NA"))))</f>
        <v>34.5</v>
      </c>
      <c r="Q22" s="255">
        <f t="shared" si="3"/>
        <v>24</v>
      </c>
      <c r="R22" s="142">
        <f t="shared" si="4"/>
        <v>65</v>
      </c>
    </row>
    <row r="23" spans="1:22" x14ac:dyDescent="0.25">
      <c r="A23" s="148">
        <v>23</v>
      </c>
      <c r="B23" s="186">
        <f>Inputs!C$2</f>
        <v>5</v>
      </c>
      <c r="C23" s="151">
        <v>1263170</v>
      </c>
      <c r="D23" s="185" t="s">
        <v>167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1445</v>
      </c>
      <c r="J23" s="186">
        <f t="shared" si="1"/>
        <v>203</v>
      </c>
      <c r="K23" s="151">
        <v>1648</v>
      </c>
      <c r="L23" s="206">
        <f t="shared" si="2"/>
        <v>24.083333333333332</v>
      </c>
      <c r="M23" s="151">
        <v>955227</v>
      </c>
      <c r="N23" s="152" t="s">
        <v>237</v>
      </c>
      <c r="O23" s="157" t="s">
        <v>47</v>
      </c>
      <c r="P23" s="184">
        <f>IF(D23=Inputs!F$4,Inputs!I$4,IF(D23=Inputs!F$2,Inputs!I$2,IF(D23=Inputs!F$3,Inputs!I$3,IF(D23=Inputs!F$5,Inputs!I$5,"NA"))))</f>
        <v>68.785714285714292</v>
      </c>
      <c r="Q23" s="255">
        <f t="shared" si="3"/>
        <v>24</v>
      </c>
      <c r="R23" s="142">
        <f t="shared" si="4"/>
        <v>20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5</v>
      </c>
      <c r="C24" s="151">
        <v>1263171</v>
      </c>
      <c r="D24" s="185" t="s">
        <v>167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1453</v>
      </c>
      <c r="J24" s="186">
        <f t="shared" si="1"/>
        <v>203</v>
      </c>
      <c r="K24" s="151">
        <v>1656</v>
      </c>
      <c r="L24" s="206">
        <f t="shared" si="2"/>
        <v>24.216666666666665</v>
      </c>
      <c r="M24" s="151">
        <v>955227</v>
      </c>
      <c r="N24" s="152" t="s">
        <v>237</v>
      </c>
      <c r="O24" s="157" t="s">
        <v>47</v>
      </c>
      <c r="P24" s="184">
        <f>IF(D24=Inputs!F$4,Inputs!I$4,IF(D24=Inputs!F$2,Inputs!I$2,IF(D24=Inputs!F$3,Inputs!I$3,IF(D24=Inputs!F$5,Inputs!I$5,"NA"))))</f>
        <v>68.785714285714292</v>
      </c>
      <c r="Q24" s="255">
        <f t="shared" si="3"/>
        <v>24</v>
      </c>
      <c r="R24" s="142">
        <f t="shared" si="4"/>
        <v>20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5</v>
      </c>
      <c r="C25" s="151">
        <v>1263172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1453</v>
      </c>
      <c r="J25" s="186">
        <f t="shared" si="1"/>
        <v>203</v>
      </c>
      <c r="K25" s="151">
        <v>1656</v>
      </c>
      <c r="L25" s="206">
        <f t="shared" si="2"/>
        <v>24.216666666666665</v>
      </c>
      <c r="M25" s="151">
        <v>955227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68.785714285714292</v>
      </c>
      <c r="Q25" s="255">
        <f t="shared" si="3"/>
        <v>24</v>
      </c>
      <c r="R25" s="142">
        <f t="shared" si="4"/>
        <v>20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5</v>
      </c>
      <c r="C26" s="151">
        <v>1263173</v>
      </c>
      <c r="D26" s="185" t="s">
        <v>208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1501</v>
      </c>
      <c r="J26" s="186">
        <f t="shared" si="1"/>
        <v>203</v>
      </c>
      <c r="K26" s="151">
        <v>1704</v>
      </c>
      <c r="L26" s="206">
        <f t="shared" si="2"/>
        <v>25.016666666666666</v>
      </c>
      <c r="M26" s="151">
        <v>955227</v>
      </c>
      <c r="N26" s="152" t="s">
        <v>237</v>
      </c>
      <c r="O26" s="157" t="s">
        <v>48</v>
      </c>
      <c r="P26" s="184">
        <f>IF(D26=Inputs!F$4,Inputs!I$4,IF(D26=Inputs!F$2,Inputs!I$2,IF(D26=Inputs!F$3,Inputs!I$3,IF(D26=Inputs!F$5,Inputs!I$5,"NA"))))</f>
        <v>55.785714285714285</v>
      </c>
      <c r="Q26" s="255">
        <f t="shared" si="3"/>
        <v>24</v>
      </c>
      <c r="R26" s="142">
        <f t="shared" si="4"/>
        <v>53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5</v>
      </c>
      <c r="C27" s="151">
        <v>1263174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1435</v>
      </c>
      <c r="J27" s="186">
        <f t="shared" si="1"/>
        <v>203</v>
      </c>
      <c r="K27" s="164">
        <v>1638</v>
      </c>
      <c r="L27" s="206">
        <f t="shared" si="2"/>
        <v>23.916666666666668</v>
      </c>
      <c r="M27" s="151">
        <v>955227</v>
      </c>
      <c r="N27" s="152" t="s">
        <v>237</v>
      </c>
      <c r="O27" s="157" t="s">
        <v>47</v>
      </c>
      <c r="P27" s="184">
        <f>IF(D27=Inputs!F$4,Inputs!I$4,IF(D27=Inputs!F$2,Inputs!I$2,IF(D27=Inputs!F$3,Inputs!I$3,IF(D27=Inputs!F$5,Inputs!I$5,"NA"))))</f>
        <v>68.785714285714292</v>
      </c>
      <c r="Q27" s="255">
        <f t="shared" si="3"/>
        <v>23</v>
      </c>
      <c r="R27" s="142">
        <f t="shared" si="4"/>
        <v>19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5</v>
      </c>
      <c r="C28" s="151">
        <v>1263175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1459</v>
      </c>
      <c r="J28" s="186">
        <f t="shared" si="1"/>
        <v>203</v>
      </c>
      <c r="K28" s="151">
        <v>1662</v>
      </c>
      <c r="L28" s="206">
        <f t="shared" si="2"/>
        <v>24.316666666666666</v>
      </c>
      <c r="M28" s="151">
        <v>955227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68.785714285714292</v>
      </c>
      <c r="Q28" s="255">
        <f t="shared" si="3"/>
        <v>24</v>
      </c>
      <c r="R28" s="142">
        <f t="shared" si="4"/>
        <v>20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5</v>
      </c>
      <c r="C29" s="151">
        <v>1263176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1453</v>
      </c>
      <c r="J29" s="186">
        <f t="shared" si="1"/>
        <v>203</v>
      </c>
      <c r="K29" s="151">
        <v>1656</v>
      </c>
      <c r="L29" s="206">
        <f t="shared" si="2"/>
        <v>24.216666666666665</v>
      </c>
      <c r="M29" s="151">
        <v>955227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68.785714285714292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5</v>
      </c>
      <c r="C30" s="151">
        <v>1263177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1443</v>
      </c>
      <c r="J30" s="186">
        <f t="shared" si="1"/>
        <v>203</v>
      </c>
      <c r="K30" s="151">
        <v>1646</v>
      </c>
      <c r="L30" s="206">
        <f t="shared" si="2"/>
        <v>24.05</v>
      </c>
      <c r="M30" s="151">
        <v>955227</v>
      </c>
      <c r="N30" s="152" t="s">
        <v>237</v>
      </c>
      <c r="O30" s="157" t="s">
        <v>47</v>
      </c>
      <c r="P30" s="184">
        <f>IF(D30=Inputs!F$4,Inputs!I$4,IF(D30=Inputs!F$2,Inputs!I$2,IF(D30=Inputs!F$3,Inputs!I$3,IF(D30=Inputs!F$5,Inputs!I$5,"NA"))))</f>
        <v>68.785714285714292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5</v>
      </c>
      <c r="C31" s="151"/>
      <c r="D31" s="185"/>
      <c r="E31" s="148">
        <v>60</v>
      </c>
      <c r="F31" s="185"/>
      <c r="G31" s="185"/>
      <c r="H31" s="188"/>
      <c r="I31" s="205" t="str">
        <f t="shared" si="0"/>
        <v>NA</v>
      </c>
      <c r="J31" s="186">
        <f t="shared" si="1"/>
        <v>0</v>
      </c>
      <c r="K31" s="151"/>
      <c r="L31" s="206" t="str">
        <f t="shared" si="2"/>
        <v>NA</v>
      </c>
      <c r="M31" s="151"/>
      <c r="N31" s="152"/>
      <c r="O31" s="157"/>
      <c r="P31" s="184" t="str">
        <f>IF(D31=Inputs!F$4,Inputs!I$4,IF(D31=Inputs!F$2,Inputs!I$2,IF(D31=Inputs!F$3,Inputs!I$3,IF(D31=Inputs!F$5,Inputs!I$5,"NA"))))</f>
        <v>NA</v>
      </c>
      <c r="Q31" s="255" t="e">
        <f t="shared" si="3"/>
        <v>#VALUE!</v>
      </c>
      <c r="R31" s="142" t="e">
        <f t="shared" si="4"/>
        <v>#VALUE!</v>
      </c>
      <c r="U31" s="142" t="s">
        <v>222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5</v>
      </c>
      <c r="C32" s="151"/>
      <c r="D32" s="185"/>
      <c r="E32" s="148">
        <v>60</v>
      </c>
      <c r="F32" s="185"/>
      <c r="G32" s="185"/>
      <c r="H32" s="188"/>
      <c r="I32" s="205" t="str">
        <f t="shared" si="0"/>
        <v>NA</v>
      </c>
      <c r="J32" s="186">
        <f t="shared" si="1"/>
        <v>0</v>
      </c>
      <c r="K32" s="151"/>
      <c r="L32" s="206" t="str">
        <f t="shared" si="2"/>
        <v>NA</v>
      </c>
      <c r="M32" s="151"/>
      <c r="N32" s="152"/>
      <c r="O32" s="157"/>
      <c r="P32" s="184" t="str">
        <f>IF(D32=Inputs!F$4,Inputs!I$4,IF(D32=Inputs!F$2,Inputs!I$2,IF(D32=Inputs!F$3,Inputs!I$3,IF(D32=Inputs!F$5,Inputs!I$5,"NA"))))</f>
        <v>NA</v>
      </c>
      <c r="Q32" s="255" t="e">
        <f t="shared" si="3"/>
        <v>#VALUE!</v>
      </c>
      <c r="R32" s="142" t="e">
        <f t="shared" ref="R32:R37" si="5">IF(O32="MED",72,(IF(D32="7169-E6",3,0)+IF(D32="7168-E7",14,0)+IF(D32="7169-E10",36,0)+IF(D32="7168-E11",59,0))+IF(O32="Brown",11,0)+(Q32-18))</f>
        <v>#VALUE!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5</v>
      </c>
      <c r="C33" s="151"/>
      <c r="D33" s="185"/>
      <c r="E33" s="148">
        <v>60</v>
      </c>
      <c r="F33" s="185"/>
      <c r="G33" s="185"/>
      <c r="H33" s="188"/>
      <c r="I33" s="205" t="str">
        <f t="shared" si="0"/>
        <v>NA</v>
      </c>
      <c r="J33" s="186">
        <f t="shared" si="1"/>
        <v>0</v>
      </c>
      <c r="K33" s="151"/>
      <c r="L33" s="206" t="str">
        <f t="shared" si="2"/>
        <v>NA</v>
      </c>
      <c r="M33" s="151"/>
      <c r="N33" s="152"/>
      <c r="O33" s="157"/>
      <c r="P33" s="184" t="str">
        <f>IF(D33=Inputs!F$4,Inputs!I$4,IF(D33=Inputs!F$2,Inputs!I$2,IF(D33=Inputs!F$3,Inputs!I$3,IF(D33=Inputs!F$5,Inputs!I$5,"NA"))))</f>
        <v>NA</v>
      </c>
      <c r="Q33" s="255" t="e">
        <f t="shared" si="3"/>
        <v>#VALUE!</v>
      </c>
      <c r="R33" s="142" t="e">
        <f t="shared" si="5"/>
        <v>#VALUE!</v>
      </c>
    </row>
    <row r="34" spans="1:22" x14ac:dyDescent="0.25">
      <c r="A34" s="148">
        <v>1</v>
      </c>
      <c r="B34" s="186">
        <f>Inputs!C$2</f>
        <v>5</v>
      </c>
      <c r="C34" s="151"/>
      <c r="D34" s="185"/>
      <c r="E34" s="148">
        <v>60</v>
      </c>
      <c r="F34" s="185"/>
      <c r="G34" s="185"/>
      <c r="H34" s="188"/>
      <c r="I34" s="205" t="str">
        <f t="shared" si="0"/>
        <v>NA</v>
      </c>
      <c r="J34" s="186">
        <f t="shared" si="1"/>
        <v>0</v>
      </c>
      <c r="K34" s="151"/>
      <c r="L34" s="206" t="str">
        <f t="shared" si="2"/>
        <v>NA</v>
      </c>
      <c r="M34" s="151"/>
      <c r="N34" s="152"/>
      <c r="O34" s="157"/>
      <c r="P34" s="184" t="str">
        <f>IF(D34=Inputs!F$4,Inputs!I$4,IF(D34=Inputs!F$2,Inputs!I$2,IF(D34=Inputs!F$3,Inputs!I$3,IF(D34=Inputs!F$5,Inputs!I$5,"NA"))))</f>
        <v>NA</v>
      </c>
      <c r="Q34" s="255" t="e">
        <f t="shared" si="3"/>
        <v>#VALUE!</v>
      </c>
      <c r="R34" s="142" t="e">
        <f t="shared" si="5"/>
        <v>#VALUE!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5</v>
      </c>
      <c r="C35" s="151"/>
      <c r="D35" s="185"/>
      <c r="E35" s="148">
        <v>60</v>
      </c>
      <c r="F35" s="185"/>
      <c r="G35" s="185"/>
      <c r="H35" s="188"/>
      <c r="I35" s="205" t="str">
        <f t="shared" si="0"/>
        <v>NA</v>
      </c>
      <c r="J35" s="186">
        <f t="shared" si="1"/>
        <v>0</v>
      </c>
      <c r="K35" s="151"/>
      <c r="L35" s="206" t="str">
        <f t="shared" si="2"/>
        <v>NA</v>
      </c>
      <c r="M35" s="151"/>
      <c r="N35" s="152"/>
      <c r="O35" s="157"/>
      <c r="P35" s="184" t="str">
        <f>IF(D35=Inputs!F$4,Inputs!I$4,IF(D35=Inputs!F$2,Inputs!I$2,IF(D35=Inputs!F$3,Inputs!I$3,IF(D35=Inputs!F$5,Inputs!I$5,"NA"))))</f>
        <v>NA</v>
      </c>
      <c r="Q35" s="255" t="e">
        <f t="shared" si="3"/>
        <v>#VALUE!</v>
      </c>
      <c r="R35" s="142" t="e">
        <f t="shared" si="5"/>
        <v>#VALUE!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5</v>
      </c>
      <c r="C36" s="151"/>
      <c r="D36" s="185"/>
      <c r="E36" s="148">
        <v>60</v>
      </c>
      <c r="F36" s="185"/>
      <c r="G36" s="185"/>
      <c r="H36" s="188"/>
      <c r="I36" s="205" t="str">
        <f t="shared" si="0"/>
        <v>NA</v>
      </c>
      <c r="J36" s="186">
        <f t="shared" si="1"/>
        <v>0</v>
      </c>
      <c r="K36" s="151"/>
      <c r="L36" s="206" t="str">
        <f t="shared" si="2"/>
        <v>NA</v>
      </c>
      <c r="M36" s="151"/>
      <c r="N36" s="152"/>
      <c r="O36" s="157"/>
      <c r="P36" s="184" t="str">
        <f>IF(D36=Inputs!F$4,Inputs!I$4,IF(D36=Inputs!F$2,Inputs!I$2,IF(D36=Inputs!F$3,Inputs!I$3,IF(D36=Inputs!F$5,Inputs!I$5,"NA"))))</f>
        <v>NA</v>
      </c>
      <c r="Q36" s="255" t="e">
        <f t="shared" si="3"/>
        <v>#VALUE!</v>
      </c>
      <c r="R36" s="142" t="e">
        <f t="shared" si="5"/>
        <v>#VALUE!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5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5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5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5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5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5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180</v>
      </c>
    </row>
    <row r="43" spans="1:22" x14ac:dyDescent="0.25">
      <c r="A43" s="148">
        <v>37</v>
      </c>
      <c r="B43" s="186">
        <f>Inputs!C$2</f>
        <v>5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180</v>
      </c>
    </row>
    <row r="44" spans="1:22" x14ac:dyDescent="0.25">
      <c r="A44" s="148">
        <v>38</v>
      </c>
      <c r="B44" s="186">
        <f>Inputs!C$2</f>
        <v>5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5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5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5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5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5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5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5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5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5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60</v>
      </c>
    </row>
    <row r="54" spans="1:22" x14ac:dyDescent="0.25">
      <c r="A54" s="148">
        <v>48</v>
      </c>
      <c r="B54" s="186">
        <f>Inputs!C$2</f>
        <v>5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60</v>
      </c>
    </row>
    <row r="55" spans="1:22" x14ac:dyDescent="0.25">
      <c r="A55" s="148">
        <v>49</v>
      </c>
      <c r="B55" s="186">
        <f>Inputs!C$2</f>
        <v>5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5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5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5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5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5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5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5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5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5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5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120</v>
      </c>
    </row>
    <row r="66" spans="1:24" x14ac:dyDescent="0.25">
      <c r="A66" s="148">
        <v>60</v>
      </c>
      <c r="B66" s="186">
        <f>Inputs!C$2</f>
        <v>5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120</v>
      </c>
    </row>
    <row r="67" spans="1:24" x14ac:dyDescent="0.25">
      <c r="A67" s="148">
        <v>61</v>
      </c>
      <c r="B67" s="186">
        <f>Inputs!C$2</f>
        <v>5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5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5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5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5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5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60</v>
      </c>
    </row>
    <row r="73" spans="1:24" x14ac:dyDescent="0.25">
      <c r="A73" s="148">
        <v>67</v>
      </c>
      <c r="B73" s="186">
        <f>Inputs!C$2</f>
        <v>5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5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5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5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5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5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5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5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5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5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F39" sqref="F3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5</v>
      </c>
      <c r="D2" s="166"/>
      <c r="F2" s="166" t="s">
        <v>5</v>
      </c>
      <c r="G2" s="183">
        <v>45750</v>
      </c>
      <c r="I2" s="200">
        <f>(C$3-G2)/7</f>
        <v>43.357142857142854</v>
      </c>
      <c r="J2" s="223">
        <f>I2-19</f>
        <v>24.357142857142854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46053.5</v>
      </c>
      <c r="D3" s="265"/>
      <c r="F3" s="166" t="s">
        <v>167</v>
      </c>
      <c r="G3" s="183">
        <v>45572</v>
      </c>
      <c r="I3" s="200">
        <f>(C$3-G3)/7</f>
        <v>68.785714285714292</v>
      </c>
      <c r="J3" s="223">
        <f>I3-19</f>
        <v>49.785714285714292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55.785714285714285</v>
      </c>
      <c r="J4" s="223">
        <f>I4-19</f>
        <v>36.785714285714285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236</v>
      </c>
      <c r="C5" s="266"/>
      <c r="F5" s="166" t="s">
        <v>4</v>
      </c>
      <c r="G5" s="183">
        <v>45812</v>
      </c>
      <c r="I5" s="200">
        <f>(C$3-G5)/7</f>
        <v>34.5</v>
      </c>
      <c r="J5" s="223">
        <f>I5-19</f>
        <v>15.5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267</v>
      </c>
      <c r="C10" s="165"/>
      <c r="E10" s="139">
        <v>6</v>
      </c>
      <c r="F10" s="168">
        <v>270</v>
      </c>
      <c r="G10" s="165"/>
      <c r="O10" s="139" t="s">
        <v>222</v>
      </c>
      <c r="P10" s="227">
        <f t="shared" si="0"/>
        <v>1317.4823331992634</v>
      </c>
      <c r="Q10" s="226">
        <v>0.36596731477757316</v>
      </c>
      <c r="R10" s="227">
        <f t="shared" si="1"/>
        <v>1790.5324327969342</v>
      </c>
      <c r="S10" s="226">
        <v>0.49737012022137062</v>
      </c>
      <c r="T10" s="227">
        <f t="shared" si="2"/>
        <v>304.09473534708803</v>
      </c>
      <c r="U10" s="227">
        <v>8.4470759818635568E-2</v>
      </c>
      <c r="V10" s="227">
        <f t="shared" si="3"/>
        <v>5.3088840644920285</v>
      </c>
      <c r="W10" s="226">
        <v>1.4746900179144523E-3</v>
      </c>
      <c r="X10" s="227">
        <f t="shared" si="4"/>
        <v>0.70034647338313416</v>
      </c>
      <c r="Y10" s="226">
        <v>1.9454068705087059E-4</v>
      </c>
      <c r="Z10" s="227">
        <f t="shared" si="5"/>
        <v>20.336686673724234</v>
      </c>
      <c r="AA10" s="226">
        <v>5.6490796315900654E-3</v>
      </c>
      <c r="AB10" s="227">
        <f t="shared" si="6"/>
        <v>103.38488860457039</v>
      </c>
      <c r="AC10" s="226">
        <v>2.8718024612380665E-2</v>
      </c>
      <c r="AD10" s="227">
        <f t="shared" si="7"/>
        <v>58.159692840544665</v>
      </c>
      <c r="AE10" s="226">
        <v>1.6155470233484629E-2</v>
      </c>
      <c r="AF10" s="139">
        <f t="shared" si="8"/>
        <v>3600</v>
      </c>
      <c r="AG10" s="226">
        <f t="shared" si="9"/>
        <v>1.0000000000000002</v>
      </c>
      <c r="AH10" s="252">
        <f>'Pallet Information'!V9</f>
        <v>240</v>
      </c>
    </row>
    <row r="11" spans="1:34" x14ac:dyDescent="0.2">
      <c r="A11" s="139">
        <v>7</v>
      </c>
      <c r="B11" s="168">
        <v>188</v>
      </c>
      <c r="C11" s="168">
        <v>21</v>
      </c>
      <c r="E11" s="139">
        <v>7</v>
      </c>
      <c r="F11" s="168">
        <v>185</v>
      </c>
      <c r="G11" s="168">
        <v>18</v>
      </c>
      <c r="O11" s="139" t="s">
        <v>50</v>
      </c>
      <c r="P11" s="227">
        <f>SUM(P4:P10)</f>
        <v>1317.4823331992634</v>
      </c>
      <c r="Q11" s="243">
        <f>P11/AF11</f>
        <v>0.36596731477757316</v>
      </c>
      <c r="R11" s="139">
        <f>SUM(R4:R10)</f>
        <v>1790.5324327969342</v>
      </c>
      <c r="S11" s="243">
        <f>R11/AF11</f>
        <v>0.49737012022137062</v>
      </c>
      <c r="T11" s="227">
        <f>SUM(T4:T10)</f>
        <v>304.09473534708803</v>
      </c>
      <c r="U11" s="243">
        <f>T11/AF11</f>
        <v>8.4470759818635568E-2</v>
      </c>
      <c r="V11" s="227">
        <f>SUM(V4:V10)</f>
        <v>5.3088840644920285</v>
      </c>
      <c r="W11" s="243">
        <f>V11/AF11</f>
        <v>1.4746900179144523E-3</v>
      </c>
      <c r="X11" s="227">
        <f>SUM(X4:X10)</f>
        <v>0.70034647338313416</v>
      </c>
      <c r="Y11" s="243">
        <f>X11/AF11</f>
        <v>1.9454068705087061E-4</v>
      </c>
      <c r="Z11" s="227">
        <f>SUM(Z4:Z10)</f>
        <v>20.336686673724234</v>
      </c>
      <c r="AA11" s="243">
        <f>Z11/AF11</f>
        <v>5.6490796315900654E-3</v>
      </c>
      <c r="AB11" s="227">
        <f>SUM(AB4:AB10)</f>
        <v>103.38488860457039</v>
      </c>
      <c r="AC11" s="243">
        <f>AB11/AF11</f>
        <v>2.8718024612380665E-2</v>
      </c>
      <c r="AD11" s="227">
        <f>SUM(AD4:AD10)</f>
        <v>58.159692840544665</v>
      </c>
      <c r="AE11" s="243">
        <f>AD11/AF11</f>
        <v>1.6155470233484629E-2</v>
      </c>
      <c r="AF11" s="139">
        <f>SUM(AF4:AF10)</f>
        <v>3600</v>
      </c>
      <c r="AG11" s="244">
        <f>Q11+S11+U11+W11+Y11+AA11+AC11+AE11</f>
        <v>1.0000000000000002</v>
      </c>
      <c r="AH11" s="139">
        <f t="shared" ref="AH11" si="10">AF11/15</f>
        <v>240</v>
      </c>
    </row>
    <row r="12" spans="1:34" x14ac:dyDescent="0.2">
      <c r="A12" s="139">
        <v>10</v>
      </c>
      <c r="B12" s="224">
        <v>151</v>
      </c>
      <c r="C12" s="168">
        <v>12</v>
      </c>
      <c r="E12" s="139">
        <v>10</v>
      </c>
      <c r="F12" s="168">
        <v>141</v>
      </c>
      <c r="G12" s="168">
        <v>11</v>
      </c>
    </row>
    <row r="13" spans="1:34" x14ac:dyDescent="0.2">
      <c r="A13" s="139">
        <v>11</v>
      </c>
      <c r="B13" s="168">
        <v>129</v>
      </c>
      <c r="C13" s="165"/>
      <c r="E13" s="139">
        <v>11</v>
      </c>
      <c r="F13" s="168">
        <v>126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192</v>
      </c>
      <c r="C17" s="168">
        <v>23</v>
      </c>
      <c r="E17" s="139">
        <v>7</v>
      </c>
      <c r="F17" s="168">
        <v>195</v>
      </c>
      <c r="G17" s="168">
        <v>22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150</v>
      </c>
      <c r="C18" s="168">
        <v>12</v>
      </c>
      <c r="E18" s="139">
        <v>10</v>
      </c>
      <c r="F18" s="168">
        <v>165</v>
      </c>
      <c r="G18" s="168">
        <v>12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162</v>
      </c>
      <c r="C19" s="165"/>
      <c r="E19" s="139">
        <v>11</v>
      </c>
      <c r="F19" s="168">
        <v>154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155.31971309582397</v>
      </c>
      <c r="Q20" s="226">
        <v>0.17257745899535998</v>
      </c>
      <c r="R20" s="227">
        <f t="shared" si="13"/>
        <v>548.42252596931837</v>
      </c>
      <c r="S20" s="226">
        <v>0.60935836218813155</v>
      </c>
      <c r="T20" s="227">
        <f t="shared" si="14"/>
        <v>164.49727134110617</v>
      </c>
      <c r="U20" s="226">
        <v>0.18277474593456242</v>
      </c>
      <c r="V20" s="227">
        <f t="shared" si="15"/>
        <v>3.3301053589666245</v>
      </c>
      <c r="W20" s="226">
        <v>3.7001170655184719E-3</v>
      </c>
      <c r="X20" s="227">
        <f t="shared" si="16"/>
        <v>0.18247126762628976</v>
      </c>
      <c r="Y20" s="226">
        <v>2.0274585291809972E-4</v>
      </c>
      <c r="Z20" s="227">
        <f t="shared" si="17"/>
        <v>2.8988268165293452</v>
      </c>
      <c r="AA20" s="226">
        <v>3.2209186850326059E-3</v>
      </c>
      <c r="AB20" s="227">
        <f t="shared" si="18"/>
        <v>16.070096181540674</v>
      </c>
      <c r="AC20" s="226">
        <v>1.785566242393408E-2</v>
      </c>
      <c r="AD20" s="227">
        <f t="shared" si="19"/>
        <v>9.2789899690885544</v>
      </c>
      <c r="AE20" s="226">
        <v>1.0309988854542838E-2</v>
      </c>
      <c r="AF20" s="139">
        <f t="shared" si="11"/>
        <v>900</v>
      </c>
      <c r="AG20" s="226">
        <f t="shared" si="20"/>
        <v>1</v>
      </c>
      <c r="AH20" s="139">
        <f>'Pallet Information'!V19</f>
        <v>60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3952.4469995977902</v>
      </c>
      <c r="Q21" s="226">
        <v>0.36596731477757316</v>
      </c>
      <c r="R21" s="227">
        <f t="shared" si="13"/>
        <v>5371.5972983908023</v>
      </c>
      <c r="S21" s="226">
        <v>0.49737012022137062</v>
      </c>
      <c r="T21" s="227">
        <f t="shared" si="14"/>
        <v>912.28420604126416</v>
      </c>
      <c r="U21" s="227">
        <v>8.4470759818635568E-2</v>
      </c>
      <c r="V21" s="227">
        <f t="shared" si="15"/>
        <v>15.926652193476086</v>
      </c>
      <c r="W21" s="226">
        <v>1.4746900179144523E-3</v>
      </c>
      <c r="X21" s="227">
        <f t="shared" si="16"/>
        <v>2.1010394201494025</v>
      </c>
      <c r="Y21" s="226">
        <v>1.9454068705087059E-4</v>
      </c>
      <c r="Z21" s="227">
        <f t="shared" si="17"/>
        <v>61.010060021172706</v>
      </c>
      <c r="AA21" s="226">
        <v>5.6490796315900654E-3</v>
      </c>
      <c r="AB21" s="227">
        <f t="shared" si="18"/>
        <v>310.15466581371118</v>
      </c>
      <c r="AC21" s="226">
        <v>2.8718024612380665E-2</v>
      </c>
      <c r="AD21" s="227">
        <f t="shared" si="19"/>
        <v>174.47907852163399</v>
      </c>
      <c r="AE21" s="226">
        <v>1.6155470233484629E-2</v>
      </c>
      <c r="AF21" s="139">
        <f t="shared" si="11"/>
        <v>10800</v>
      </c>
      <c r="AG21" s="226">
        <f t="shared" si="20"/>
        <v>1.0000000000000002</v>
      </c>
      <c r="AH21" s="168">
        <f>'Pallet Information'!V20</f>
        <v>720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4107.766712693614</v>
      </c>
      <c r="Q22" s="139">
        <f>P22/AF22</f>
        <v>0.35109117202509521</v>
      </c>
      <c r="R22" s="139">
        <f>SUM(R15:R21)</f>
        <v>5920.0198243601208</v>
      </c>
      <c r="S22" s="139">
        <f>R22/AF22</f>
        <v>0.50598460037265991</v>
      </c>
      <c r="T22" s="227">
        <f>SUM(T15:T21)</f>
        <v>1076.7814773823702</v>
      </c>
      <c r="U22" s="139">
        <f>T22/AF22</f>
        <v>9.2032604904476081E-2</v>
      </c>
      <c r="V22" s="227">
        <f>SUM(V15:V21)</f>
        <v>19.256757552442711</v>
      </c>
      <c r="W22" s="139">
        <f>V22/AF22</f>
        <v>1.6458767138839924E-3</v>
      </c>
      <c r="X22" s="227">
        <f>SUM(X15:X21)</f>
        <v>2.2835106877756921</v>
      </c>
      <c r="Y22" s="139">
        <f>X22/AF22</f>
        <v>1.9517185365604207E-4</v>
      </c>
      <c r="Z22" s="227">
        <f>SUM(Z15:Z21)</f>
        <v>63.908886837702049</v>
      </c>
      <c r="AA22" s="139">
        <f>Z22/AF22</f>
        <v>5.4622980203164143E-3</v>
      </c>
      <c r="AB22" s="227">
        <f>SUM(AB15:AB21)</f>
        <v>326.22476199525187</v>
      </c>
      <c r="AC22" s="139">
        <f>AB22/AF22</f>
        <v>2.7882458290192466E-2</v>
      </c>
      <c r="AD22" s="227">
        <f>SUM(AD15:AD21)</f>
        <v>183.75806849072254</v>
      </c>
      <c r="AE22" s="139">
        <f>AD22/AF22</f>
        <v>1.5705817819719876E-2</v>
      </c>
      <c r="AF22" s="139">
        <f>SUM(AF15:AF21)</f>
        <v>11700</v>
      </c>
      <c r="AG22" s="253">
        <f>Q22+S22+U22+W22+Y22+AA22+AC22+AE22</f>
        <v>0.99999999999999989</v>
      </c>
      <c r="AH22" s="139">
        <f t="shared" ref="AH22" si="21">AF22/15</f>
        <v>780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272</v>
      </c>
      <c r="G23" s="165"/>
    </row>
    <row r="24" spans="1:34" x14ac:dyDescent="0.2">
      <c r="A24" s="139">
        <v>7</v>
      </c>
      <c r="B24" s="168">
        <v>192</v>
      </c>
      <c r="C24" s="168">
        <v>21</v>
      </c>
      <c r="E24" s="139">
        <v>7</v>
      </c>
      <c r="F24" s="168">
        <v>189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152</v>
      </c>
      <c r="C25" s="168">
        <v>11</v>
      </c>
      <c r="E25" s="139">
        <v>10</v>
      </c>
      <c r="F25" s="168">
        <v>150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146</v>
      </c>
      <c r="C26" s="165"/>
      <c r="E26" s="139">
        <v>11</v>
      </c>
      <c r="F26" s="168">
        <v>155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1889</v>
      </c>
      <c r="G29" s="199">
        <f t="shared" ref="F29:G31" si="32">C10+G10+C16+G16+C23+G23+C29</f>
        <v>0</v>
      </c>
      <c r="I29" s="139">
        <v>6</v>
      </c>
      <c r="J29" s="198">
        <f>F29*15</f>
        <v>28335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193</v>
      </c>
      <c r="C30" s="168">
        <v>22</v>
      </c>
      <c r="E30" s="139">
        <v>7</v>
      </c>
      <c r="F30" s="198">
        <f t="shared" si="32"/>
        <v>1334</v>
      </c>
      <c r="G30" s="198">
        <f t="shared" si="32"/>
        <v>147</v>
      </c>
      <c r="I30" s="139">
        <v>7</v>
      </c>
      <c r="J30" s="198">
        <f t="shared" si="33"/>
        <v>20010</v>
      </c>
      <c r="K30" s="198">
        <f t="shared" si="33"/>
        <v>2205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1061</v>
      </c>
      <c r="G31" s="198">
        <f t="shared" si="32"/>
        <v>80</v>
      </c>
      <c r="I31" s="139">
        <v>10</v>
      </c>
      <c r="J31" s="198">
        <f t="shared" si="33"/>
        <v>15915</v>
      </c>
      <c r="K31" s="198">
        <f t="shared" si="33"/>
        <v>1200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146</v>
      </c>
      <c r="C32" s="165"/>
      <c r="E32" s="139">
        <v>11</v>
      </c>
      <c r="F32" s="198">
        <f t="shared" ref="F32:G32" si="34">B13+F13+B19+F19+B26+F26+B32</f>
        <v>1018</v>
      </c>
      <c r="G32" s="199">
        <f t="shared" si="34"/>
        <v>0</v>
      </c>
      <c r="I32" s="139">
        <v>11</v>
      </c>
      <c r="J32" s="198">
        <f>F32*15</f>
        <v>15270</v>
      </c>
      <c r="K32" s="199">
        <f>G32*180/12</f>
        <v>0</v>
      </c>
      <c r="O32" s="139" t="s">
        <v>222</v>
      </c>
      <c r="P32" s="227">
        <f t="shared" si="22"/>
        <v>0</v>
      </c>
      <c r="Q32" s="226">
        <v>0.36596731477757316</v>
      </c>
      <c r="R32" s="227">
        <f t="shared" si="23"/>
        <v>0</v>
      </c>
      <c r="S32" s="226">
        <v>0.49737012022137062</v>
      </c>
      <c r="T32" s="227">
        <f t="shared" si="24"/>
        <v>0</v>
      </c>
      <c r="U32" s="227">
        <v>8.4470759818635568E-2</v>
      </c>
      <c r="V32" s="227">
        <f t="shared" si="25"/>
        <v>0</v>
      </c>
      <c r="W32" s="226">
        <v>1.4746900179144523E-3</v>
      </c>
      <c r="X32" s="227">
        <f t="shared" si="26"/>
        <v>0</v>
      </c>
      <c r="Y32" s="226">
        <v>1.9454068705087059E-4</v>
      </c>
      <c r="Z32" s="227">
        <f t="shared" si="27"/>
        <v>0</v>
      </c>
      <c r="AA32" s="226">
        <v>5.6490796315900654E-3</v>
      </c>
      <c r="AB32" s="227">
        <f t="shared" si="28"/>
        <v>0</v>
      </c>
      <c r="AC32" s="226">
        <v>2.8718024612380665E-2</v>
      </c>
      <c r="AD32" s="227">
        <f t="shared" si="29"/>
        <v>0</v>
      </c>
      <c r="AE32" s="226">
        <v>1.6155470233484629E-2</v>
      </c>
      <c r="AF32" s="139">
        <f t="shared" si="31"/>
        <v>0</v>
      </c>
      <c r="AG32" s="226">
        <f t="shared" si="30"/>
        <v>1.0000000000000002</v>
      </c>
      <c r="AH32" s="168">
        <f>'Pallet Information'!V31</f>
        <v>0</v>
      </c>
    </row>
    <row r="33" spans="1:34" x14ac:dyDescent="0.2">
      <c r="O33" s="139" t="s">
        <v>50</v>
      </c>
      <c r="P33" s="227">
        <f>SUM(P26:P32)</f>
        <v>0</v>
      </c>
      <c r="Q33" s="139" t="e">
        <f>P33/AF33</f>
        <v>#DIV/0!</v>
      </c>
      <c r="R33" s="139">
        <f>SUM(R26:R32)</f>
        <v>0</v>
      </c>
      <c r="S33" s="139" t="e">
        <f>R33/AF33</f>
        <v>#DIV/0!</v>
      </c>
      <c r="T33" s="227">
        <f>SUM(T26:T32)</f>
        <v>0</v>
      </c>
      <c r="U33" s="139" t="e">
        <f>T33/AF33</f>
        <v>#DIV/0!</v>
      </c>
      <c r="V33" s="227">
        <f>SUM(V26:V32)</f>
        <v>0</v>
      </c>
      <c r="W33" s="139" t="e">
        <f>V33/AF33</f>
        <v>#DIV/0!</v>
      </c>
      <c r="X33" s="227">
        <f>SUM(X26:X32)</f>
        <v>0</v>
      </c>
      <c r="Y33" s="139" t="e">
        <f>X33/AF33</f>
        <v>#DIV/0!</v>
      </c>
      <c r="Z33" s="227">
        <f>SUM(Z26:Z32)</f>
        <v>0</v>
      </c>
      <c r="AA33" s="139" t="e">
        <f>Z33/AF33</f>
        <v>#DIV/0!</v>
      </c>
      <c r="AB33" s="227">
        <f>SUM(AB26:AB32)</f>
        <v>0</v>
      </c>
      <c r="AC33" s="139" t="e">
        <f>AB33/AF33</f>
        <v>#DIV/0!</v>
      </c>
      <c r="AD33" s="227">
        <f>SUM(AD26:AD32)</f>
        <v>0</v>
      </c>
      <c r="AE33" s="139" t="e">
        <f>AD33/AF33</f>
        <v>#DIV/0!</v>
      </c>
      <c r="AF33" s="139">
        <f>SUM(AF26:AF32)</f>
        <v>0</v>
      </c>
      <c r="AG33" s="253" t="e">
        <f>Q33+S33+U33+W33+Y33+AA33+AC33+AE33</f>
        <v>#DIV/0!</v>
      </c>
      <c r="AH33" s="139">
        <f t="shared" ref="AH33" si="35">AF33/15</f>
        <v>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240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v>681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v>39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180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v>60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120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60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988.11174989944755</v>
      </c>
      <c r="Q43" s="226">
        <v>0.36596731477757316</v>
      </c>
      <c r="R43" s="227">
        <f t="shared" si="38"/>
        <v>1342.8993245977006</v>
      </c>
      <c r="S43" s="226">
        <v>0.49737012022137062</v>
      </c>
      <c r="T43" s="227">
        <f t="shared" si="39"/>
        <v>228.07105151031604</v>
      </c>
      <c r="U43" s="227">
        <v>8.4470759818635568E-2</v>
      </c>
      <c r="V43" s="227">
        <f t="shared" si="40"/>
        <v>3.9816630483690214</v>
      </c>
      <c r="W43" s="226">
        <v>1.4746900179144523E-3</v>
      </c>
      <c r="X43" s="227">
        <f t="shared" si="41"/>
        <v>0.52525985503735062</v>
      </c>
      <c r="Y43" s="226">
        <v>1.9454068705087059E-4</v>
      </c>
      <c r="Z43" s="227">
        <f t="shared" si="42"/>
        <v>15.252515005293176</v>
      </c>
      <c r="AA43" s="226">
        <v>5.6490796315900654E-3</v>
      </c>
      <c r="AB43" s="227">
        <f t="shared" si="43"/>
        <v>77.538666453427794</v>
      </c>
      <c r="AC43" s="226">
        <v>2.8718024612380665E-2</v>
      </c>
      <c r="AD43" s="227">
        <f t="shared" si="44"/>
        <v>43.619769630408499</v>
      </c>
      <c r="AE43" s="226">
        <v>1.6155470233484629E-2</v>
      </c>
      <c r="AF43" s="139">
        <f t="shared" si="36"/>
        <v>2700</v>
      </c>
      <c r="AG43" s="226">
        <f t="shared" si="45"/>
        <v>1.0000000000000002</v>
      </c>
      <c r="AH43" s="139">
        <f>'Pallet Information'!V42</f>
        <v>180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988.11174989944755</v>
      </c>
      <c r="Q44" s="139">
        <f>P44/AF44</f>
        <v>0.36596731477757316</v>
      </c>
      <c r="R44" s="139">
        <f>SUM(R37:R43)</f>
        <v>1342.8993245977006</v>
      </c>
      <c r="S44" s="139">
        <f>R44/AF44</f>
        <v>0.49737012022137056</v>
      </c>
      <c r="T44" s="227">
        <f>SUM(T37:T43)</f>
        <v>228.07105151031604</v>
      </c>
      <c r="U44" s="139">
        <f>T44/AF44</f>
        <v>8.4470759818635568E-2</v>
      </c>
      <c r="V44" s="227">
        <f>SUM(V37:V43)</f>
        <v>3.9816630483690214</v>
      </c>
      <c r="W44" s="139">
        <f>V44/AF44</f>
        <v>1.4746900179144523E-3</v>
      </c>
      <c r="X44" s="227">
        <f>SUM(X37:X43)</f>
        <v>0.52525985503735062</v>
      </c>
      <c r="Y44" s="139">
        <f>X44/AF44</f>
        <v>1.9454068705087061E-4</v>
      </c>
      <c r="Z44" s="227">
        <f>SUM(Z37:Z43)</f>
        <v>15.252515005293176</v>
      </c>
      <c r="AA44" s="139">
        <f>Z44/AF44</f>
        <v>5.6490796315900654E-3</v>
      </c>
      <c r="AB44" s="227">
        <f>SUM(AB37:AB43)</f>
        <v>77.538666453427794</v>
      </c>
      <c r="AC44" s="139">
        <f>AB44/AF44</f>
        <v>2.8718024612380665E-2</v>
      </c>
      <c r="AD44" s="227">
        <f>SUM(AD37:AD43)</f>
        <v>43.619769630408499</v>
      </c>
      <c r="AE44" s="139">
        <f>AD44/AF44</f>
        <v>1.6155470233484629E-2</v>
      </c>
      <c r="AF44" s="139">
        <f>SUM(AF37:AF43)</f>
        <v>2700</v>
      </c>
      <c r="AG44" s="253">
        <f>Q44+S44+U44+W44+Y44+AA44+AC44+AE44</f>
        <v>1.0000000000000002</v>
      </c>
      <c r="AH44" s="139">
        <f t="shared" ref="AH44" si="46">AF44/15</f>
        <v>180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329.37058329981585</v>
      </c>
      <c r="Q54" s="226">
        <v>0.36596731477757316</v>
      </c>
      <c r="R54" s="227">
        <f t="shared" si="49"/>
        <v>447.63310819923356</v>
      </c>
      <c r="S54" s="226">
        <v>0.49737012022137062</v>
      </c>
      <c r="T54" s="227">
        <f t="shared" si="50"/>
        <v>76.023683836772008</v>
      </c>
      <c r="U54" s="227">
        <v>8.4470759818635568E-2</v>
      </c>
      <c r="V54" s="227">
        <f t="shared" si="51"/>
        <v>1.3272210161230071</v>
      </c>
      <c r="W54" s="226">
        <v>1.4746900179144523E-3</v>
      </c>
      <c r="X54" s="227">
        <f t="shared" si="52"/>
        <v>0.17508661834578354</v>
      </c>
      <c r="Y54" s="226">
        <v>1.9454068705087059E-4</v>
      </c>
      <c r="Z54" s="227">
        <f t="shared" si="53"/>
        <v>5.0841716684310585</v>
      </c>
      <c r="AA54" s="226">
        <v>5.6490796315900654E-3</v>
      </c>
      <c r="AB54" s="227">
        <f t="shared" si="54"/>
        <v>25.846222151142598</v>
      </c>
      <c r="AC54" s="226">
        <v>2.8718024612380665E-2</v>
      </c>
      <c r="AD54" s="227">
        <f t="shared" si="55"/>
        <v>14.539923210136166</v>
      </c>
      <c r="AE54" s="226">
        <v>1.6155470233484629E-2</v>
      </c>
      <c r="AF54" s="139">
        <f t="shared" si="47"/>
        <v>900</v>
      </c>
      <c r="AG54" s="226">
        <f t="shared" si="56"/>
        <v>1.0000000000000002</v>
      </c>
      <c r="AH54" s="139">
        <f>'Pallet Information'!V53</f>
        <v>60</v>
      </c>
    </row>
    <row r="55" spans="1:34" x14ac:dyDescent="0.2">
      <c r="O55" s="139" t="s">
        <v>50</v>
      </c>
      <c r="P55" s="227">
        <f>SUM(P48:P54)</f>
        <v>329.37058329981585</v>
      </c>
      <c r="Q55" s="139">
        <f>P55/AF55</f>
        <v>0.36596731477757316</v>
      </c>
      <c r="R55" s="139">
        <f>SUM(R48:R54)</f>
        <v>447.63310819923356</v>
      </c>
      <c r="S55" s="139">
        <f>R55/AF55</f>
        <v>0.49737012022137062</v>
      </c>
      <c r="T55" s="227">
        <f>SUM(T48:T54)</f>
        <v>76.023683836772008</v>
      </c>
      <c r="U55" s="139">
        <f>T55/AF55</f>
        <v>8.4470759818635568E-2</v>
      </c>
      <c r="V55" s="227">
        <f>SUM(V48:V54)</f>
        <v>1.3272210161230071</v>
      </c>
      <c r="W55" s="139">
        <f>V55/AF55</f>
        <v>1.4746900179144523E-3</v>
      </c>
      <c r="X55" s="227">
        <f>SUM(X48:X54)</f>
        <v>0.17508661834578354</v>
      </c>
      <c r="Y55" s="139">
        <f>X55/AF55</f>
        <v>1.9454068705087061E-4</v>
      </c>
      <c r="Z55" s="227">
        <f>SUM(Z48:Z54)</f>
        <v>5.0841716684310585</v>
      </c>
      <c r="AA55" s="139">
        <f>Z55/AF55</f>
        <v>5.6490796315900654E-3</v>
      </c>
      <c r="AB55" s="227">
        <f>SUM(AB48:AB54)</f>
        <v>25.846222151142598</v>
      </c>
      <c r="AC55" s="139">
        <f>AB55/AF55</f>
        <v>2.8718024612380665E-2</v>
      </c>
      <c r="AD55" s="227">
        <f>SUM(AD48:AD54)</f>
        <v>14.539923210136166</v>
      </c>
      <c r="AE55" s="139">
        <f>AD55/AF55</f>
        <v>1.6155470233484629E-2</v>
      </c>
      <c r="AF55" s="139">
        <f>SUM(AF48:AF54)</f>
        <v>900</v>
      </c>
      <c r="AG55" s="253">
        <f>Q55+S55+U55+W55+Y55+AA55+AC55+AE55</f>
        <v>1.0000000000000002</v>
      </c>
      <c r="AH55" s="139">
        <f t="shared" ref="AH55" si="57">AF55/15</f>
        <v>60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222</v>
      </c>
      <c r="P66" s="227">
        <f t="shared" si="59"/>
        <v>658.7411665996317</v>
      </c>
      <c r="Q66" s="226">
        <v>0.36596731477757316</v>
      </c>
      <c r="R66" s="227">
        <f t="shared" si="60"/>
        <v>895.26621639846712</v>
      </c>
      <c r="S66" s="226">
        <v>0.49737012022137062</v>
      </c>
      <c r="T66" s="227">
        <f t="shared" si="61"/>
        <v>152.04736767354402</v>
      </c>
      <c r="U66" s="227">
        <v>8.4470759818635568E-2</v>
      </c>
      <c r="V66" s="227">
        <f t="shared" si="62"/>
        <v>2.6544420322460143</v>
      </c>
      <c r="W66" s="226">
        <v>1.4746900179144523E-3</v>
      </c>
      <c r="X66" s="227">
        <f t="shared" si="63"/>
        <v>0.35017323669156708</v>
      </c>
      <c r="Y66" s="226">
        <v>1.9454068705087059E-4</v>
      </c>
      <c r="Z66" s="227">
        <f t="shared" si="64"/>
        <v>10.168343336862117</v>
      </c>
      <c r="AA66" s="226">
        <v>5.6490796315900654E-3</v>
      </c>
      <c r="AB66" s="227">
        <f t="shared" si="65"/>
        <v>51.692444302285196</v>
      </c>
      <c r="AC66" s="226">
        <v>2.8718024612380665E-2</v>
      </c>
      <c r="AD66" s="227">
        <f t="shared" si="66"/>
        <v>29.079846420272332</v>
      </c>
      <c r="AE66" s="226">
        <v>1.6155470233484629E-2</v>
      </c>
      <c r="AF66" s="139">
        <f t="shared" si="58"/>
        <v>1800</v>
      </c>
      <c r="AG66" s="226">
        <f t="shared" si="67"/>
        <v>1.0000000000000002</v>
      </c>
      <c r="AH66" s="139">
        <f>'Pallet Information'!V65</f>
        <v>120</v>
      </c>
    </row>
    <row r="67" spans="14:34" x14ac:dyDescent="0.2">
      <c r="O67" s="139" t="s">
        <v>50</v>
      </c>
      <c r="P67" s="227">
        <f>SUM(P60:P66)</f>
        <v>658.7411665996317</v>
      </c>
      <c r="Q67" s="139">
        <f>P67/AF67</f>
        <v>0.36596731477757316</v>
      </c>
      <c r="R67" s="139">
        <f>SUM(R60:R66)</f>
        <v>895.26621639846712</v>
      </c>
      <c r="S67" s="139">
        <f>R67/AF67</f>
        <v>0.49737012022137062</v>
      </c>
      <c r="T67" s="227">
        <f>SUM(T60:T66)</f>
        <v>152.04736767354402</v>
      </c>
      <c r="U67" s="139">
        <f>T67/AF67</f>
        <v>8.4470759818635568E-2</v>
      </c>
      <c r="V67" s="227">
        <f>SUM(V60:V66)</f>
        <v>2.6544420322460143</v>
      </c>
      <c r="W67" s="139">
        <f>V67/AF67</f>
        <v>1.4746900179144523E-3</v>
      </c>
      <c r="X67" s="227">
        <f>SUM(X60:X66)</f>
        <v>0.35017323669156708</v>
      </c>
      <c r="Y67" s="139">
        <f>X67/AF67</f>
        <v>1.9454068705087061E-4</v>
      </c>
      <c r="Z67" s="227">
        <f>SUM(Z60:Z66)</f>
        <v>10.168343336862117</v>
      </c>
      <c r="AA67" s="139">
        <f>Z67/AF67</f>
        <v>5.6490796315900654E-3</v>
      </c>
      <c r="AB67" s="227">
        <f>SUM(AB60:AB66)</f>
        <v>51.692444302285196</v>
      </c>
      <c r="AC67" s="139">
        <f>AB67/AF67</f>
        <v>2.8718024612380665E-2</v>
      </c>
      <c r="AD67" s="227">
        <f>SUM(AD60:AD66)</f>
        <v>29.079846420272332</v>
      </c>
      <c r="AE67" s="139">
        <f>AD67/AF67</f>
        <v>1.6155470233484629E-2</v>
      </c>
      <c r="AF67" s="139">
        <f>SUM(AF60:AF66)</f>
        <v>1800</v>
      </c>
      <c r="AG67" s="253">
        <f>Q67+S67+U67+W67+Y67+AA67+AC67+AE67</f>
        <v>1.0000000000000002</v>
      </c>
      <c r="AH67" s="139">
        <f t="shared" ref="AH67" si="68">AF67/15</f>
        <v>120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60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4107.766712693614</v>
      </c>
      <c r="Q80" s="253">
        <f>P80/AF80</f>
        <v>0.35109117202509521</v>
      </c>
      <c r="R80" s="242">
        <f>R22</f>
        <v>5920.0198243601208</v>
      </c>
      <c r="S80" s="253">
        <f>R80/AF80</f>
        <v>0.50598460037265991</v>
      </c>
      <c r="T80" s="242">
        <f>T22</f>
        <v>1076.7814773823702</v>
      </c>
      <c r="U80" s="253">
        <f>T80/AF80</f>
        <v>9.2032604904476081E-2</v>
      </c>
      <c r="V80" s="242">
        <f>V22</f>
        <v>19.256757552442711</v>
      </c>
      <c r="W80" s="253">
        <f>V80/AF80</f>
        <v>1.6458767138839924E-3</v>
      </c>
      <c r="X80" s="242">
        <f>X22</f>
        <v>2.2835106877756921</v>
      </c>
      <c r="Y80" s="253">
        <f>X80/AF80</f>
        <v>1.9517185365604207E-4</v>
      </c>
      <c r="Z80" s="242">
        <f>Z22</f>
        <v>63.908886837702049</v>
      </c>
      <c r="AA80" s="253">
        <f>Z80/AF80</f>
        <v>5.4622980203164143E-3</v>
      </c>
      <c r="AB80" s="242">
        <f>AB22</f>
        <v>326.22476199525187</v>
      </c>
      <c r="AC80" s="253">
        <f>AB80/AF80</f>
        <v>2.7882458290192466E-2</v>
      </c>
      <c r="AD80" s="242">
        <f>AD22</f>
        <v>183.75806849072254</v>
      </c>
      <c r="AE80" s="253">
        <f>AD80/AF80</f>
        <v>1.5705817819719876E-2</v>
      </c>
      <c r="AF80" s="139">
        <f t="shared" ref="AF80:AF81" si="69">(AH80*15)</f>
        <v>11700</v>
      </c>
      <c r="AG80" s="226">
        <f t="shared" ref="AG80:AG81" si="70">SUM(Q80+S80+U80+W80+Y80+AA80+AC80+AE80)</f>
        <v>0.99999999999999989</v>
      </c>
      <c r="AH80" s="139">
        <f>AH22</f>
        <v>780</v>
      </c>
    </row>
    <row r="81" spans="14:34" x14ac:dyDescent="0.2">
      <c r="O81" s="139" t="s">
        <v>48</v>
      </c>
      <c r="P81" s="242">
        <f>P33</f>
        <v>0</v>
      </c>
      <c r="Q81" s="253" t="e">
        <f>P81/AF81</f>
        <v>#DIV/0!</v>
      </c>
      <c r="R81" s="242">
        <f>R33</f>
        <v>0</v>
      </c>
      <c r="S81" s="253" t="e">
        <f>R81/AF81</f>
        <v>#DIV/0!</v>
      </c>
      <c r="T81" s="242">
        <f>T33</f>
        <v>0</v>
      </c>
      <c r="U81" s="253" t="e">
        <f>T81/AF81</f>
        <v>#DIV/0!</v>
      </c>
      <c r="V81" s="242">
        <f>V33</f>
        <v>0</v>
      </c>
      <c r="W81" s="253" t="e">
        <f>V81/AF81</f>
        <v>#DIV/0!</v>
      </c>
      <c r="X81" s="242">
        <f>X33</f>
        <v>0</v>
      </c>
      <c r="Y81" s="253" t="e">
        <f>X81/AF81</f>
        <v>#DIV/0!</v>
      </c>
      <c r="Z81" s="242">
        <f>Z33</f>
        <v>0</v>
      </c>
      <c r="AA81" s="253" t="e">
        <f>Z81/AF81</f>
        <v>#DIV/0!</v>
      </c>
      <c r="AB81" s="242">
        <f>AB33</f>
        <v>0</v>
      </c>
      <c r="AC81" s="253" t="e">
        <f>AB81/AF81</f>
        <v>#DIV/0!</v>
      </c>
      <c r="AD81" s="242">
        <f>AD33</f>
        <v>0</v>
      </c>
      <c r="AE81" s="253" t="e">
        <f>AD81/AF81</f>
        <v>#DIV/0!</v>
      </c>
      <c r="AF81" s="139">
        <f t="shared" si="69"/>
        <v>0</v>
      </c>
      <c r="AG81" s="226" t="e">
        <f t="shared" si="70"/>
        <v>#DIV/0!</v>
      </c>
      <c r="AH81" s="139">
        <f>AH33</f>
        <v>0</v>
      </c>
    </row>
    <row r="82" spans="14:34" x14ac:dyDescent="0.2">
      <c r="O82" s="139" t="s">
        <v>50</v>
      </c>
      <c r="P82" s="227">
        <f>SUM(P80:P81)</f>
        <v>4107.766712693614</v>
      </c>
      <c r="Q82" s="253">
        <f>P82/AF82</f>
        <v>0.35109117202509521</v>
      </c>
      <c r="R82" s="227">
        <f>SUM(R80:R81)</f>
        <v>5920.0198243601208</v>
      </c>
      <c r="S82" s="253">
        <f>R82/AF82</f>
        <v>0.50598460037265991</v>
      </c>
      <c r="T82" s="227">
        <f>SUM(T80:T81)</f>
        <v>1076.7814773823702</v>
      </c>
      <c r="U82" s="253">
        <f>T82/AF82</f>
        <v>9.2032604904476081E-2</v>
      </c>
      <c r="V82" s="227">
        <f>SUM(V80:V81)</f>
        <v>19.256757552442711</v>
      </c>
      <c r="W82" s="253">
        <f>V82/AF82</f>
        <v>1.6458767138839924E-3</v>
      </c>
      <c r="X82" s="227">
        <f>SUM(X80:X81)</f>
        <v>2.2835106877756921</v>
      </c>
      <c r="Y82" s="253">
        <f>X82/AF82</f>
        <v>1.9517185365604207E-4</v>
      </c>
      <c r="Z82" s="227">
        <f>SUM(Z80:Z81)</f>
        <v>63.908886837702049</v>
      </c>
      <c r="AA82" s="253">
        <f>Z82/AF82</f>
        <v>5.4622980203164143E-3</v>
      </c>
      <c r="AB82" s="227">
        <f>SUM(AB80:AB81)</f>
        <v>326.22476199525187</v>
      </c>
      <c r="AC82" s="253">
        <f>AB82/AF82</f>
        <v>2.7882458290192466E-2</v>
      </c>
      <c r="AD82" s="227">
        <f>SUM(AD80:AD81)</f>
        <v>183.75806849072254</v>
      </c>
      <c r="AE82" s="253">
        <f>AD82/AF82</f>
        <v>1.5705817819719876E-2</v>
      </c>
      <c r="AF82" s="252">
        <f>SUM(AF80:AF81)</f>
        <v>11700</v>
      </c>
      <c r="AG82" s="253">
        <f>SUM(Q82+S82+U82+W82+Y82+AA82+AC82+AE82)</f>
        <v>0.99999999999999989</v>
      </c>
      <c r="AH82" s="139">
        <f t="shared" ref="AH82" si="71">AF82/15</f>
        <v>780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988.11174989944755</v>
      </c>
      <c r="Q87" s="226">
        <f>P87/AF87</f>
        <v>0.36596731477757316</v>
      </c>
      <c r="R87" s="227">
        <f>R44</f>
        <v>1342.8993245977006</v>
      </c>
      <c r="S87" s="226">
        <f>R87/AF87</f>
        <v>0.49737012022137056</v>
      </c>
      <c r="T87" s="227">
        <f>T44</f>
        <v>228.07105151031604</v>
      </c>
      <c r="U87" s="226">
        <f>T87/AF87</f>
        <v>8.4470759818635568E-2</v>
      </c>
      <c r="V87" s="227">
        <f>V44</f>
        <v>3.9816630483690214</v>
      </c>
      <c r="W87" s="226">
        <f>V87/AF87</f>
        <v>1.4746900179144523E-3</v>
      </c>
      <c r="X87" s="227">
        <f>X44</f>
        <v>0.52525985503735062</v>
      </c>
      <c r="Y87" s="226">
        <f>X87/AF87</f>
        <v>1.9454068705087061E-4</v>
      </c>
      <c r="Z87" s="227">
        <f>Z44</f>
        <v>15.252515005293176</v>
      </c>
      <c r="AA87" s="226">
        <f>Z87/AF87</f>
        <v>5.6490796315900654E-3</v>
      </c>
      <c r="AB87" s="227">
        <f>AB44</f>
        <v>77.538666453427794</v>
      </c>
      <c r="AC87" s="226">
        <f>AB87/AF87</f>
        <v>2.8718024612380665E-2</v>
      </c>
      <c r="AD87" s="227">
        <f>AD44</f>
        <v>43.619769630408499</v>
      </c>
      <c r="AE87" s="226">
        <f>AD87/AF87</f>
        <v>1.6155470233484629E-2</v>
      </c>
      <c r="AF87" s="139">
        <f t="shared" ref="AF87:AF88" si="72">(AH87*15)</f>
        <v>2700</v>
      </c>
      <c r="AG87" s="226">
        <f t="shared" ref="AG87:AG88" si="73">SUM(Q87+S87+U87+W87+Y87+AA87+AC87+AE87)</f>
        <v>1.0000000000000002</v>
      </c>
      <c r="AH87" s="139">
        <f>AH44</f>
        <v>180</v>
      </c>
    </row>
    <row r="88" spans="14:34" x14ac:dyDescent="0.2">
      <c r="O88" s="139" t="s">
        <v>48</v>
      </c>
      <c r="P88" s="227">
        <f>P55</f>
        <v>329.37058329981585</v>
      </c>
      <c r="Q88" s="226">
        <f>P88/AF88</f>
        <v>0.36596731477757316</v>
      </c>
      <c r="R88" s="227">
        <f>R55</f>
        <v>447.63310819923356</v>
      </c>
      <c r="S88" s="226">
        <f>R88/AF88</f>
        <v>0.49737012022137062</v>
      </c>
      <c r="T88" s="227">
        <f>T55</f>
        <v>76.023683836772008</v>
      </c>
      <c r="U88" s="241">
        <f>T88/AF88</f>
        <v>8.4470759818635568E-2</v>
      </c>
      <c r="V88" s="227">
        <f>V55</f>
        <v>1.3272210161230071</v>
      </c>
      <c r="W88" s="226">
        <f>V88/AF88</f>
        <v>1.4746900179144523E-3</v>
      </c>
      <c r="X88" s="227">
        <f>X55</f>
        <v>0.17508661834578354</v>
      </c>
      <c r="Y88" s="226">
        <f>X88/AF88</f>
        <v>1.9454068705087061E-4</v>
      </c>
      <c r="Z88" s="227">
        <f>Z55</f>
        <v>5.0841716684310585</v>
      </c>
      <c r="AA88" s="226">
        <f>Z88/AF88</f>
        <v>5.6490796315900654E-3</v>
      </c>
      <c r="AB88" s="227">
        <f>AB55</f>
        <v>25.846222151142598</v>
      </c>
      <c r="AC88" s="226">
        <f>AB88/AF88</f>
        <v>2.8718024612380665E-2</v>
      </c>
      <c r="AD88" s="227">
        <f>AD55</f>
        <v>14.539923210136166</v>
      </c>
      <c r="AE88" s="226">
        <f>AD88/AF88</f>
        <v>1.6155470233484629E-2</v>
      </c>
      <c r="AF88" s="139">
        <f t="shared" si="72"/>
        <v>900</v>
      </c>
      <c r="AG88" s="226">
        <f t="shared" si="73"/>
        <v>1.0000000000000002</v>
      </c>
      <c r="AH88" s="139">
        <f>AH55</f>
        <v>60</v>
      </c>
    </row>
    <row r="89" spans="14:34" x14ac:dyDescent="0.2">
      <c r="O89" s="139" t="s">
        <v>50</v>
      </c>
      <c r="P89" s="227">
        <f>SUM(P87:P88)</f>
        <v>1317.4823331992634</v>
      </c>
      <c r="Q89" s="253">
        <f>P89/AF89</f>
        <v>0.36596731477757316</v>
      </c>
      <c r="R89" s="227">
        <f>SUM(R87:R88)</f>
        <v>1790.5324327969342</v>
      </c>
      <c r="S89" s="253">
        <f>R89/AF89</f>
        <v>0.49737012022137062</v>
      </c>
      <c r="T89" s="227">
        <f>SUM(T87:T88)</f>
        <v>304.09473534708803</v>
      </c>
      <c r="U89" s="253">
        <f>T89/AF89</f>
        <v>8.4470759818635568E-2</v>
      </c>
      <c r="V89" s="227">
        <f>SUM(V87:V88)</f>
        <v>5.3088840644920285</v>
      </c>
      <c r="W89" s="253">
        <f>V89/AF89</f>
        <v>1.4746900179144523E-3</v>
      </c>
      <c r="X89" s="227">
        <f>SUM(X87:X88)</f>
        <v>0.70034647338313416</v>
      </c>
      <c r="Y89" s="253">
        <f>X89/AF89</f>
        <v>1.9454068705087061E-4</v>
      </c>
      <c r="Z89" s="227">
        <f>SUM(Z87:Z88)</f>
        <v>20.336686673724234</v>
      </c>
      <c r="AA89" s="253">
        <f>Z89/AF89</f>
        <v>5.6490796315900654E-3</v>
      </c>
      <c r="AB89" s="227">
        <f>SUM(AB87:AB88)</f>
        <v>103.38488860457039</v>
      </c>
      <c r="AC89" s="253">
        <f>AB89/AF89</f>
        <v>2.8718024612380665E-2</v>
      </c>
      <c r="AD89" s="227">
        <f>SUM(AD87:AD88)</f>
        <v>58.159692840544665</v>
      </c>
      <c r="AE89" s="253">
        <f>AD89/AF89</f>
        <v>1.6155470233484629E-2</v>
      </c>
      <c r="AF89" s="227">
        <f>SUM(AF87:AF88)</f>
        <v>3600</v>
      </c>
      <c r="AG89" s="253">
        <f>SUM(Q89+S89+U89+W89+Y89+AA89+AC89+AE89)</f>
        <v>1.0000000000000002</v>
      </c>
      <c r="AH89" s="139">
        <f t="shared" ref="AH89" si="74">AF89/15</f>
        <v>240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2026-02-03T14:26:08Z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