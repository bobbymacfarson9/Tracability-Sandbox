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50970015-30E8-413D-B83F-BD23E12E4C03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<sst xmlns="http://schemas.openxmlformats.org/spreadsheetml/2006/main" count="513" uniqueCount="239">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</sst>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22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45809.25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10950.914174845924</v>
      </c>
      <c r="I7" s="27">
        <v>0</v>
      </c>
      <c r="J7" s="26">
        <f>IFERROR(H7-I7,"")</f>
        <v>10950.914174845924</v>
      </c>
      <c r="K7" s="26">
        <f>IFERROR(($E$26/($H$27+$H$28)*$H$27)*R28,"")</f>
        <v>54.754570874229628</v>
      </c>
      <c r="L7" s="26">
        <f>IFERROR(($E$26/($H$27+$H$28)*$H$27)*S28,"")</f>
        <v>21.901828349691854</v>
      </c>
      <c r="M7" s="28">
        <f>IFERROR(K7+L7,"")</f>
        <v>76.656399223921483</v>
      </c>
      <c r="N7" s="29">
        <f>IFERROR(O7+P7+Q7+R7+S7+T7+U7+V7,"")</f>
        <v>10874.257775622003</v>
      </c>
      <c r="O7" s="26">
        <f t="shared" ref="O7:V7" si="0">IFERROR(($E$26/($H$27+$H$28)*$H$27)*J28,"")</f>
        <v>1084.1405033097467</v>
      </c>
      <c r="P7" s="26">
        <f>IFERROR(($E$26/($H$27+$H$28)*$H$27)*K28,"")</f>
        <v>4259.9056140150651</v>
      </c>
      <c r="Q7" s="26">
        <f t="shared" si="0"/>
        <v>5234.5369755763522</v>
      </c>
      <c r="R7" s="26">
        <f t="shared" si="0"/>
        <v>273.77285437114818</v>
      </c>
      <c r="S7" s="26">
        <f t="shared" si="0"/>
        <v>0</v>
      </c>
      <c r="T7" s="26">
        <f t="shared" si="0"/>
        <v>0</v>
      </c>
      <c r="U7" s="26">
        <f t="shared" si="0"/>
        <v>21.901828349691854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1034.0858251540744</v>
      </c>
      <c r="I8" s="27">
        <v>0</v>
      </c>
      <c r="J8" s="26">
        <f>IFERROR(H8-I8,"")</f>
        <v>1034.0858251540744</v>
      </c>
      <c r="K8" s="26">
        <f>IFERROR(($E$26/($H$27+$H$28)*$H$28)*R28,"")</f>
        <v>5.1704291257703723</v>
      </c>
      <c r="L8" s="26">
        <f>IFERROR(($E$26/($H$27+$H$28)*$H$28)*S28,"")</f>
        <v>2.0681716503081491</v>
      </c>
      <c r="M8" s="28">
        <f>IFERROR(K8+L8,"")</f>
        <v>7.2386007760785214</v>
      </c>
      <c r="N8" s="29">
        <f>IFERROR(O8+P8+Q8+R8+S8+T8+U8+V8,"")</f>
        <v>1026.8472243779959</v>
      </c>
      <c r="O8" s="26">
        <f t="shared" ref="O8:V8" si="1">IFERROR(($E$26/($H$27+$H$28)*$H$28)*J28,"")</f>
        <v>102.37449669025337</v>
      </c>
      <c r="P8" s="26">
        <f t="shared" si="1"/>
        <v>402.25938598493497</v>
      </c>
      <c r="Q8" s="26">
        <f t="shared" si="1"/>
        <v>494.29302442364758</v>
      </c>
      <c r="R8" s="26">
        <f t="shared" si="1"/>
        <v>25.852145628851861</v>
      </c>
      <c r="S8" s="26">
        <f t="shared" si="1"/>
        <v>0</v>
      </c>
      <c r="T8" s="26">
        <f t="shared" si="1"/>
        <v>0</v>
      </c>
      <c r="U8" s="26">
        <f t="shared" si="1"/>
        <v>2.0681716503081491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0</v>
      </c>
      <c r="I10" s="27">
        <v>0</v>
      </c>
      <c r="J10" s="26">
        <f>IFERROR(H10-I10,"")</f>
        <v>0</v>
      </c>
      <c r="K10" s="26">
        <f>IFERROR(($E$30/($H$31+$H$32)*$H$31)*R32,"")</f>
        <v>0</v>
      </c>
      <c r="L10" s="26">
        <f>IFERROR(($E$30/($H$31+$H$32)*$H$31)*S32,"")</f>
        <v>0</v>
      </c>
      <c r="M10" s="28">
        <f>IFERROR(K10+L10,"")</f>
        <v>0</v>
      </c>
      <c r="N10" s="29">
        <f>IFERROR(O10+P10+Q10+R10+S10+T10+U10+V10,"")</f>
        <v>0</v>
      </c>
      <c r="O10" s="26">
        <f t="shared" ref="O10:V10" si="2">IFERROR(($E$30/($H$31+$H$32)*$H$31)*J32,"")</f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11984.999999999998</v>
      </c>
      <c r="I19" s="37">
        <f t="shared" si="7"/>
        <v>0</v>
      </c>
      <c r="J19" s="37">
        <f t="shared" si="7"/>
        <v>11984.999999999998</v>
      </c>
      <c r="K19" s="37">
        <f t="shared" si="7"/>
        <v>59.924999999999997</v>
      </c>
      <c r="L19" s="37">
        <f t="shared" si="7"/>
        <v>23.970000000000002</v>
      </c>
      <c r="M19" s="37">
        <f t="shared" si="7"/>
        <v>83.89500000000001</v>
      </c>
      <c r="N19" s="37">
        <f t="shared" si="7"/>
        <v>11901.105</v>
      </c>
      <c r="O19" s="37">
        <f t="shared" si="7"/>
        <v>1186.5150000000001</v>
      </c>
      <c r="P19" s="37">
        <f t="shared" si="7"/>
        <v>4662.165</v>
      </c>
      <c r="Q19" s="37">
        <f t="shared" si="7"/>
        <v>5728.83</v>
      </c>
      <c r="R19" s="37">
        <f t="shared" si="7"/>
        <v>299.62500000000006</v>
      </c>
      <c r="S19" s="37">
        <f t="shared" si="7"/>
        <v>0</v>
      </c>
      <c r="T19" s="37">
        <f t="shared" si="7"/>
        <v>0</v>
      </c>
      <c r="U19" s="37">
        <f t="shared" si="7"/>
        <v>23.970000000000002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11985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11985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1186.5150000000001</v>
      </c>
      <c r="K27" s="198">
        <f t="shared" ref="K27:S27" si="8">$E$26*K28</f>
        <v>4662.165</v>
      </c>
      <c r="L27" s="198">
        <f t="shared" si="8"/>
        <v>5728.83</v>
      </c>
      <c r="M27" s="198">
        <f t="shared" si="8"/>
        <v>299.625</v>
      </c>
      <c r="N27" s="198">
        <f t="shared" si="8"/>
        <v>0</v>
      </c>
      <c r="O27" s="198">
        <f t="shared" si="8"/>
        <v>0</v>
      </c>
      <c r="P27" s="198">
        <f t="shared" si="8"/>
        <v>23.97</v>
      </c>
      <c r="Q27" s="198">
        <f t="shared" si="8"/>
        <v>0</v>
      </c>
      <c r="R27" s="198">
        <f t="shared" si="8"/>
        <v>59.925000000000004</v>
      </c>
      <c r="S27" s="198">
        <f t="shared" si="8"/>
        <v>23.97</v>
      </c>
      <c r="T27" s="199">
        <f>SUM(J27:S27)</f>
        <v>11984.999999999998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0</v>
      </c>
      <c r="K31" s="198">
        <f t="shared" ref="K31:S31" si="9">$E30*K32</f>
        <v>0</v>
      </c>
      <c r="L31" s="198">
        <f t="shared" si="9"/>
        <v>0</v>
      </c>
      <c r="M31" s="198">
        <f t="shared" si="9"/>
        <v>0</v>
      </c>
      <c r="N31" s="198">
        <f t="shared" si="9"/>
        <v>0</v>
      </c>
      <c r="O31" s="198">
        <f t="shared" si="9"/>
        <v>0</v>
      </c>
      <c r="P31" s="198">
        <f t="shared" si="9"/>
        <v>0</v>
      </c>
      <c r="Q31" s="198">
        <f t="shared" si="9"/>
        <v>0</v>
      </c>
      <c r="R31" s="198">
        <f t="shared" si="9"/>
        <v>0</v>
      </c>
      <c r="S31" s="198">
        <f t="shared" si="9"/>
        <v>0</v>
      </c>
      <c r="T31" s="199">
        <f>SUM(J31:S31)</f>
        <v>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0</v>
      </c>
      <c r="K32" s="197">
        <f>Inputs!C38</f>
        <v>0</v>
      </c>
      <c r="L32" s="197">
        <f>Inputs!C39</f>
        <v>0</v>
      </c>
      <c r="M32" s="197">
        <f>Inputs!C40</f>
        <v>0</v>
      </c>
      <c r="N32" s="197">
        <f>Inputs!C41</f>
        <v>0</v>
      </c>
      <c r="O32" s="197">
        <v>0</v>
      </c>
      <c r="P32" s="197">
        <f>Inputs!C49</f>
        <v>0</v>
      </c>
      <c r="Q32" s="197">
        <f>Inputs!C42</f>
        <v>0</v>
      </c>
      <c r="R32" s="197">
        <f>Inputs!C48+Inputs!C50</f>
        <v>0</v>
      </c>
      <c r="S32" s="197">
        <f>Inputs!C47</f>
        <v>0</v>
      </c>
      <c r="T32" s="200">
        <f>SUM(J32:S32)</f>
        <v>0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0</v>
      </c>
      <c r="K35" s="198">
        <f t="shared" ref="K35:S35" si="10">$E34*K36</f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Inputs!D48+Inputs!D50</f>
        <v>0</v>
      </c>
      <c r="S36" s="197">
        <f>Inputs!D47</f>
        <v>0</v>
      </c>
      <c r="T36" s="200">
        <f>SUM(J36:S36)</f>
        <v>0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0</v>
      </c>
      <c r="K39" s="198">
        <f t="shared" ref="K39:S39" si="11">$E38*K40</f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45809.25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960</v>
      </c>
      <c r="C13" s="220">
        <f>'Grade out Information'!X26</f>
        <v>14400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960</v>
      </c>
      <c r="C27" s="222">
        <f>SUM(C13:C26)</f>
        <v>14400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K33" sqref="K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22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13260</v>
      </c>
      <c r="J15" s="133">
        <f>X15*K15</f>
        <v>6470.88</v>
      </c>
      <c r="K15" s="184">
        <f>Inputs!B36</f>
        <v>0.48799999999999999</v>
      </c>
      <c r="L15" s="133">
        <f>X15*M15</f>
        <v>6338.28</v>
      </c>
      <c r="M15" s="184">
        <f>Inputs!B39</f>
        <v>0.47799999999999998</v>
      </c>
      <c r="N15" s="133">
        <f>X15*O15</f>
        <v>331.5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119.34000000000002</v>
      </c>
      <c r="W15" s="185">
        <f>Inputs!B43</f>
        <v>9.0000000000000011E-3</v>
      </c>
      <c r="X15" s="213">
        <f>Z15*15</f>
        <v>13260</v>
      </c>
      <c r="Y15" s="209">
        <f>K15+M15+O15+Q15+S15+U15+W15</f>
        <v>1</v>
      </c>
      <c r="Z15" s="226">
        <f>Inputs!I35</f>
        <v>884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1139.9999999999998</v>
      </c>
      <c r="J16" s="133">
        <f>X16*K16</f>
        <v>556.31999999999994</v>
      </c>
      <c r="K16" s="184">
        <f>K15</f>
        <v>0.48799999999999999</v>
      </c>
      <c r="L16" s="133">
        <f t="shared" ref="L16:L23" si="0">X16*M16</f>
        <v>544.91999999999996</v>
      </c>
      <c r="M16" s="184">
        <f>M15</f>
        <v>0.47799999999999998</v>
      </c>
      <c r="N16" s="133">
        <f t="shared" ref="N16:N21" si="1">X16*O16</f>
        <v>28.5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10.260000000000002</v>
      </c>
      <c r="W16" s="185">
        <f>W15</f>
        <v>9.0000000000000011E-3</v>
      </c>
      <c r="X16" s="213">
        <f t="shared" ref="X16:X23" si="6">Z16*15</f>
        <v>1140</v>
      </c>
      <c r="Y16" s="209">
        <f>K16+M16+O16+Q16+S16+U16+W16</f>
        <v>1</v>
      </c>
      <c r="Z16" s="226">
        <f>Inputs!I36</f>
        <v>76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</v>
      </c>
      <c r="L18" s="133">
        <f t="shared" si="0"/>
        <v>0</v>
      </c>
      <c r="M18" s="184">
        <f>Inputs!C39</f>
        <v>0</v>
      </c>
      <c r="N18" s="133">
        <f t="shared" si="1"/>
        <v>0</v>
      </c>
      <c r="O18" s="184">
        <f>Inputs!C40</f>
        <v>0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0</v>
      </c>
      <c r="X18" s="213">
        <f t="shared" si="6"/>
        <v>0</v>
      </c>
      <c r="Y18" s="209">
        <f>K18+M18+O18+Q18+S18+U18+W18</f>
        <v>0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</v>
      </c>
      <c r="L20" s="133">
        <f t="shared" si="0"/>
        <v>0</v>
      </c>
      <c r="M20" s="184">
        <f>Inputs!D39</f>
        <v>0</v>
      </c>
      <c r="N20" s="133">
        <f t="shared" si="1"/>
        <v>0</v>
      </c>
      <c r="O20" s="184">
        <f>Inputs!D40</f>
        <v>0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</v>
      </c>
      <c r="X20" s="213">
        <f t="shared" si="6"/>
        <v>0</v>
      </c>
      <c r="Y20" s="209">
        <f>K20+M20+O20+Q20+S20+U20+W20</f>
        <v>0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</v>
      </c>
      <c r="L21" s="133">
        <f t="shared" si="0"/>
        <v>0</v>
      </c>
      <c r="M21" s="184">
        <f>M20</f>
        <v>0</v>
      </c>
      <c r="N21" s="133">
        <f t="shared" si="1"/>
        <v>0</v>
      </c>
      <c r="O21" s="184">
        <f>O20</f>
        <v>0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</v>
      </c>
      <c r="X21" s="213">
        <f t="shared" si="6"/>
        <v>0</v>
      </c>
      <c r="Y21" s="209">
        <f>K21+M21+O21+Q21+S21+U21+W21</f>
        <v>0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</v>
      </c>
      <c r="L23" s="133">
        <f t="shared" si="0"/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0</v>
      </c>
      <c r="X23" s="213">
        <f t="shared" si="6"/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7027.2</v>
      </c>
      <c r="K26" s="139"/>
      <c r="L26" s="139">
        <f>SUM(L15:L25)</f>
        <v>6883.2</v>
      </c>
      <c r="M26" s="139"/>
      <c r="N26" s="139">
        <f>SUM(N15:N25)</f>
        <v>360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129.60000000000002</v>
      </c>
      <c r="W26" s="139"/>
      <c r="X26" s="139">
        <f>SUM(X15:X25)</f>
        <v>14400</v>
      </c>
      <c r="Y26" s="139"/>
      <c r="Z26" s="139">
        <f>SUM(Z15:Z25)</f>
        <v>960</v>
      </c>
      <c r="AA26" s="141">
        <f>IF(Z33=0,0,Z33/(H33+Z33))</f>
        <v>0</v>
      </c>
      <c r="AB26" s="139">
        <f>G26+X26</f>
        <v>14400</v>
      </c>
      <c r="AC26" s="139">
        <f>H26+Z26</f>
        <v>960</v>
      </c>
      <c r="AD26" s="141">
        <f>I26+AA26</f>
        <v>0</v>
      </c>
    </row>
    <row r="30" spans="1:30" x14ac:dyDescent="0.2">
      <c r="A30" s="3" t="s">
        <v>107</v>
      </c>
      <c r="B30">
        <f>J26</f>
        <v>7027.2</v>
      </c>
    </row>
    <row r="31" spans="1:30" x14ac:dyDescent="0.2">
      <c r="A31" s="3" t="s">
        <v>108</v>
      </c>
      <c r="B31">
        <f>L26</f>
        <v>6883.2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360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129.60000000000002</v>
      </c>
    </row>
    <row r="38" spans="1:13" x14ac:dyDescent="0.2">
      <c r="A38" s="3" t="s">
        <v>128</v>
      </c>
      <c r="B38">
        <f>SUM(B30:B36)</f>
        <v>14400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3" sqref="N2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22</v>
      </c>
      <c r="C7" s="151">
        <v>940738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1509</v>
      </c>
      <c r="J7" s="189">
        <f>IF(H7="NEW",203, IF(H7="OLD",192,0))</f>
        <v>203</v>
      </c>
      <c r="K7" s="151">
        <v>1712</v>
      </c>
      <c r="L7" s="211">
        <f>IF(K7&gt;0,I7/E7,"NA")</f>
        <v>25.15</v>
      </c>
      <c r="M7" s="151">
        <v>944141</v>
      </c>
      <c r="N7" s="152" t="s">
        <v>238</v>
      </c>
      <c r="O7" s="157" t="s">
        <v>237</v>
      </c>
      <c r="P7" s="187">
        <f>IF(D7=Inputs!F$2,Inputs!I$2,IF(D7=Inputs!F$3,Inputs!I$3,IF(D7=Inputs!F$4,Inputs!I$4,IF(D7=Inputs!F$5,Inputs!I$5,"NA"))))</f>
        <v>77.892857142857139</v>
      </c>
    </row>
    <row r="8" spans="1:16" x14ac:dyDescent="0.25">
      <c r="A8" s="148">
        <v>2</v>
      </c>
      <c r="B8" s="189">
        <f>Inputs!C$2</f>
        <v>22</v>
      </c>
      <c r="C8" s="151">
        <v>940739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1523</v>
      </c>
      <c r="J8" s="189">
        <f>IF(H8="NEW",203, IF(H8="OLD",192,0))</f>
        <v>203</v>
      </c>
      <c r="K8" s="151">
        <v>1726</v>
      </c>
      <c r="L8" s="211">
        <f>IF(K8&gt;0,I8/E8,"NA")</f>
        <v>25.383333333333333</v>
      </c>
      <c r="M8" s="151">
        <v>944141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77.892857142857139</v>
      </c>
    </row>
    <row r="9" spans="1:16" x14ac:dyDescent="0.25">
      <c r="A9" s="148">
        <v>3</v>
      </c>
      <c r="B9" s="189">
        <f>Inputs!C$2</f>
        <v>22</v>
      </c>
      <c r="C9" s="151">
        <v>940740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1509</v>
      </c>
      <c r="J9" s="189">
        <f>IF(H9="NEW",203, IF(H9="OLD",192,0))</f>
        <v>203</v>
      </c>
      <c r="K9" s="151">
        <v>1712</v>
      </c>
      <c r="L9" s="211">
        <f t="shared" ref="L9:L72" si="1">IF(K9&gt;0,I9/E9,"NA")</f>
        <v>25.15</v>
      </c>
      <c r="M9" s="151">
        <v>944141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77.892857142857139</v>
      </c>
    </row>
    <row r="10" spans="1:16" x14ac:dyDescent="0.25">
      <c r="A10" s="148">
        <v>4</v>
      </c>
      <c r="B10" s="189">
        <f>Inputs!C$2</f>
        <v>22</v>
      </c>
      <c r="C10" s="151">
        <v>940741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1515</v>
      </c>
      <c r="J10" s="189">
        <f>IF(H10="NEW",203, IF(H10="OLD",192,0))</f>
        <v>203</v>
      </c>
      <c r="K10" s="151">
        <v>1718</v>
      </c>
      <c r="L10" s="211">
        <f t="shared" si="1"/>
        <v>25.25</v>
      </c>
      <c r="M10" s="151">
        <v>944141</v>
      </c>
      <c r="N10" s="152" t="s">
        <v>238</v>
      </c>
      <c r="O10" s="157" t="s">
        <v>237</v>
      </c>
      <c r="P10" s="187">
        <f>IF(D10=Inputs!F$2,Inputs!I$2,IF(D10=Inputs!F$3,Inputs!I$3,IF(D10=Inputs!F$4,Inputs!I$4,IF(D10=Inputs!F$5,Inputs!I$5,"NA"))))</f>
        <v>77.892857142857139</v>
      </c>
    </row>
    <row r="11" spans="1:16" x14ac:dyDescent="0.25">
      <c r="A11" s="148">
        <v>5</v>
      </c>
      <c r="B11" s="189">
        <f>Inputs!C$2</f>
        <v>22</v>
      </c>
      <c r="C11" s="151">
        <v>940750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1523</v>
      </c>
      <c r="J11" s="189">
        <f t="shared" ref="J11:J72" si="2">IF(H11="NEW",203, IF(H11="OLD",192,0))</f>
        <v>203</v>
      </c>
      <c r="K11" s="151">
        <v>1726</v>
      </c>
      <c r="L11" s="211">
        <f>IF(K11&gt;0,I11/E11,"NA")</f>
        <v>25.383333333333333</v>
      </c>
      <c r="M11" s="151">
        <v>944141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77.892857142857139</v>
      </c>
    </row>
    <row r="12" spans="1:16" x14ac:dyDescent="0.25">
      <c r="A12" s="148">
        <v>6</v>
      </c>
      <c r="B12" s="189">
        <f>Inputs!C$2</f>
        <v>22</v>
      </c>
      <c r="C12" s="151">
        <v>940751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1505</v>
      </c>
      <c r="J12" s="189">
        <f t="shared" si="2"/>
        <v>203</v>
      </c>
      <c r="K12" s="151">
        <v>1708</v>
      </c>
      <c r="L12" s="211">
        <f t="shared" si="1"/>
        <v>25.083333333333332</v>
      </c>
      <c r="M12" s="151">
        <v>944141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77.892857142857139</v>
      </c>
    </row>
    <row r="13" spans="1:16" x14ac:dyDescent="0.25">
      <c r="A13" s="148">
        <v>7</v>
      </c>
      <c r="B13" s="189">
        <f>Inputs!C$2</f>
        <v>22</v>
      </c>
      <c r="C13" s="151">
        <v>940752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1491</v>
      </c>
      <c r="J13" s="189">
        <f t="shared" si="2"/>
        <v>203</v>
      </c>
      <c r="K13" s="151">
        <v>1694</v>
      </c>
      <c r="L13" s="211">
        <f t="shared" si="1"/>
        <v>24.85</v>
      </c>
      <c r="M13" s="151">
        <v>944141</v>
      </c>
      <c r="N13" s="152" t="s">
        <v>238</v>
      </c>
      <c r="O13" s="157" t="s">
        <v>237</v>
      </c>
      <c r="P13" s="187">
        <f>IF(D13=Inputs!F$2,Inputs!I$2,IF(D13=Inputs!F$3,Inputs!I$3,IF(D13=Inputs!F$4,Inputs!I$4,IF(D13=Inputs!F$5,Inputs!I$5,"NA"))))</f>
        <v>77.892857142857139</v>
      </c>
    </row>
    <row r="14" spans="1:16" x14ac:dyDescent="0.25">
      <c r="A14" s="148">
        <v>8</v>
      </c>
      <c r="B14" s="189">
        <f>Inputs!C$2</f>
        <v>22</v>
      </c>
      <c r="C14" s="151">
        <v>940753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1515</v>
      </c>
      <c r="J14" s="189">
        <f t="shared" si="2"/>
        <v>203</v>
      </c>
      <c r="K14" s="151">
        <v>1718</v>
      </c>
      <c r="L14" s="211">
        <f t="shared" si="1"/>
        <v>25.25</v>
      </c>
      <c r="M14" s="151">
        <v>944141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77.892857142857139</v>
      </c>
    </row>
    <row r="15" spans="1:16" x14ac:dyDescent="0.25">
      <c r="A15" s="148">
        <v>9</v>
      </c>
      <c r="B15" s="189">
        <f>Inputs!C$2</f>
        <v>22</v>
      </c>
      <c r="C15" s="151">
        <v>940754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1525</v>
      </c>
      <c r="J15" s="189">
        <f t="shared" si="2"/>
        <v>203</v>
      </c>
      <c r="K15" s="151">
        <v>1728</v>
      </c>
      <c r="L15" s="211">
        <f t="shared" si="1"/>
        <v>25.416666666666668</v>
      </c>
      <c r="M15" s="151">
        <v>944141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77.892857142857139</v>
      </c>
    </row>
    <row r="16" spans="1:16" x14ac:dyDescent="0.25">
      <c r="A16" s="148">
        <v>10</v>
      </c>
      <c r="B16" s="189">
        <f>Inputs!C$2</f>
        <v>22</v>
      </c>
      <c r="C16" s="151">
        <v>940755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1529</v>
      </c>
      <c r="J16" s="189">
        <f t="shared" si="2"/>
        <v>203</v>
      </c>
      <c r="K16" s="151">
        <v>1732</v>
      </c>
      <c r="L16" s="211">
        <f t="shared" si="1"/>
        <v>25.483333333333334</v>
      </c>
      <c r="M16" s="151">
        <v>944141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77.892857142857139</v>
      </c>
    </row>
    <row r="17" spans="1:16" x14ac:dyDescent="0.25">
      <c r="A17" s="148">
        <v>11</v>
      </c>
      <c r="B17" s="189">
        <f>Inputs!C$2</f>
        <v>22</v>
      </c>
      <c r="C17" s="151">
        <v>9407557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1459</v>
      </c>
      <c r="J17" s="189">
        <f t="shared" si="2"/>
        <v>203</v>
      </c>
      <c r="K17" s="151">
        <v>1662</v>
      </c>
      <c r="L17" s="211">
        <f t="shared" si="1"/>
        <v>24.316666666666666</v>
      </c>
      <c r="M17" s="151">
        <v>944141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77.892857142857139</v>
      </c>
    </row>
    <row r="18" spans="1:16" x14ac:dyDescent="0.25">
      <c r="A18" s="148">
        <v>12</v>
      </c>
      <c r="B18" s="189">
        <f>Inputs!C$2</f>
        <v>22</v>
      </c>
      <c r="C18" s="151">
        <v>940758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1549</v>
      </c>
      <c r="J18" s="189">
        <f t="shared" si="2"/>
        <v>203</v>
      </c>
      <c r="K18" s="151">
        <v>1752</v>
      </c>
      <c r="L18" s="211">
        <f t="shared" si="1"/>
        <v>25.816666666666666</v>
      </c>
      <c r="M18" s="151">
        <v>944141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77.892857142857139</v>
      </c>
    </row>
    <row r="19" spans="1:16" x14ac:dyDescent="0.25">
      <c r="A19" s="148">
        <v>13</v>
      </c>
      <c r="B19" s="189">
        <f>Inputs!C$2</f>
        <v>22</v>
      </c>
      <c r="C19" s="151">
        <v>940759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1531</v>
      </c>
      <c r="J19" s="189">
        <f t="shared" si="2"/>
        <v>203</v>
      </c>
      <c r="K19" s="151">
        <v>1734</v>
      </c>
      <c r="L19" s="211">
        <f t="shared" si="1"/>
        <v>25.516666666666666</v>
      </c>
      <c r="M19" s="151">
        <v>944141</v>
      </c>
      <c r="N19" s="152" t="s">
        <v>238</v>
      </c>
      <c r="O19" s="157" t="s">
        <v>237</v>
      </c>
      <c r="P19" s="187">
        <f>IF(D19=Inputs!F$2,Inputs!I$2,IF(D19=Inputs!F$3,Inputs!I$3,IF(D19=Inputs!F$4,Inputs!I$4,IF(D19=Inputs!F$5,Inputs!I$5,"NA"))))</f>
        <v>77.892857142857139</v>
      </c>
    </row>
    <row r="20" spans="1:16" x14ac:dyDescent="0.25">
      <c r="A20" s="148">
        <v>14</v>
      </c>
      <c r="B20" s="189">
        <f>Inputs!C$2</f>
        <v>22</v>
      </c>
      <c r="C20" s="151">
        <v>940760</v>
      </c>
      <c r="D20" s="188" t="s">
        <v>183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1543</v>
      </c>
      <c r="J20" s="189">
        <f t="shared" si="2"/>
        <v>203</v>
      </c>
      <c r="K20" s="151">
        <v>1746</v>
      </c>
      <c r="L20" s="211">
        <f t="shared" si="1"/>
        <v>25.716666666666665</v>
      </c>
      <c r="M20" s="151">
        <v>944141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77.892857142857139</v>
      </c>
    </row>
    <row r="21" spans="1:16" x14ac:dyDescent="0.25">
      <c r="A21" s="148">
        <v>15</v>
      </c>
      <c r="B21" s="189">
        <f>Inputs!C$2</f>
        <v>22</v>
      </c>
      <c r="C21" s="151">
        <v>940762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1527</v>
      </c>
      <c r="J21" s="189">
        <f t="shared" si="2"/>
        <v>203</v>
      </c>
      <c r="K21" s="151">
        <v>1730</v>
      </c>
      <c r="L21" s="211">
        <f t="shared" si="1"/>
        <v>25.45</v>
      </c>
      <c r="M21" s="151">
        <v>944141</v>
      </c>
      <c r="N21" s="152" t="s">
        <v>238</v>
      </c>
      <c r="O21" s="157" t="s">
        <v>237</v>
      </c>
      <c r="P21" s="187">
        <f>IF(D21=Inputs!F$2,Inputs!I$2,IF(D21=Inputs!F$3,Inputs!I$3,IF(D21=Inputs!F$4,Inputs!I$4,IF(D21=Inputs!F$5,Inputs!I$5,"NA"))))</f>
        <v>77.892857142857139</v>
      </c>
    </row>
    <row r="22" spans="1:16" x14ac:dyDescent="0.25">
      <c r="A22" s="148">
        <v>16</v>
      </c>
      <c r="B22" s="189">
        <f>Inputs!C$2</f>
        <v>22</v>
      </c>
      <c r="C22" s="151">
        <v>940763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1533</v>
      </c>
      <c r="J22" s="189">
        <f t="shared" si="2"/>
        <v>203</v>
      </c>
      <c r="K22" s="235">
        <v>1736</v>
      </c>
      <c r="L22" s="211">
        <f t="shared" si="1"/>
        <v>25.55</v>
      </c>
      <c r="M22" s="151">
        <v>944141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77.892857142857139</v>
      </c>
    </row>
    <row r="23" spans="1:16" x14ac:dyDescent="0.25">
      <c r="A23" s="148">
        <v>17</v>
      </c>
      <c r="B23" s="189">
        <f>Inputs!C$2</f>
        <v>22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22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22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22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22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22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22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22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22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22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22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22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22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K18" sqref="K18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22</v>
      </c>
      <c r="F2" s="166" t="s">
        <v>183</v>
      </c>
      <c r="G2" s="186">
        <v>45264</v>
      </c>
      <c r="I2" s="205">
        <f>(C$3-G2)/7</f>
        <v>77.892857142857139</v>
      </c>
      <c r="J2" s="230">
        <f>I2-19</f>
        <v>58.892857142857139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45809.25</v>
      </c>
      <c r="D3" s="247"/>
      <c r="F3" s="166" t="s">
        <v>7</v>
      </c>
      <c r="G3" s="186">
        <v>45390</v>
      </c>
      <c r="I3" s="205">
        <f>(C$3-G3)/7</f>
        <v>59.892857142857146</v>
      </c>
      <c r="J3" s="230">
        <f>I3-19</f>
        <v>40.892857142857146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33.892857142857146</v>
      </c>
      <c r="J4" s="230">
        <f>I4-19</f>
        <v>14.892857142857146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51.464285714285715</v>
      </c>
      <c r="J5" s="230">
        <f>I5-19</f>
        <v>32.464285714285715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96</v>
      </c>
      <c r="C10" s="168">
        <v>10</v>
      </c>
      <c r="E10" s="139">
        <v>3</v>
      </c>
      <c r="F10" s="168">
        <v>100</v>
      </c>
      <c r="G10" s="168">
        <v>10</v>
      </c>
    </row>
    <row r="11" spans="1:12" x14ac:dyDescent="0.2">
      <c r="A11" s="139">
        <v>6</v>
      </c>
      <c r="B11" s="168">
        <v>0</v>
      </c>
      <c r="C11" s="165"/>
      <c r="E11" s="139">
        <v>6</v>
      </c>
      <c r="F11" s="168">
        <v>0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10</v>
      </c>
      <c r="E16" s="139">
        <v>3</v>
      </c>
      <c r="F16" s="168">
        <v>108</v>
      </c>
      <c r="G16" s="168">
        <v>10</v>
      </c>
    </row>
    <row r="17" spans="1:11" x14ac:dyDescent="0.2">
      <c r="A17" s="139">
        <v>6</v>
      </c>
      <c r="B17" s="168">
        <v>0</v>
      </c>
      <c r="C17" s="165"/>
      <c r="E17" s="139">
        <v>6</v>
      </c>
      <c r="F17" s="168">
        <v>0</v>
      </c>
      <c r="G17" s="165"/>
    </row>
    <row r="18" spans="1:11" x14ac:dyDescent="0.2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 x14ac:dyDescent="0.2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108</v>
      </c>
      <c r="C23" s="168">
        <v>10</v>
      </c>
      <c r="E23" s="139">
        <v>3</v>
      </c>
      <c r="F23" s="168">
        <v>104</v>
      </c>
      <c r="G23" s="168">
        <v>10</v>
      </c>
    </row>
    <row r="24" spans="1:11" x14ac:dyDescent="0.2">
      <c r="A24" s="139">
        <v>6</v>
      </c>
      <c r="B24" s="168">
        <v>0</v>
      </c>
      <c r="C24" s="165"/>
      <c r="E24" s="139">
        <v>6</v>
      </c>
      <c r="F24" s="168">
        <v>0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103</v>
      </c>
      <c r="C29" s="168">
        <v>10</v>
      </c>
      <c r="E29" s="139">
        <v>3</v>
      </c>
      <c r="F29" s="203">
        <f t="shared" ref="F29:G32" si="0">B10+F10+B16+F16+B23+F23+B29</f>
        <v>729</v>
      </c>
      <c r="G29" s="203">
        <f t="shared" si="0"/>
        <v>70</v>
      </c>
      <c r="I29" s="139">
        <v>3</v>
      </c>
      <c r="J29" s="203">
        <f t="shared" ref="J29:K31" si="1">F29*15</f>
        <v>10935</v>
      </c>
      <c r="K29" s="203">
        <f t="shared" si="1"/>
        <v>1050</v>
      </c>
    </row>
    <row r="30" spans="1:11" x14ac:dyDescent="0.2">
      <c r="A30" s="139">
        <v>6</v>
      </c>
      <c r="B30" s="168">
        <v>0</v>
      </c>
      <c r="C30" s="165"/>
      <c r="E30" s="139">
        <v>6</v>
      </c>
      <c r="F30" s="203">
        <f t="shared" si="0"/>
        <v>0</v>
      </c>
      <c r="G30" s="204">
        <f t="shared" si="0"/>
        <v>0</v>
      </c>
      <c r="I30" s="139">
        <v>6</v>
      </c>
      <c r="J30" s="203">
        <f t="shared" si="1"/>
        <v>0</v>
      </c>
      <c r="K30" s="204">
        <f t="shared" si="1"/>
        <v>0</v>
      </c>
    </row>
    <row r="31" spans="1:11" x14ac:dyDescent="0.2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0</v>
      </c>
      <c r="G31" s="203">
        <f t="shared" si="0"/>
        <v>0</v>
      </c>
      <c r="I31" s="139">
        <v>7</v>
      </c>
      <c r="J31" s="203">
        <f t="shared" si="1"/>
        <v>0</v>
      </c>
      <c r="K31" s="203">
        <f t="shared" si="1"/>
        <v>0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si="0"/>
        <v>0</v>
      </c>
      <c r="G32" s="204">
        <f t="shared" si="0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884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</v>
      </c>
      <c r="D36" s="201">
        <f>D37+D38</f>
        <v>0</v>
      </c>
      <c r="E36" s="201">
        <f>E37+E38</f>
        <v>0</v>
      </c>
      <c r="G36" s="245" t="s">
        <v>225</v>
      </c>
      <c r="H36" s="245"/>
      <c r="I36" s="225">
        <v>76</v>
      </c>
    </row>
    <row r="37" spans="1:9" x14ac:dyDescent="0.2">
      <c r="A37" s="172" t="s">
        <v>200</v>
      </c>
      <c r="B37" s="173">
        <v>9.9000000000000005E-2</v>
      </c>
      <c r="C37" s="236">
        <v>0</v>
      </c>
      <c r="D37" s="173">
        <v>0</v>
      </c>
      <c r="E37" s="173">
        <v>0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</v>
      </c>
      <c r="D38" s="173">
        <v>0</v>
      </c>
      <c r="E38" s="173">
        <v>0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0.47799999999999998</v>
      </c>
      <c r="C39" s="173">
        <v>0</v>
      </c>
      <c r="D39" s="173">
        <v>0</v>
      </c>
      <c r="E39" s="173">
        <v>0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2.5000000000000001E-2</v>
      </c>
      <c r="C40" s="173">
        <v>0</v>
      </c>
      <c r="D40" s="173">
        <v>0</v>
      </c>
      <c r="E40" s="173">
        <v>0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0</v>
      </c>
      <c r="D43" s="202">
        <f>SUM(D47:D50)</f>
        <v>0</v>
      </c>
      <c r="E43" s="202">
        <f>SUM(E47:E50)</f>
        <v>0</v>
      </c>
    </row>
    <row r="44" spans="1:9" x14ac:dyDescent="0.2">
      <c r="A44" s="233" t="s">
        <v>232</v>
      </c>
      <c r="B44" s="232">
        <v>64.400000000000006</v>
      </c>
      <c r="C44" s="232">
        <v>0</v>
      </c>
      <c r="D44" s="232">
        <v>0</v>
      </c>
      <c r="E44" s="232">
        <v>0</v>
      </c>
    </row>
    <row r="45" spans="1:9" x14ac:dyDescent="0.2">
      <c r="A45" s="233" t="s">
        <v>234</v>
      </c>
      <c r="B45" s="231">
        <f>J29+K29</f>
        <v>11985</v>
      </c>
      <c r="C45" s="231">
        <f>J30</f>
        <v>0</v>
      </c>
      <c r="D45" s="231">
        <f>J31</f>
        <v>0</v>
      </c>
      <c r="E45" s="231">
        <f>J32</f>
        <v>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0</v>
      </c>
      <c r="D47" s="173">
        <v>0</v>
      </c>
      <c r="E47" s="173">
        <v>0</v>
      </c>
    </row>
    <row r="48" spans="1:9" x14ac:dyDescent="0.2">
      <c r="A48" s="172" t="s">
        <v>205</v>
      </c>
      <c r="B48" s="173">
        <v>1E-3</v>
      </c>
      <c r="C48" s="173">
        <v>0</v>
      </c>
      <c r="D48" s="173">
        <v>0</v>
      </c>
      <c r="E48" s="173">
        <v>0</v>
      </c>
    </row>
    <row r="49" spans="1:5" x14ac:dyDescent="0.2">
      <c r="A49" s="172" t="s">
        <v>206</v>
      </c>
      <c r="B49" s="173">
        <v>2E-3</v>
      </c>
      <c r="C49" s="173">
        <v>0</v>
      </c>
      <c r="D49" s="173">
        <v>0</v>
      </c>
      <c r="E49" s="173">
        <v>0</v>
      </c>
    </row>
    <row r="50" spans="1:5" x14ac:dyDescent="0.2">
      <c r="A50" s="172" t="s">
        <v>207</v>
      </c>
      <c r="B50" s="173">
        <v>4.0000000000000001E-3</v>
      </c>
      <c r="C50" s="173">
        <v>0</v>
      </c>
      <c r="D50" s="173">
        <v>0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0</v>
      </c>
      <c r="D52" s="202">
        <f>SUM(D37:D42)+SUM(D47:D50)</f>
        <v>0</v>
      </c>
      <c r="E52" s="202">
        <f>SUM(E37:E42)+SUM(E47:E50)</f>
        <v>0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2025-06-02T14:34:11Z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