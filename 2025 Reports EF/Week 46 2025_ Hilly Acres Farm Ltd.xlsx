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E81EA4D1-81AC-442E-A081-BBB17E1161A4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E11" i="5" l="1"/>
  <c r="G11" i="5" s="1"/>
  <c r="H11" i="5" s="1"/>
  <c r="J7" i="6"/>
  <c r="I71" i="6"/>
  <c r="I30" i="6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I33" i="6" s="1"/>
  <c r="L33" i="6" s="1"/>
  <c r="J34" i="6"/>
  <c r="I34" i="6" s="1"/>
  <c r="L34" i="6" s="1"/>
  <c r="J35" i="6"/>
  <c r="I35" i="6" s="1"/>
  <c r="L35" i="6" s="1"/>
  <c r="J36" i="6"/>
  <c r="I36" i="6" s="1"/>
  <c r="L36" i="6" s="1"/>
  <c r="J37" i="6"/>
  <c r="I37" i="6" s="1"/>
  <c r="L37" i="6" s="1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B3" i="4" l="1"/>
  <c r="L11" i="6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C45" i="8" s="1"/>
  <c r="F29" i="8"/>
  <c r="J29" i="8" s="1"/>
  <c r="F31" i="8"/>
  <c r="J31" i="8" s="1"/>
  <c r="D45" i="8" l="1"/>
  <c r="E26" i="2"/>
  <c r="B45" i="8"/>
  <c r="K39" i="2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I4" i="8"/>
  <c r="I2" i="8"/>
  <c r="Y23" i="5"/>
  <c r="Y15" i="5"/>
  <c r="P7" i="6" l="1"/>
  <c r="O13" i="2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<sst xmlns="http://schemas.openxmlformats.org/spreadsheetml/2006/main" count="533" uniqueCount="237">
  <si>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</si>
  <si>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</si>
  <si>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</si>
  <si>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</si>
  <si>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</si>
  <si>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</si>
  <si>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</si>
  <si>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</si>
  <si>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</si>
  <si>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</si>
  <si>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</si>
  <si>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</si>
  <si>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</si>
  <si>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</si>
  <si>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</si>
  <si>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</si>
  <si>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</si>
  <si>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</si>
  <si>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</si>
  <si>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</si>
  <si>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</si>
  <si>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</si>
  <si>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</si>
  <si>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</si>
  <si>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</si>
  <si>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</si>
  <si>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</si>
  <si>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</si>
  <si>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</si>
  <si>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</si>
  <si>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</si>
  <si>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</si>
  <si>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</si>
  <si>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</si>
  <si>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</si>
  <si>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</si>
  <si>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</si>
  <si>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</si>
  <si>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</si>
  <si>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</si>
  <si>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</si>
  <si>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</si>
  <si>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</si>
  <si>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</si>
  <si>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</si>
  <si>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</si>
  <si>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</si>
  <si>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</si>
  <si>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</si>
  <si>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</si>
  <si>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</si>
  <si>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</si>
  <si>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</si>
  <si>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</si>
  <si>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</si>
  <si>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</si>
  <si>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</si>
  <si>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</si>
  <si>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</si>
  <si>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</si>
  <si>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</si>
  <si>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</si>
  <si>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</si>
  <si>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</si>
  <si>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</si>
  <si>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</si>
  <si>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</si>
  <si>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</si>
  <si>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</si>
  <si>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</si>
  <si>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</si>
  <si>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</si>
  <si>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</si>
  <si>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</si>
  <si>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</si>
  <si>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</si>
  <si>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</si>
  <si>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</si>
  <si>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</si>
  <si>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</si>
  <si>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</si>
  <si>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</si>
  <si>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</si>
  <si>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</si>
  <si>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</si>
  <si>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</si>
  <si>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</si>
  <si>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</si>
  <si>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</si>
  <si>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</si>
  <si>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</si>
  <si>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</si>
  <si>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</si>
  <si>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</si>
  <si>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</si>
  <si>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</si>
  <si>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</si>
  <si>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</si>
  <si>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</si>
  <si>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</si>
  <si>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</si>
  <si>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</si>
  <si>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</si>
  <si>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</si>
  <si>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</si>
  <si>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</si>
  <si>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</si>
  <si>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</si>
  <si>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</si>
  <si>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</si>
  <si>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</si>
  <si>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</si>
  <si>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</si>
  <si>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</si>
  <si>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</si>
  <si>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</si>
  <si>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</si>
  <si>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</si>
  <si>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</si>
  <si>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</si>
  <si>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</si>
  <si>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</si>
  <si>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</si>
  <si>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</si>
  <si>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</si>
  <si>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</si>
  <si>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</si>
  <si>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</si>
  <si>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</si>
  <si>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</si>
  <si>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</si>
  <si>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</si>
  <si>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</si>
  <si>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</si>
  <si>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</si>
  <si>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</si>
  <si>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</si>
  <si>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</si>
  <si>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</si>
  <si>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</si>
  <si>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</si>
  <si>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</si>
  <si>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</si>
  <si>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</si>
  <si>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</si>
  <si>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</si>
  <si>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</si>
  <si>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</si>
  <si>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</si>
  <si>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</si>
  <si>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</si>
  <si>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</si>
  <si>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</si>
  <si>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</si>
  <si>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</si>
  <si>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</si>
  <si>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</si>
  <si>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</si>
  <si>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</si>
  <si>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</si>
  <si>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</si>
  <si>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</si>
  <si>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</si>
  <si>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</si>
  <si>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</si>
  <si>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</si>
  <si>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</si>
  <si>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</si>
  <si>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</si>
  <si>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</si>
  <si>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</si>
  <si>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</si>
  <si>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</si>
  <si>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</si>
  <si>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</si>
  <si>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</si>
  <si>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</si>
  <si>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</si>
  <si>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</si>
  <si>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</si>
  <si>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</si>
  <si>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</si>
  <si>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</si>
  <si>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</si>
  <si>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</si>
  <si>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</si>
  <si>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</si>
  <si>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</si>
  <si>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</si>
  <si>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</si>
  <si>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</si>
  <si>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</si>
  <si>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</si>
  <si>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</si>
  <si>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</si>
  <si>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</si>
  <si>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</si>
  <si>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</si>
  <si>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</si>
  <si>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</si>
  <si>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</si>
  <si>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</si>
  <si>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</si>
  <si>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</si>
  <si>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</si>
  <si>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</si>
  <si>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</si>
  <si>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</si>
  <si>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</si>
  <si>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</si>
  <si>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</si>
  <si>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</si>
  <si>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</si>
  <si>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</si>
  <si>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</si>
  <si>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</si>
  <si>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</si>
  <si>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</si>
  <si>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</si>
  <si>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</si>
  <si>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</si>
  <si>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</si>
  <si>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</si>
  <si>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</si>
  <si>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</si>
  <si>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</si>
  <si>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</si>
  <si>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</si>
  <si>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</si>
  <si>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</si>
  <si>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</si>
  <si>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</si>
  <si>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</si>
  <si>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</si>
  <si>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</si>
  <si>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Mix</t>
  </si>
  <si>
    <t>Nov 14/25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</si>
</sst>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F46" sqref="F4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46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45977.25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218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26130.000000000004</v>
      </c>
      <c r="I7" s="27">
        <v>0</v>
      </c>
      <c r="J7" s="26">
        <f>IFERROR(H7-I7,"")</f>
        <v>26130.000000000004</v>
      </c>
      <c r="K7" s="26">
        <f>IFERROR(($E$26/($H$27+$H$28)*$H$27)*R28,"")</f>
        <v>261.3</v>
      </c>
      <c r="L7" s="26">
        <f>IFERROR(($E$26/($H$27+$H$28)*$H$27)*S28,"")</f>
        <v>52.26</v>
      </c>
      <c r="M7" s="28">
        <f>IFERROR(K7+L7,"")</f>
        <v>313.56</v>
      </c>
      <c r="N7" s="29">
        <f>IFERROR(O7+P7+Q7+R7+S7+T7+U7+V7,"")</f>
        <v>25816.440000000002</v>
      </c>
      <c r="O7" s="26">
        <f t="shared" ref="O7:V7" si="0">IFERROR(($E$26/($H$27+$H$28)*$H$27)*J28,"")</f>
        <v>496.46999999999997</v>
      </c>
      <c r="P7" s="26">
        <f t="shared" si="0"/>
        <v>6114.42</v>
      </c>
      <c r="Q7" s="26">
        <f t="shared" si="0"/>
        <v>17376.45</v>
      </c>
      <c r="R7" s="26">
        <f t="shared" si="0"/>
        <v>1776.8400000000001</v>
      </c>
      <c r="S7" s="26">
        <f t="shared" si="0"/>
        <v>26.13</v>
      </c>
      <c r="T7" s="26">
        <f t="shared" si="0"/>
        <v>0</v>
      </c>
      <c r="U7" s="26">
        <f t="shared" si="0"/>
        <v>26.13</v>
      </c>
      <c r="V7" s="26">
        <f t="shared" si="0"/>
        <v>0</v>
      </c>
    </row>
    <row r="8" spans="1:22" x14ac:dyDescent="0.2">
      <c r="A8" s="3" t="s">
        <v>218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219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21795.9478215497</v>
      </c>
      <c r="I10" s="27">
        <v>0</v>
      </c>
      <c r="J10" s="26">
        <f>IFERROR(H10-I10,"")</f>
        <v>21795.9478215497</v>
      </c>
      <c r="K10" s="26">
        <f>IFERROR(($E$30/($H$31+$H$32)*$H$31)*R32,"")</f>
        <v>217.959478215497</v>
      </c>
      <c r="L10" s="26">
        <f>IFERROR(($E$30/($H$31+$H$32)*$H$31)*S32,"")</f>
        <v>43.591895643099399</v>
      </c>
      <c r="M10" s="28">
        <f>IFERROR(K10+L10,"")</f>
        <v>261.55137385859638</v>
      </c>
      <c r="N10" s="29">
        <f>IFERROR(O10+P10+Q10+R10+S10+T10+U10+V10,"")</f>
        <v>21534.396447691102</v>
      </c>
      <c r="O10" s="26">
        <f t="shared" ref="O10:V10" si="2">IFERROR(($E$30/($H$31+$H$32)*$H$31)*J32,"")</f>
        <v>414.1230086094443</v>
      </c>
      <c r="P10" s="26">
        <f t="shared" si="2"/>
        <v>5100.2517902426298</v>
      </c>
      <c r="Q10" s="26">
        <f t="shared" si="2"/>
        <v>14494.305301330551</v>
      </c>
      <c r="R10" s="26">
        <f t="shared" si="2"/>
        <v>1482.1244518653798</v>
      </c>
      <c r="S10" s="26">
        <f t="shared" si="2"/>
        <v>21.795947821549699</v>
      </c>
      <c r="T10" s="26">
        <f t="shared" si="2"/>
        <v>0</v>
      </c>
      <c r="U10" s="26">
        <f t="shared" si="2"/>
        <v>21.795947821549699</v>
      </c>
      <c r="V10" s="26">
        <f t="shared" si="2"/>
        <v>0</v>
      </c>
    </row>
    <row r="11" spans="1:22" x14ac:dyDescent="0.2">
      <c r="A11" s="3" t="s">
        <v>219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2414.0521784503003</v>
      </c>
      <c r="I11" s="27">
        <v>0</v>
      </c>
      <c r="J11" s="26">
        <f>IFERROR(H11-I11,"")</f>
        <v>2414.0521784503003</v>
      </c>
      <c r="K11" s="26">
        <f>IFERROR(($E$30/($H$31+$H$32)*$H$32)*R32,"")</f>
        <v>24.140521784503004</v>
      </c>
      <c r="L11" s="26">
        <f>IFERROR(($E$30/($H$31+$H$32)*$H$32)*S32,"")</f>
        <v>4.8281043569006004</v>
      </c>
      <c r="M11" s="28">
        <f>IFERROR(K11+L11,"")</f>
        <v>28.968626141403604</v>
      </c>
      <c r="N11" s="29">
        <f>IFERROR(O11+P11+Q11+R11+S11+T11+U11+V11,"")</f>
        <v>2385.0835523088967</v>
      </c>
      <c r="O11" s="26">
        <f t="shared" ref="O11:V11" si="3">IFERROR(($E$30/($H$31+$H$32)*$H$32)*J32,"")</f>
        <v>45.866991390555704</v>
      </c>
      <c r="P11" s="26">
        <f t="shared" si="3"/>
        <v>564.8882097573703</v>
      </c>
      <c r="Q11" s="26">
        <f t="shared" si="3"/>
        <v>1605.3446986694498</v>
      </c>
      <c r="R11" s="26">
        <f t="shared" si="3"/>
        <v>164.15554813462043</v>
      </c>
      <c r="S11" s="26">
        <f t="shared" si="3"/>
        <v>2.4140521784503002</v>
      </c>
      <c r="T11" s="26">
        <f t="shared" si="3"/>
        <v>0</v>
      </c>
      <c r="U11" s="26">
        <f t="shared" si="3"/>
        <v>2.4140521784503002</v>
      </c>
      <c r="V11" s="26">
        <f t="shared" si="3"/>
        <v>0</v>
      </c>
    </row>
    <row r="13" spans="1:22" x14ac:dyDescent="0.2">
      <c r="A13" s="3" t="s">
        <v>220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17051.708241237764</v>
      </c>
      <c r="I13" s="27">
        <v>0</v>
      </c>
      <c r="J13" s="26">
        <f>IFERROR(H13-I13,"")</f>
        <v>17051.708241237764</v>
      </c>
      <c r="K13" s="26">
        <f>IFERROR(($E$34/($H$35+$H$36)*$H$35)*R36,"")</f>
        <v>102.31024944742659</v>
      </c>
      <c r="L13" s="26">
        <f>IFERROR(($E$34/($H$35+$H$36)*$H$35)*S36,"")</f>
        <v>34.103416482475531</v>
      </c>
      <c r="M13" s="28">
        <f>IFERROR(K13+L13,"")</f>
        <v>136.41366592990212</v>
      </c>
      <c r="N13" s="29">
        <f>IFERROR(O13+P13+Q13+R13+S13+T13+U13+V13,"")</f>
        <v>16915.29457530786</v>
      </c>
      <c r="O13" s="26">
        <f t="shared" ref="O13:V13" si="4">IFERROR(($E$34/($H$35+$H$36)*$H$35)*J36,"")</f>
        <v>1040.1542027155035</v>
      </c>
      <c r="P13" s="26">
        <f t="shared" si="4"/>
        <v>6087.4598421218816</v>
      </c>
      <c r="Q13" s="26">
        <f t="shared" si="4"/>
        <v>9054.4570760972529</v>
      </c>
      <c r="R13" s="26">
        <f t="shared" si="4"/>
        <v>699.12003789074834</v>
      </c>
      <c r="S13" s="26">
        <f t="shared" si="4"/>
        <v>17.051708241237765</v>
      </c>
      <c r="T13" s="26">
        <f t="shared" si="4"/>
        <v>0</v>
      </c>
      <c r="U13" s="26">
        <f t="shared" si="4"/>
        <v>17.051708241237765</v>
      </c>
      <c r="V13" s="26">
        <f t="shared" si="4"/>
        <v>0</v>
      </c>
    </row>
    <row r="14" spans="1:22" x14ac:dyDescent="0.2">
      <c r="A14" s="3" t="s">
        <v>220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1143.2917587622355</v>
      </c>
      <c r="I14" s="27">
        <v>0</v>
      </c>
      <c r="J14" s="26">
        <f>IFERROR(H14-I14,"")</f>
        <v>1143.2917587622355</v>
      </c>
      <c r="K14" s="26">
        <f>IFERROR(($E$34/($H$35+$H$36)*$H$36)*R36,"")</f>
        <v>6.8597505525734137</v>
      </c>
      <c r="L14" s="26">
        <f>IFERROR(($E$34/($H$35+$H$36)*$H$36)*S36,"")</f>
        <v>2.2865835175244711</v>
      </c>
      <c r="M14" s="28">
        <f>IFERROR(K14+L14,"")</f>
        <v>9.1463340700978844</v>
      </c>
      <c r="N14" s="29">
        <f>IFERROR(O14+P14+Q14+R14+S14+T14+U14+V14,"")</f>
        <v>1134.1454246921376</v>
      </c>
      <c r="O14" s="26">
        <f t="shared" ref="O14:V14" si="5">IFERROR(($E$34/($H$35+$H$36)*$H$36)*J36,"")</f>
        <v>69.740797284496367</v>
      </c>
      <c r="P14" s="26">
        <f t="shared" si="5"/>
        <v>408.15515787811808</v>
      </c>
      <c r="Q14" s="26">
        <f t="shared" si="5"/>
        <v>607.08792390274709</v>
      </c>
      <c r="R14" s="26">
        <f t="shared" si="5"/>
        <v>46.874962109251662</v>
      </c>
      <c r="S14" s="26">
        <f t="shared" si="5"/>
        <v>1.1432917587622355</v>
      </c>
      <c r="T14" s="26">
        <f t="shared" si="5"/>
        <v>0</v>
      </c>
      <c r="U14" s="26">
        <f t="shared" si="5"/>
        <v>1.1432917587622355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222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68535</v>
      </c>
      <c r="I19" s="37">
        <f t="shared" si="7"/>
        <v>0</v>
      </c>
      <c r="J19" s="37">
        <f t="shared" si="7"/>
        <v>68535</v>
      </c>
      <c r="K19" s="37">
        <f t="shared" si="7"/>
        <v>612.56999999999994</v>
      </c>
      <c r="L19" s="37">
        <f t="shared" si="7"/>
        <v>137.07</v>
      </c>
      <c r="M19" s="37">
        <f t="shared" si="7"/>
        <v>749.63999999999987</v>
      </c>
      <c r="N19" s="37">
        <f t="shared" si="7"/>
        <v>67785.36</v>
      </c>
      <c r="O19" s="37">
        <f t="shared" si="7"/>
        <v>2066.3549999999996</v>
      </c>
      <c r="P19" s="37">
        <f t="shared" si="7"/>
        <v>18275.174999999999</v>
      </c>
      <c r="Q19" s="37">
        <f t="shared" si="7"/>
        <v>43137.644999999997</v>
      </c>
      <c r="R19" s="37">
        <f t="shared" si="7"/>
        <v>4169.1150000000007</v>
      </c>
      <c r="S19" s="37">
        <f t="shared" si="7"/>
        <v>68.534999999999997</v>
      </c>
      <c r="T19" s="37">
        <f t="shared" si="7"/>
        <v>0</v>
      </c>
      <c r="U19" s="37">
        <f t="shared" si="7"/>
        <v>68.534999999999997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68535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26130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218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49042</v>
      </c>
      <c r="I27" s="26"/>
      <c r="J27" s="198">
        <f t="shared" ref="J27:S27" si="8">$E26*J28</f>
        <v>496.46999999999997</v>
      </c>
      <c r="K27" s="198">
        <f t="shared" si="8"/>
        <v>6114.42</v>
      </c>
      <c r="L27" s="198">
        <f t="shared" si="8"/>
        <v>17376.45</v>
      </c>
      <c r="M27" s="198">
        <f t="shared" si="8"/>
        <v>1776.8400000000001</v>
      </c>
      <c r="N27" s="198">
        <f t="shared" si="8"/>
        <v>26.13</v>
      </c>
      <c r="O27" s="198">
        <f t="shared" si="8"/>
        <v>0</v>
      </c>
      <c r="P27" s="198">
        <f t="shared" si="8"/>
        <v>26.13</v>
      </c>
      <c r="Q27" s="198">
        <f t="shared" si="8"/>
        <v>0</v>
      </c>
      <c r="R27" s="198">
        <f t="shared" si="8"/>
        <v>261.3</v>
      </c>
      <c r="S27" s="198">
        <f t="shared" si="8"/>
        <v>52.26</v>
      </c>
      <c r="T27" s="199">
        <f>SUM(J27:S27)</f>
        <v>26130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1.9E-2</v>
      </c>
      <c r="K28" s="197">
        <f>Inputs!B38</f>
        <v>0.23400000000000001</v>
      </c>
      <c r="L28" s="197">
        <f>Inputs!B39</f>
        <v>0.66500000000000004</v>
      </c>
      <c r="M28" s="197">
        <f>Inputs!B40</f>
        <v>6.8000000000000005E-2</v>
      </c>
      <c r="N28" s="197">
        <f>Inputs!B41</f>
        <v>1E-3</v>
      </c>
      <c r="O28" s="197">
        <v>0</v>
      </c>
      <c r="P28" s="197">
        <f>Inputs!B49</f>
        <v>1E-3</v>
      </c>
      <c r="Q28" s="197">
        <f>Inputs!B42</f>
        <v>0</v>
      </c>
      <c r="R28" s="197">
        <f>Inputs!B48+Inputs!B50</f>
        <v>0.01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24210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219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34508</v>
      </c>
      <c r="I31" s="30"/>
      <c r="J31" s="198">
        <f t="shared" ref="J31:S31" si="9">$E30*J32</f>
        <v>459.99</v>
      </c>
      <c r="K31" s="198">
        <f t="shared" si="9"/>
        <v>5665.14</v>
      </c>
      <c r="L31" s="198">
        <f t="shared" si="9"/>
        <v>16099.650000000001</v>
      </c>
      <c r="M31" s="198">
        <f t="shared" si="9"/>
        <v>1646.2800000000002</v>
      </c>
      <c r="N31" s="198">
        <f t="shared" si="9"/>
        <v>24.21</v>
      </c>
      <c r="O31" s="198">
        <f t="shared" si="9"/>
        <v>0</v>
      </c>
      <c r="P31" s="198">
        <f t="shared" si="9"/>
        <v>24.21</v>
      </c>
      <c r="Q31" s="198">
        <f t="shared" si="9"/>
        <v>0</v>
      </c>
      <c r="R31" s="198">
        <f t="shared" si="9"/>
        <v>242.1</v>
      </c>
      <c r="S31" s="198">
        <f t="shared" si="9"/>
        <v>48.42</v>
      </c>
      <c r="T31" s="199">
        <f>SUM(J31:S31)</f>
        <v>24209.999999999996</v>
      </c>
    </row>
    <row r="32" spans="1:22" x14ac:dyDescent="0.2">
      <c r="A32" s="3" t="s">
        <v>219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3822</v>
      </c>
      <c r="I32" s="30"/>
      <c r="J32" s="197">
        <f>Inputs!C37</f>
        <v>1.9E-2</v>
      </c>
      <c r="K32" s="197">
        <f>Inputs!C38</f>
        <v>0.23400000000000001</v>
      </c>
      <c r="L32" s="197">
        <f>Inputs!C39</f>
        <v>0.66500000000000004</v>
      </c>
      <c r="M32" s="197">
        <f>Inputs!C40</f>
        <v>6.8000000000000005E-2</v>
      </c>
      <c r="N32" s="197">
        <f>Inputs!C41</f>
        <v>1E-3</v>
      </c>
      <c r="O32" s="197">
        <v>0</v>
      </c>
      <c r="P32" s="197">
        <f>Inputs!C49</f>
        <v>1E-3</v>
      </c>
      <c r="Q32" s="197">
        <f>Inputs!C42</f>
        <v>0</v>
      </c>
      <c r="R32" s="197">
        <f>Inputs!C48+Inputs!C50</f>
        <v>0.01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221</v>
      </c>
      <c r="B34" s="51"/>
      <c r="C34" s="51"/>
      <c r="D34" s="51"/>
      <c r="E34" s="208">
        <f>Inputs!J31+Inputs!K31</f>
        <v>18195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220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29680</v>
      </c>
      <c r="I35" s="30"/>
      <c r="J35" s="198">
        <f t="shared" ref="J35:S35" si="10">$E$34*J36</f>
        <v>1109.895</v>
      </c>
      <c r="K35" s="198">
        <f t="shared" si="10"/>
        <v>6495.6149999999998</v>
      </c>
      <c r="L35" s="198">
        <f t="shared" si="10"/>
        <v>9661.5450000000001</v>
      </c>
      <c r="M35" s="198">
        <f t="shared" si="10"/>
        <v>745.995</v>
      </c>
      <c r="N35" s="198">
        <f t="shared" si="10"/>
        <v>18.195</v>
      </c>
      <c r="O35" s="198">
        <f t="shared" si="10"/>
        <v>0</v>
      </c>
      <c r="P35" s="198">
        <f t="shared" si="10"/>
        <v>18.195</v>
      </c>
      <c r="Q35" s="198">
        <f t="shared" si="10"/>
        <v>0</v>
      </c>
      <c r="R35" s="198">
        <f t="shared" si="10"/>
        <v>109.17</v>
      </c>
      <c r="S35" s="198">
        <f t="shared" si="10"/>
        <v>36.39</v>
      </c>
      <c r="T35" s="199">
        <f>SUM(J35:S35)</f>
        <v>18194.999999999996</v>
      </c>
    </row>
    <row r="36" spans="1:20" x14ac:dyDescent="0.2">
      <c r="A36" s="3" t="s">
        <v>220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1990</v>
      </c>
      <c r="I36" s="30"/>
      <c r="J36" s="197">
        <f>Inputs!D37</f>
        <v>6.0999999999999999E-2</v>
      </c>
      <c r="K36" s="197">
        <f>Inputs!D38</f>
        <v>0.35699999999999998</v>
      </c>
      <c r="L36" s="197">
        <f>Inputs!D39</f>
        <v>0.53100000000000003</v>
      </c>
      <c r="M36" s="197">
        <f>Inputs!D40</f>
        <v>4.1000000000000002E-2</v>
      </c>
      <c r="N36" s="197">
        <f>Inputs!D41</f>
        <v>1E-3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Inputs!D50+Inputs!D48</f>
        <v>6.0000000000000001E-3</v>
      </c>
      <c r="S36" s="197">
        <f>Inputs!D47</f>
        <v>2E-3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10155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222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24802</v>
      </c>
      <c r="I39" s="30"/>
      <c r="J39" s="198">
        <f t="shared" ref="J39:S39" si="11">$E38*J40</f>
        <v>0</v>
      </c>
      <c r="K39" s="198">
        <f t="shared" si="11"/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B4" sqref="B4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45977.25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46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1200</v>
      </c>
      <c r="C13" s="220">
        <f>'Grade out Information'!X26</f>
        <v>18000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1200</v>
      </c>
      <c r="C27" s="222">
        <f>SUM(C13:C26)</f>
        <v>18000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P48" sqref="P48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46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225</v>
      </c>
      <c r="C15" s="133"/>
      <c r="D15" s="133"/>
      <c r="E15" s="133"/>
      <c r="F15" s="133"/>
      <c r="G15" s="133"/>
      <c r="H15" s="133"/>
      <c r="I15" s="133">
        <f>J15+L15+N15+P15+R15+T15+V15</f>
        <v>5399.9999999999991</v>
      </c>
      <c r="J15" s="133">
        <f>X15*K15</f>
        <v>1366.2</v>
      </c>
      <c r="K15" s="184">
        <f>Inputs!B36</f>
        <v>0.253</v>
      </c>
      <c r="L15" s="133">
        <f>X15*M15</f>
        <v>3591</v>
      </c>
      <c r="M15" s="184">
        <f>Inputs!B39</f>
        <v>0.66500000000000004</v>
      </c>
      <c r="N15" s="133">
        <f>X15*O15</f>
        <v>367.20000000000005</v>
      </c>
      <c r="O15" s="184">
        <f>Inputs!B40</f>
        <v>6.8000000000000005E-2</v>
      </c>
      <c r="P15" s="133">
        <f>X15*Q15</f>
        <v>5.4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70.2</v>
      </c>
      <c r="W15" s="185">
        <f>Inputs!B43</f>
        <v>1.3000000000000001E-2</v>
      </c>
      <c r="X15" s="213">
        <f>Z15*15</f>
        <v>5400</v>
      </c>
      <c r="Y15" s="209">
        <f>K15+M15+O15+Q15+S15+U15+W15</f>
        <v>1</v>
      </c>
      <c r="Z15" s="226">
        <f>Inputs!I35</f>
        <v>360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226</v>
      </c>
      <c r="C17" s="133"/>
      <c r="D17" s="133"/>
      <c r="E17" s="133"/>
      <c r="F17" s="133"/>
      <c r="G17" s="133"/>
      <c r="H17" s="133"/>
      <c r="I17" s="133">
        <f>J17+L17+N17+P17+R17+T17+V17</f>
        <v>2699.9999999999995</v>
      </c>
      <c r="J17" s="133">
        <f>X17*K17</f>
        <v>683.1</v>
      </c>
      <c r="K17" s="184">
        <f>Inputs!C36</f>
        <v>0.253</v>
      </c>
      <c r="L17" s="133">
        <f>X17*M17</f>
        <v>1795.5</v>
      </c>
      <c r="M17" s="184">
        <f>Inputs!C39</f>
        <v>0.66500000000000004</v>
      </c>
      <c r="N17" s="133">
        <f>X17*O17</f>
        <v>183.60000000000002</v>
      </c>
      <c r="O17" s="184">
        <f>Inputs!C40</f>
        <v>6.8000000000000005E-2</v>
      </c>
      <c r="P17" s="133">
        <f>X17*Q17</f>
        <v>2.7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35.1</v>
      </c>
      <c r="W17" s="185">
        <f>Inputs!C43</f>
        <v>1.3000000000000001E-2</v>
      </c>
      <c r="X17" s="213">
        <f>Z17*15</f>
        <v>2700</v>
      </c>
      <c r="Y17" s="209">
        <f>K17+M17+O17+Q17+S17+U17+W17</f>
        <v>1</v>
      </c>
      <c r="Z17" s="226">
        <f>Inputs!I36</f>
        <v>180</v>
      </c>
      <c r="AA17" s="3"/>
      <c r="AB17" s="133"/>
      <c r="AC17" s="3"/>
      <c r="AD17" s="133"/>
    </row>
    <row r="18" spans="1:30" ht="15" x14ac:dyDescent="0.25">
      <c r="A18" s="133"/>
      <c r="B18" s="133" t="s">
        <v>227</v>
      </c>
      <c r="C18" s="133"/>
      <c r="D18" s="133"/>
      <c r="E18" s="133"/>
      <c r="F18" s="133"/>
      <c r="G18" s="133"/>
      <c r="H18" s="133"/>
      <c r="I18" s="133">
        <f>J18+L18+N18+P18+R18+T18+V18</f>
        <v>900.00000000000011</v>
      </c>
      <c r="J18" s="133">
        <f>X18*K18</f>
        <v>227.7</v>
      </c>
      <c r="K18" s="184">
        <f>K17</f>
        <v>0.253</v>
      </c>
      <c r="L18" s="133">
        <f>X18*M18</f>
        <v>598.5</v>
      </c>
      <c r="M18" s="184">
        <f>M17</f>
        <v>0.66500000000000004</v>
      </c>
      <c r="N18" s="133">
        <f>X18*O18</f>
        <v>61.2</v>
      </c>
      <c r="O18" s="184">
        <f>O17</f>
        <v>6.8000000000000005E-2</v>
      </c>
      <c r="P18" s="133">
        <f>X18*Q18</f>
        <v>0.9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11.700000000000001</v>
      </c>
      <c r="W18" s="185">
        <f>W17</f>
        <v>1.3000000000000001E-2</v>
      </c>
      <c r="X18" s="213">
        <f>Z18*15</f>
        <v>900</v>
      </c>
      <c r="Y18" s="209">
        <f>K18+M18+O18+Q18+S18+U18+W18</f>
        <v>1</v>
      </c>
      <c r="Z18" s="226">
        <f>Inputs!I37</f>
        <v>60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223</v>
      </c>
      <c r="C20" s="133"/>
      <c r="D20" s="133"/>
      <c r="E20" s="133"/>
      <c r="F20" s="133"/>
      <c r="G20" s="133"/>
      <c r="H20" s="133"/>
      <c r="I20" s="133">
        <f>J20+L20+N20+P20+R20+T20+V20</f>
        <v>3450</v>
      </c>
      <c r="J20" s="133">
        <f>X20*K20</f>
        <v>1442.1</v>
      </c>
      <c r="K20" s="184">
        <f>Inputs!D36</f>
        <v>0.41799999999999998</v>
      </c>
      <c r="L20" s="133">
        <f>X20*M20</f>
        <v>1831.95</v>
      </c>
      <c r="M20" s="184">
        <f>Inputs!D39</f>
        <v>0.53100000000000003</v>
      </c>
      <c r="N20" s="133">
        <f>X20*O20</f>
        <v>141.45000000000002</v>
      </c>
      <c r="O20" s="184">
        <f>Inputs!D40</f>
        <v>4.1000000000000002E-2</v>
      </c>
      <c r="P20" s="133">
        <f>X20*Q20</f>
        <v>3.45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31.050000000000004</v>
      </c>
      <c r="W20" s="185">
        <f>Inputs!D43</f>
        <v>9.0000000000000011E-3</v>
      </c>
      <c r="X20" s="213">
        <f>Z20*15</f>
        <v>3450</v>
      </c>
      <c r="Y20" s="209">
        <f>K20+M20+O20+Q20+S20+U20+W20</f>
        <v>1</v>
      </c>
      <c r="Z20" s="226">
        <f>Inputs!I38</f>
        <v>230</v>
      </c>
      <c r="AA20" s="3"/>
      <c r="AB20" s="133"/>
      <c r="AC20" s="3"/>
      <c r="AD20" s="133"/>
    </row>
    <row r="21" spans="1:30" ht="15" x14ac:dyDescent="0.25">
      <c r="A21" s="133"/>
      <c r="B21" s="133" t="s">
        <v>224</v>
      </c>
      <c r="C21" s="133"/>
      <c r="D21" s="133"/>
      <c r="E21" s="133"/>
      <c r="F21" s="133"/>
      <c r="G21" s="133"/>
      <c r="H21" s="133"/>
      <c r="I21" s="133">
        <f>J21+L21+N21+P21+R21+T21+V21</f>
        <v>150</v>
      </c>
      <c r="J21" s="133">
        <f>X21*K21</f>
        <v>62.699999999999996</v>
      </c>
      <c r="K21" s="184">
        <f>K20</f>
        <v>0.41799999999999998</v>
      </c>
      <c r="L21" s="133">
        <f>X21*M21</f>
        <v>79.650000000000006</v>
      </c>
      <c r="M21" s="184">
        <f>M20</f>
        <v>0.53100000000000003</v>
      </c>
      <c r="N21" s="133">
        <f>X21*O21</f>
        <v>6.15</v>
      </c>
      <c r="O21" s="184">
        <f>O20</f>
        <v>4.1000000000000002E-2</v>
      </c>
      <c r="P21" s="133">
        <f>X21*Q21</f>
        <v>0.15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1.35</v>
      </c>
      <c r="W21" s="185">
        <f>W20</f>
        <v>9.0000000000000011E-3</v>
      </c>
      <c r="X21" s="213">
        <f>Z21*15</f>
        <v>150</v>
      </c>
      <c r="Y21" s="209">
        <f>K21+M21+O21+Q21+S21+U21+W21</f>
        <v>1</v>
      </c>
      <c r="Z21" s="226">
        <f>Inputs!I39</f>
        <v>10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228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</v>
      </c>
      <c r="L23" s="133">
        <f>X23*M23</f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>X23*Q23</f>
        <v>0</v>
      </c>
      <c r="Q23" s="184">
        <f>Inputs!E41</f>
        <v>0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0</v>
      </c>
      <c r="X23" s="213">
        <f>Z23*15</f>
        <v>5400</v>
      </c>
      <c r="Y23" s="209">
        <f>K23+M23+O23+Q23+S23+U23+W23</f>
        <v>0</v>
      </c>
      <c r="Z23" s="226">
        <f>Inputs!I40</f>
        <v>360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3781.7999999999997</v>
      </c>
      <c r="K26" s="139"/>
      <c r="L26" s="139">
        <f>SUM(L15:L25)</f>
        <v>7896.5999999999995</v>
      </c>
      <c r="M26" s="139"/>
      <c r="N26" s="139">
        <f>SUM(N15:N25)</f>
        <v>759.60000000000014</v>
      </c>
      <c r="O26" s="139"/>
      <c r="P26" s="139">
        <f>SUM(P15:P25)</f>
        <v>12.600000000000003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149.4</v>
      </c>
      <c r="W26" s="139"/>
      <c r="X26" s="139">
        <f>SUM(X15:X25)</f>
        <v>18000</v>
      </c>
      <c r="Y26" s="139"/>
      <c r="Z26" s="139">
        <f>SUM(Z15:Z25)</f>
        <v>1200</v>
      </c>
      <c r="AA26" s="141">
        <f>IF(Z33=0,0,Z33/(H33+Z33))</f>
        <v>0</v>
      </c>
      <c r="AB26" s="139">
        <f>G26+X26</f>
        <v>18000</v>
      </c>
      <c r="AC26" s="139">
        <f>H26+Z26</f>
        <v>1200</v>
      </c>
      <c r="AD26" s="141">
        <f>I26+AA26</f>
        <v>0</v>
      </c>
    </row>
    <row r="30" spans="1:30" x14ac:dyDescent="0.2">
      <c r="A30" s="3" t="s">
        <v>100</v>
      </c>
      <c r="B30">
        <f>J26</f>
        <v>3781.7999999999997</v>
      </c>
    </row>
    <row r="31" spans="1:30" x14ac:dyDescent="0.2">
      <c r="A31" s="3" t="s">
        <v>101</v>
      </c>
      <c r="B31">
        <f>L26</f>
        <v>7896.5999999999995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759.60000000000014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12.600000000000003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149.4</v>
      </c>
    </row>
    <row r="38" spans="1:13" x14ac:dyDescent="0.2">
      <c r="A38" s="3" t="s">
        <v>119</v>
      </c>
      <c r="B38">
        <f>SUM(B30:B36)</f>
        <v>12600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14" sqref="B1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218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49042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219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34508</v>
      </c>
    </row>
    <row r="6" spans="1:9" x14ac:dyDescent="0.2">
      <c r="A6" s="3" t="s">
        <v>219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3822</v>
      </c>
      <c r="I6" s="30"/>
    </row>
    <row r="7" spans="1:9" ht="15" x14ac:dyDescent="0.2">
      <c r="I7" s="58"/>
    </row>
    <row r="8" spans="1:9" x14ac:dyDescent="0.2">
      <c r="A8" s="3" t="s">
        <v>220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29680</v>
      </c>
      <c r="I8" s="25"/>
    </row>
    <row r="9" spans="1:9" x14ac:dyDescent="0.2">
      <c r="A9" s="3" t="s">
        <v>220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1990</v>
      </c>
    </row>
    <row r="10" spans="1:9" x14ac:dyDescent="0.2">
      <c r="H10" s="195"/>
      <c r="I10" s="30"/>
    </row>
    <row r="11" spans="1:9" ht="15" x14ac:dyDescent="0.2">
      <c r="A11" s="3" t="s">
        <v>222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24802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opLeftCell="A2" zoomScaleNormal="100" workbookViewId="0">
      <selection activeCell="N29" sqref="N2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46</v>
      </c>
      <c r="C7" s="151">
        <v>941200</v>
      </c>
      <c r="D7" s="188" t="s">
        <v>229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1463</v>
      </c>
      <c r="J7" s="189">
        <f>IF(H7="NEW",203, IF(H7="OLD",192,0))</f>
        <v>203</v>
      </c>
      <c r="K7" s="151">
        <v>1666</v>
      </c>
      <c r="L7" s="211">
        <f>IF(K7&gt;0,I7/E7,"NA")</f>
        <v>24.383333333333333</v>
      </c>
      <c r="M7" s="151">
        <v>952645</v>
      </c>
      <c r="N7" s="152" t="s">
        <v>236</v>
      </c>
      <c r="O7" s="157" t="s">
        <v>47</v>
      </c>
      <c r="P7" s="187">
        <f>IF(D7=Inputs!F$4,Inputs!I$4,IF(D7=Inputs!F$2,Inputs!I$2,IF(D7=Inputs!F$3,Inputs!I$3,IF(D7=Inputs!F$5,Inputs!I$5,"NA"))))</f>
        <v>44.892857142857146</v>
      </c>
    </row>
    <row r="8" spans="1:16" x14ac:dyDescent="0.25">
      <c r="A8" s="148">
        <v>2</v>
      </c>
      <c r="B8" s="189">
        <f>Inputs!C$2</f>
        <v>46</v>
      </c>
      <c r="C8" s="151">
        <v>941201</v>
      </c>
      <c r="D8" s="188" t="s">
        <v>229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1509</v>
      </c>
      <c r="J8" s="189">
        <f>IF(H8="NEW",203, IF(H8="OLD",192,0))</f>
        <v>203</v>
      </c>
      <c r="K8" s="151">
        <v>1712</v>
      </c>
      <c r="L8" s="211">
        <f>IF(K8&gt;0,I8/E8,"NA")</f>
        <v>25.15</v>
      </c>
      <c r="M8" s="151">
        <v>952645</v>
      </c>
      <c r="N8" s="152" t="s">
        <v>236</v>
      </c>
      <c r="O8" s="157" t="s">
        <v>47</v>
      </c>
      <c r="P8" s="187">
        <f>IF(D8=Inputs!F$4,Inputs!I$4,IF(D8=Inputs!F$2,Inputs!I$2,IF(D8=Inputs!F$3,Inputs!I$3,IF(D8=Inputs!F$5,Inputs!I$5,"NA"))))</f>
        <v>44.892857142857146</v>
      </c>
    </row>
    <row r="9" spans="1:16" x14ac:dyDescent="0.25">
      <c r="A9" s="148">
        <v>3</v>
      </c>
      <c r="B9" s="189">
        <f>Inputs!C$2</f>
        <v>46</v>
      </c>
      <c r="C9" s="151">
        <v>941202</v>
      </c>
      <c r="D9" s="188" t="s">
        <v>229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1479</v>
      </c>
      <c r="J9" s="189">
        <f>IF(H9="NEW",203, IF(H9="OLD",192,0))</f>
        <v>203</v>
      </c>
      <c r="K9" s="151">
        <v>1682</v>
      </c>
      <c r="L9" s="211">
        <f t="shared" ref="L9:L72" si="1">IF(K9&gt;0,I9/E9,"NA")</f>
        <v>24.65</v>
      </c>
      <c r="M9" s="151">
        <v>952645</v>
      </c>
      <c r="N9" s="152" t="s">
        <v>236</v>
      </c>
      <c r="O9" s="157" t="s">
        <v>47</v>
      </c>
      <c r="P9" s="187">
        <f>IF(D9=Inputs!F$4,Inputs!I$4,IF(D9=Inputs!F$2,Inputs!I$2,IF(D9=Inputs!F$3,Inputs!I$3,IF(D9=Inputs!F$5,Inputs!I$5,"NA"))))</f>
        <v>44.892857142857146</v>
      </c>
    </row>
    <row r="10" spans="1:16" x14ac:dyDescent="0.25">
      <c r="A10" s="148">
        <v>4</v>
      </c>
      <c r="B10" s="189">
        <f>Inputs!C$2</f>
        <v>46</v>
      </c>
      <c r="C10" s="151">
        <v>941203</v>
      </c>
      <c r="D10" s="188" t="s">
        <v>168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1457</v>
      </c>
      <c r="J10" s="189">
        <f>IF(H10="NEW",203, IF(H10="OLD",192,0))</f>
        <v>203</v>
      </c>
      <c r="K10" s="151">
        <v>1660</v>
      </c>
      <c r="L10" s="211">
        <f t="shared" si="1"/>
        <v>24.283333333333335</v>
      </c>
      <c r="M10" s="151">
        <v>952645</v>
      </c>
      <c r="N10" s="152" t="s">
        <v>236</v>
      </c>
      <c r="O10" s="157" t="s">
        <v>47</v>
      </c>
      <c r="P10" s="187">
        <f>IF(D10=Inputs!F$4,Inputs!I$4,IF(D10=Inputs!F$2,Inputs!I$2,IF(D10=Inputs!F$3,Inputs!I$3,IF(D10=Inputs!F$5,Inputs!I$5,"NA"))))</f>
        <v>57.892857142857146</v>
      </c>
    </row>
    <row r="11" spans="1:16" x14ac:dyDescent="0.25">
      <c r="A11" s="148">
        <v>5</v>
      </c>
      <c r="B11" s="189">
        <f>Inputs!C$2</f>
        <v>46</v>
      </c>
      <c r="C11" s="151">
        <v>941204</v>
      </c>
      <c r="D11" s="188" t="s">
        <v>168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1459</v>
      </c>
      <c r="J11" s="189">
        <f t="shared" ref="J11:J72" si="2">IF(H11="NEW",203, IF(H11="OLD",192,0))</f>
        <v>203</v>
      </c>
      <c r="K11" s="151">
        <v>1662</v>
      </c>
      <c r="L11" s="211">
        <f>IF(K11&gt;0,I11/E11,"NA")</f>
        <v>24.316666666666666</v>
      </c>
      <c r="M11" s="151">
        <v>952645</v>
      </c>
      <c r="N11" s="152" t="s">
        <v>236</v>
      </c>
      <c r="O11" s="157" t="s">
        <v>47</v>
      </c>
      <c r="P11" s="187">
        <f>IF(D11=Inputs!F$4,Inputs!I$4,IF(D11=Inputs!F$2,Inputs!I$2,IF(D11=Inputs!F$3,Inputs!I$3,IF(D11=Inputs!F$5,Inputs!I$5,"NA"))))</f>
        <v>57.892857142857146</v>
      </c>
    </row>
    <row r="12" spans="1:16" x14ac:dyDescent="0.25">
      <c r="A12" s="148">
        <v>6</v>
      </c>
      <c r="B12" s="189">
        <f>Inputs!C$2</f>
        <v>46</v>
      </c>
      <c r="C12" s="151">
        <v>941205</v>
      </c>
      <c r="D12" s="188" t="s">
        <v>168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1471</v>
      </c>
      <c r="J12" s="189">
        <f t="shared" si="2"/>
        <v>203</v>
      </c>
      <c r="K12" s="151">
        <v>1674</v>
      </c>
      <c r="L12" s="211">
        <f t="shared" si="1"/>
        <v>24.516666666666666</v>
      </c>
      <c r="M12" s="151">
        <v>952645</v>
      </c>
      <c r="N12" s="152" t="s">
        <v>236</v>
      </c>
      <c r="O12" s="157" t="s">
        <v>47</v>
      </c>
      <c r="P12" s="187">
        <f>IF(D12=Inputs!F$4,Inputs!I$4,IF(D12=Inputs!F$2,Inputs!I$2,IF(D12=Inputs!F$3,Inputs!I$3,IF(D12=Inputs!F$5,Inputs!I$5,"NA"))))</f>
        <v>57.892857142857146</v>
      </c>
    </row>
    <row r="13" spans="1:16" x14ac:dyDescent="0.25">
      <c r="A13" s="148">
        <v>7</v>
      </c>
      <c r="B13" s="189">
        <f>Inputs!C$2</f>
        <v>46</v>
      </c>
      <c r="C13" s="151">
        <v>941206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1455</v>
      </c>
      <c r="J13" s="189">
        <f t="shared" si="2"/>
        <v>203</v>
      </c>
      <c r="K13" s="151">
        <v>1658</v>
      </c>
      <c r="L13" s="211">
        <f t="shared" si="1"/>
        <v>24.25</v>
      </c>
      <c r="M13" s="151">
        <v>952645</v>
      </c>
      <c r="N13" s="152" t="s">
        <v>236</v>
      </c>
      <c r="O13" s="157" t="s">
        <v>47</v>
      </c>
      <c r="P13" s="187">
        <f>IF(D13=Inputs!F$4,Inputs!I$4,IF(D13=Inputs!F$2,Inputs!I$2,IF(D13=Inputs!F$3,Inputs!I$3,IF(D13=Inputs!F$5,Inputs!I$5,"NA"))))</f>
        <v>32.464285714285715</v>
      </c>
    </row>
    <row r="14" spans="1:16" x14ac:dyDescent="0.25">
      <c r="A14" s="148">
        <v>8</v>
      </c>
      <c r="B14" s="189">
        <f>Inputs!C$2</f>
        <v>46</v>
      </c>
      <c r="C14" s="151">
        <v>941207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1449</v>
      </c>
      <c r="J14" s="189">
        <f t="shared" si="2"/>
        <v>203</v>
      </c>
      <c r="K14" s="151">
        <v>1652</v>
      </c>
      <c r="L14" s="211">
        <f t="shared" si="1"/>
        <v>24.15</v>
      </c>
      <c r="M14" s="151">
        <v>952645</v>
      </c>
      <c r="N14" s="152" t="s">
        <v>236</v>
      </c>
      <c r="O14" s="157" t="s">
        <v>47</v>
      </c>
      <c r="P14" s="187">
        <f>IF(D14=Inputs!F$4,Inputs!I$4,IF(D14=Inputs!F$2,Inputs!I$2,IF(D14=Inputs!F$3,Inputs!I$3,IF(D14=Inputs!F$5,Inputs!I$5,"NA"))))</f>
        <v>32.464285714285715</v>
      </c>
    </row>
    <row r="15" spans="1:16" x14ac:dyDescent="0.25">
      <c r="A15" s="148">
        <v>9</v>
      </c>
      <c r="B15" s="189">
        <f>Inputs!C$2</f>
        <v>46</v>
      </c>
      <c r="C15" s="151">
        <v>941208</v>
      </c>
      <c r="D15" s="188" t="s">
        <v>5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1463</v>
      </c>
      <c r="J15" s="189">
        <f t="shared" si="2"/>
        <v>203</v>
      </c>
      <c r="K15" s="151">
        <v>1666</v>
      </c>
      <c r="L15" s="211">
        <f t="shared" si="1"/>
        <v>24.383333333333333</v>
      </c>
      <c r="M15" s="151">
        <v>952645</v>
      </c>
      <c r="N15" s="152" t="s">
        <v>236</v>
      </c>
      <c r="O15" s="157" t="s">
        <v>47</v>
      </c>
      <c r="P15" s="187">
        <f>IF(D15=Inputs!F$4,Inputs!I$4,IF(D15=Inputs!F$2,Inputs!I$2,IF(D15=Inputs!F$3,Inputs!I$3,IF(D15=Inputs!F$5,Inputs!I$5,"NA"))))</f>
        <v>32.464285714285715</v>
      </c>
    </row>
    <row r="16" spans="1:16" x14ac:dyDescent="0.25">
      <c r="A16" s="148">
        <v>10</v>
      </c>
      <c r="B16" s="189">
        <f>Inputs!C$2</f>
        <v>46</v>
      </c>
      <c r="C16" s="151">
        <v>941209</v>
      </c>
      <c r="D16" s="188" t="s">
        <v>5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1465</v>
      </c>
      <c r="J16" s="189">
        <f t="shared" si="2"/>
        <v>203</v>
      </c>
      <c r="K16" s="151">
        <v>1668</v>
      </c>
      <c r="L16" s="211">
        <f t="shared" si="1"/>
        <v>24.416666666666668</v>
      </c>
      <c r="M16" s="151">
        <v>952645</v>
      </c>
      <c r="N16" s="152" t="s">
        <v>236</v>
      </c>
      <c r="O16" s="157" t="s">
        <v>47</v>
      </c>
      <c r="P16" s="187">
        <f>IF(D16=Inputs!F$4,Inputs!I$4,IF(D16=Inputs!F$2,Inputs!I$2,IF(D16=Inputs!F$3,Inputs!I$3,IF(D16=Inputs!F$5,Inputs!I$5,"NA"))))</f>
        <v>32.464285714285715</v>
      </c>
    </row>
    <row r="17" spans="1:16" x14ac:dyDescent="0.25">
      <c r="A17" s="148">
        <v>11</v>
      </c>
      <c r="B17" s="189">
        <f>Inputs!C$2</f>
        <v>46</v>
      </c>
      <c r="C17" s="151">
        <v>941210</v>
      </c>
      <c r="D17" s="188" t="s">
        <v>4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1194</v>
      </c>
      <c r="J17" s="189">
        <f t="shared" si="2"/>
        <v>203</v>
      </c>
      <c r="K17" s="151">
        <v>1397</v>
      </c>
      <c r="L17" s="211">
        <f t="shared" si="1"/>
        <v>19.899999999999999</v>
      </c>
      <c r="M17" s="151">
        <v>952645</v>
      </c>
      <c r="N17" s="152" t="s">
        <v>236</v>
      </c>
      <c r="O17" s="157" t="s">
        <v>47</v>
      </c>
      <c r="P17" s="187">
        <f>IF(D17=Inputs!F$4,Inputs!I$4,IF(D17=Inputs!F$2,Inputs!I$2,IF(D17=Inputs!F$3,Inputs!I$3,IF(D17=Inputs!F$5,Inputs!I$5,"NA"))))</f>
        <v>23.607142857142858</v>
      </c>
    </row>
    <row r="18" spans="1:16" x14ac:dyDescent="0.25">
      <c r="A18" s="148">
        <v>12</v>
      </c>
      <c r="B18" s="189">
        <f>Inputs!C$2</f>
        <v>46</v>
      </c>
      <c r="C18" s="151">
        <v>941211</v>
      </c>
      <c r="D18" s="188" t="s">
        <v>4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1197</v>
      </c>
      <c r="J18" s="189">
        <f t="shared" si="2"/>
        <v>203</v>
      </c>
      <c r="K18" s="151">
        <v>1400</v>
      </c>
      <c r="L18" s="211">
        <f t="shared" si="1"/>
        <v>19.95</v>
      </c>
      <c r="M18" s="151">
        <v>952645</v>
      </c>
      <c r="N18" s="152" t="s">
        <v>236</v>
      </c>
      <c r="O18" s="157" t="s">
        <v>47</v>
      </c>
      <c r="P18" s="187">
        <f>IF(D18=Inputs!F$4,Inputs!I$4,IF(D18=Inputs!F$2,Inputs!I$2,IF(D18=Inputs!F$3,Inputs!I$3,IF(D18=Inputs!F$5,Inputs!I$5,"NA"))))</f>
        <v>23.607142857142858</v>
      </c>
    </row>
    <row r="19" spans="1:16" x14ac:dyDescent="0.25">
      <c r="A19" s="148">
        <v>13</v>
      </c>
      <c r="B19" s="189">
        <f>Inputs!C$2</f>
        <v>46</v>
      </c>
      <c r="C19" s="151">
        <v>941212</v>
      </c>
      <c r="D19" s="188" t="s">
        <v>168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1497</v>
      </c>
      <c r="J19" s="189">
        <f t="shared" si="2"/>
        <v>203</v>
      </c>
      <c r="K19" s="151">
        <v>1700</v>
      </c>
      <c r="L19" s="211">
        <f t="shared" si="1"/>
        <v>24.95</v>
      </c>
      <c r="M19" s="151">
        <v>952645</v>
      </c>
      <c r="N19" s="152" t="s">
        <v>236</v>
      </c>
      <c r="O19" s="157" t="s">
        <v>48</v>
      </c>
      <c r="P19" s="187">
        <f>IF(D19=Inputs!F$4,Inputs!I$4,IF(D19=Inputs!F$2,Inputs!I$2,IF(D19=Inputs!F$3,Inputs!I$3,IF(D19=Inputs!F$5,Inputs!I$5,"NA"))))</f>
        <v>57.892857142857146</v>
      </c>
    </row>
    <row r="20" spans="1:16" x14ac:dyDescent="0.25">
      <c r="A20" s="148">
        <v>14</v>
      </c>
      <c r="B20" s="189">
        <f>Inputs!C$2</f>
        <v>46</v>
      </c>
      <c r="C20" s="151">
        <v>941213</v>
      </c>
      <c r="D20" s="188" t="s">
        <v>4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1193</v>
      </c>
      <c r="J20" s="189">
        <f t="shared" si="2"/>
        <v>203</v>
      </c>
      <c r="K20" s="151">
        <v>1396</v>
      </c>
      <c r="L20" s="211">
        <f t="shared" si="1"/>
        <v>19.883333333333333</v>
      </c>
      <c r="M20" s="151">
        <v>952645</v>
      </c>
      <c r="N20" s="152" t="s">
        <v>236</v>
      </c>
      <c r="O20" s="157" t="s">
        <v>47</v>
      </c>
      <c r="P20" s="187">
        <f>IF(D20=Inputs!F$4,Inputs!I$4,IF(D20=Inputs!F$2,Inputs!I$2,IF(D20=Inputs!F$3,Inputs!I$3,IF(D20=Inputs!F$5,Inputs!I$5,"NA"))))</f>
        <v>23.607142857142858</v>
      </c>
    </row>
    <row r="21" spans="1:16" x14ac:dyDescent="0.25">
      <c r="A21" s="148">
        <v>15</v>
      </c>
      <c r="B21" s="189">
        <f>Inputs!C$2</f>
        <v>46</v>
      </c>
      <c r="C21" s="151">
        <v>941214</v>
      </c>
      <c r="D21" s="188" t="s">
        <v>4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1223</v>
      </c>
      <c r="J21" s="189">
        <f t="shared" si="2"/>
        <v>203</v>
      </c>
      <c r="K21" s="151">
        <v>1426</v>
      </c>
      <c r="L21" s="211">
        <f t="shared" si="1"/>
        <v>20.383333333333333</v>
      </c>
      <c r="M21" s="151">
        <v>952645</v>
      </c>
      <c r="N21" s="152" t="s">
        <v>236</v>
      </c>
      <c r="O21" s="157" t="s">
        <v>47</v>
      </c>
      <c r="P21" s="187">
        <f>IF(D21=Inputs!F$4,Inputs!I$4,IF(D21=Inputs!F$2,Inputs!I$2,IF(D21=Inputs!F$3,Inputs!I$3,IF(D21=Inputs!F$5,Inputs!I$5,"NA"))))</f>
        <v>23.607142857142858</v>
      </c>
    </row>
    <row r="22" spans="1:16" x14ac:dyDescent="0.25">
      <c r="A22" s="148">
        <v>16</v>
      </c>
      <c r="B22" s="189">
        <f>Inputs!C$2</f>
        <v>46</v>
      </c>
      <c r="C22" s="151">
        <v>941215</v>
      </c>
      <c r="D22" s="188" t="s">
        <v>5</v>
      </c>
      <c r="E22" s="148">
        <v>60</v>
      </c>
      <c r="F22" s="188" t="s">
        <v>113</v>
      </c>
      <c r="G22" s="188"/>
      <c r="H22" s="191" t="s">
        <v>201</v>
      </c>
      <c r="I22" s="210">
        <f t="shared" si="0"/>
        <v>1465</v>
      </c>
      <c r="J22" s="189">
        <f t="shared" si="2"/>
        <v>203</v>
      </c>
      <c r="K22" s="235">
        <v>1668</v>
      </c>
      <c r="L22" s="211">
        <f t="shared" si="1"/>
        <v>24.416666666666668</v>
      </c>
      <c r="M22" s="151">
        <v>952645</v>
      </c>
      <c r="N22" s="152" t="s">
        <v>236</v>
      </c>
      <c r="O22" s="157" t="s">
        <v>47</v>
      </c>
      <c r="P22" s="187">
        <f>IF(D22=Inputs!F$4,Inputs!I$4,IF(D22=Inputs!F$2,Inputs!I$2,IF(D22=Inputs!F$3,Inputs!I$3,IF(D22=Inputs!F$5,Inputs!I$5,"NA"))))</f>
        <v>32.464285714285715</v>
      </c>
    </row>
    <row r="23" spans="1:16" x14ac:dyDescent="0.25">
      <c r="A23" s="148">
        <v>17</v>
      </c>
      <c r="B23" s="189">
        <f>Inputs!C$2</f>
        <v>46</v>
      </c>
      <c r="C23" s="151">
        <v>941216</v>
      </c>
      <c r="D23" s="188" t="s">
        <v>5</v>
      </c>
      <c r="E23" s="148">
        <v>60</v>
      </c>
      <c r="F23" s="188" t="s">
        <v>113</v>
      </c>
      <c r="G23" s="188"/>
      <c r="H23" s="191" t="s">
        <v>201</v>
      </c>
      <c r="I23" s="210">
        <f t="shared" si="0"/>
        <v>1209</v>
      </c>
      <c r="J23" s="189">
        <f t="shared" si="2"/>
        <v>203</v>
      </c>
      <c r="K23" s="151">
        <v>1412</v>
      </c>
      <c r="L23" s="211">
        <f t="shared" si="1"/>
        <v>20.149999999999999</v>
      </c>
      <c r="M23" s="151">
        <v>952645</v>
      </c>
      <c r="N23" s="152" t="s">
        <v>236</v>
      </c>
      <c r="O23" s="157" t="s">
        <v>47</v>
      </c>
      <c r="P23" s="187">
        <f>IF(D23=Inputs!F$4,Inputs!I$4,IF(D23=Inputs!F$2,Inputs!I$2,IF(D23=Inputs!F$3,Inputs!I$3,IF(D23=Inputs!F$5,Inputs!I$5,"NA"))))</f>
        <v>32.464285714285715</v>
      </c>
    </row>
    <row r="24" spans="1:16" x14ac:dyDescent="0.25">
      <c r="A24" s="148">
        <v>18</v>
      </c>
      <c r="B24" s="189">
        <f>Inputs!C$2</f>
        <v>46</v>
      </c>
      <c r="C24" s="151">
        <v>941217</v>
      </c>
      <c r="D24" s="188" t="s">
        <v>229</v>
      </c>
      <c r="E24" s="148">
        <v>60</v>
      </c>
      <c r="F24" s="188" t="s">
        <v>113</v>
      </c>
      <c r="G24" s="188"/>
      <c r="H24" s="191" t="s">
        <v>201</v>
      </c>
      <c r="I24" s="210">
        <f t="shared" si="0"/>
        <v>1421</v>
      </c>
      <c r="J24" s="189">
        <f t="shared" si="2"/>
        <v>203</v>
      </c>
      <c r="K24" s="151">
        <v>1624</v>
      </c>
      <c r="L24" s="211">
        <f t="shared" si="1"/>
        <v>23.683333333333334</v>
      </c>
      <c r="M24" s="151">
        <v>952645</v>
      </c>
      <c r="N24" s="152" t="s">
        <v>236</v>
      </c>
      <c r="O24" s="157" t="s">
        <v>235</v>
      </c>
      <c r="P24" s="187">
        <f>IF(D24=Inputs!F$4,Inputs!I$4,IF(D24=Inputs!F$2,Inputs!I$2,IF(D24=Inputs!F$3,Inputs!I$3,IF(D24=Inputs!F$5,Inputs!I$5,"NA"))))</f>
        <v>44.892857142857146</v>
      </c>
    </row>
    <row r="25" spans="1:16" x14ac:dyDescent="0.25">
      <c r="A25" s="148">
        <v>19</v>
      </c>
      <c r="B25" s="189">
        <f>Inputs!C$2</f>
        <v>46</v>
      </c>
      <c r="C25" s="151">
        <v>941218</v>
      </c>
      <c r="D25" s="188" t="s">
        <v>4</v>
      </c>
      <c r="E25" s="148">
        <v>60</v>
      </c>
      <c r="F25" s="188" t="s">
        <v>113</v>
      </c>
      <c r="G25" s="188"/>
      <c r="H25" s="191" t="s">
        <v>201</v>
      </c>
      <c r="I25" s="210">
        <f t="shared" si="0"/>
        <v>1205</v>
      </c>
      <c r="J25" s="189">
        <f t="shared" si="2"/>
        <v>203</v>
      </c>
      <c r="K25" s="151">
        <v>1408</v>
      </c>
      <c r="L25" s="211">
        <f t="shared" si="1"/>
        <v>20.083333333333332</v>
      </c>
      <c r="M25" s="151">
        <v>952645</v>
      </c>
      <c r="N25" s="152" t="s">
        <v>236</v>
      </c>
      <c r="O25" s="157" t="s">
        <v>47</v>
      </c>
      <c r="P25" s="187">
        <f>IF(D25=Inputs!F$4,Inputs!I$4,IF(D25=Inputs!F$2,Inputs!I$2,IF(D25=Inputs!F$3,Inputs!I$3,IF(D25=Inputs!F$5,Inputs!I$5,"NA"))))</f>
        <v>23.607142857142858</v>
      </c>
    </row>
    <row r="26" spans="1:16" x14ac:dyDescent="0.25">
      <c r="A26" s="148">
        <v>20</v>
      </c>
      <c r="B26" s="189">
        <f>Inputs!C$2</f>
        <v>46</v>
      </c>
      <c r="C26" s="151">
        <v>941219</v>
      </c>
      <c r="D26" s="188" t="s">
        <v>4</v>
      </c>
      <c r="E26" s="148">
        <v>60</v>
      </c>
      <c r="F26" s="188" t="s">
        <v>113</v>
      </c>
      <c r="G26" s="188"/>
      <c r="H26" s="191" t="s">
        <v>201</v>
      </c>
      <c r="I26" s="210">
        <f t="shared" si="0"/>
        <v>1223</v>
      </c>
      <c r="J26" s="189">
        <f t="shared" si="2"/>
        <v>203</v>
      </c>
      <c r="K26" s="151">
        <v>1426</v>
      </c>
      <c r="L26" s="211">
        <f t="shared" si="1"/>
        <v>20.383333333333333</v>
      </c>
      <c r="M26" s="151">
        <v>952645</v>
      </c>
      <c r="N26" s="152" t="s">
        <v>236</v>
      </c>
      <c r="O26" s="157" t="s">
        <v>47</v>
      </c>
      <c r="P26" s="187">
        <f>IF(D26=Inputs!F$4,Inputs!I$4,IF(D26=Inputs!F$2,Inputs!I$2,IF(D26=Inputs!F$3,Inputs!I$3,IF(D26=Inputs!F$5,Inputs!I$5,"NA"))))</f>
        <v>23.607142857142858</v>
      </c>
    </row>
    <row r="27" spans="1:16" x14ac:dyDescent="0.25">
      <c r="A27" s="148">
        <v>21</v>
      </c>
      <c r="B27" s="189">
        <f>Inputs!C$2</f>
        <v>46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46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46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46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46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46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46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46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46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46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46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46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46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46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46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46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46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46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46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46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46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46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46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46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46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46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46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46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46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46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46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46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46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46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46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46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46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46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46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46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46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46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46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46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46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46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46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46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46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46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46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46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46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46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46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46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I12" sqref="I12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46</v>
      </c>
      <c r="F2" s="166" t="s">
        <v>5</v>
      </c>
      <c r="G2" s="186">
        <v>45750</v>
      </c>
      <c r="I2" s="205">
        <f>(C$3-G2)/7</f>
        <v>32.464285714285715</v>
      </c>
      <c r="J2" s="230">
        <f>I2-19</f>
        <v>13.464285714285715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45977.25</v>
      </c>
      <c r="D3" s="247"/>
      <c r="F3" s="166" t="s">
        <v>168</v>
      </c>
      <c r="G3" s="186">
        <v>45572</v>
      </c>
      <c r="I3" s="205">
        <f>(C$3-G3)/7</f>
        <v>57.892857142857146</v>
      </c>
      <c r="J3" s="230">
        <f>I3-19</f>
        <v>38.892857142857146</v>
      </c>
      <c r="K3" s="166" t="s">
        <v>202</v>
      </c>
      <c r="L3">
        <v>192</v>
      </c>
    </row>
    <row r="4" spans="1:12" x14ac:dyDescent="0.2">
      <c r="F4" s="166" t="s">
        <v>229</v>
      </c>
      <c r="G4" s="186">
        <v>45663</v>
      </c>
      <c r="I4" s="205">
        <f>(C$3-G4)/7</f>
        <v>44.892857142857146</v>
      </c>
      <c r="J4" s="230">
        <f>I4-19</f>
        <v>25.892857142857146</v>
      </c>
    </row>
    <row r="5" spans="1:12" x14ac:dyDescent="0.2">
      <c r="A5" s="166" t="s">
        <v>204</v>
      </c>
      <c r="B5" s="248" t="s">
        <v>234</v>
      </c>
      <c r="C5" s="248"/>
      <c r="F5" s="166" t="s">
        <v>4</v>
      </c>
      <c r="G5" s="186">
        <v>45812</v>
      </c>
      <c r="I5" s="205">
        <f>(C$3-G5)/7</f>
        <v>23.607142857142858</v>
      </c>
      <c r="J5" s="230">
        <f>I5-19</f>
        <v>4.6071428571428577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270</v>
      </c>
      <c r="C10" s="165"/>
      <c r="E10" s="139">
        <v>6</v>
      </c>
      <c r="F10" s="168">
        <v>265</v>
      </c>
      <c r="G10" s="165"/>
    </row>
    <row r="11" spans="1:12" x14ac:dyDescent="0.2">
      <c r="A11" s="139">
        <v>7</v>
      </c>
      <c r="B11" s="168">
        <v>185</v>
      </c>
      <c r="C11" s="168">
        <v>18</v>
      </c>
      <c r="E11" s="139">
        <v>7</v>
      </c>
      <c r="F11" s="168">
        <v>196</v>
      </c>
      <c r="G11" s="168">
        <v>22</v>
      </c>
    </row>
    <row r="12" spans="1:12" x14ac:dyDescent="0.2">
      <c r="A12" s="139">
        <v>10</v>
      </c>
      <c r="B12" s="237">
        <v>149</v>
      </c>
      <c r="C12" s="168">
        <v>10</v>
      </c>
      <c r="E12" s="139">
        <v>10</v>
      </c>
      <c r="F12" s="168">
        <v>154</v>
      </c>
      <c r="G12" s="168">
        <v>12</v>
      </c>
    </row>
    <row r="13" spans="1:12" x14ac:dyDescent="0.2">
      <c r="A13" s="139">
        <v>11</v>
      </c>
      <c r="B13" s="168">
        <v>72</v>
      </c>
      <c r="C13" s="165"/>
      <c r="E13" s="139">
        <v>11</v>
      </c>
      <c r="F13" s="168">
        <v>100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265</v>
      </c>
      <c r="C16" s="165"/>
      <c r="E16" s="139">
        <v>6</v>
      </c>
      <c r="F16" s="168">
        <v>270</v>
      </c>
      <c r="G16" s="165"/>
    </row>
    <row r="17" spans="1:11" x14ac:dyDescent="0.2">
      <c r="A17" s="139">
        <v>7</v>
      </c>
      <c r="B17" s="168">
        <v>200</v>
      </c>
      <c r="C17" s="168">
        <v>23</v>
      </c>
      <c r="E17" s="139">
        <v>7</v>
      </c>
      <c r="F17" s="168">
        <v>219</v>
      </c>
      <c r="G17" s="168">
        <v>25</v>
      </c>
    </row>
    <row r="18" spans="1:11" x14ac:dyDescent="0.2">
      <c r="A18" s="139">
        <v>10</v>
      </c>
      <c r="B18" s="168">
        <v>167</v>
      </c>
      <c r="C18" s="168">
        <v>10</v>
      </c>
      <c r="E18" s="139">
        <v>10</v>
      </c>
      <c r="F18" s="168">
        <v>179</v>
      </c>
      <c r="G18" s="168">
        <v>14</v>
      </c>
    </row>
    <row r="19" spans="1:11" x14ac:dyDescent="0.2">
      <c r="A19" s="139">
        <v>11</v>
      </c>
      <c r="B19" s="168">
        <v>105</v>
      </c>
      <c r="C19" s="165"/>
      <c r="E19" s="139">
        <v>11</v>
      </c>
      <c r="F19" s="168">
        <v>100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265</v>
      </c>
      <c r="C23" s="165"/>
      <c r="E23" s="139">
        <v>6</v>
      </c>
      <c r="F23" s="168">
        <v>265</v>
      </c>
      <c r="G23" s="165"/>
    </row>
    <row r="24" spans="1:11" x14ac:dyDescent="0.2">
      <c r="A24" s="139">
        <v>7</v>
      </c>
      <c r="B24" s="168">
        <v>194</v>
      </c>
      <c r="C24" s="168">
        <v>21</v>
      </c>
      <c r="E24" s="139">
        <v>7</v>
      </c>
      <c r="F24" s="168">
        <v>198</v>
      </c>
      <c r="G24" s="168">
        <v>21</v>
      </c>
    </row>
    <row r="25" spans="1:11" x14ac:dyDescent="0.2">
      <c r="A25" s="139">
        <v>10</v>
      </c>
      <c r="B25" s="168">
        <v>150</v>
      </c>
      <c r="C25" s="168">
        <v>12</v>
      </c>
      <c r="E25" s="139">
        <v>10</v>
      </c>
      <c r="F25" s="168">
        <v>142</v>
      </c>
      <c r="G25" s="168">
        <v>10</v>
      </c>
    </row>
    <row r="26" spans="1:11" x14ac:dyDescent="0.2">
      <c r="A26" s="139">
        <v>11</v>
      </c>
      <c r="B26" s="168">
        <v>100</v>
      </c>
      <c r="C26" s="165"/>
      <c r="E26" s="139">
        <v>11</v>
      </c>
      <c r="F26" s="168">
        <v>100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142</v>
      </c>
      <c r="C29" s="165"/>
      <c r="E29" s="139">
        <v>6</v>
      </c>
      <c r="F29" s="203">
        <f t="shared" ref="F29:G31" si="0">B10+F10+B16+F16+B23+F23+B29</f>
        <v>1742</v>
      </c>
      <c r="G29" s="204">
        <f t="shared" si="0"/>
        <v>0</v>
      </c>
      <c r="I29" s="139">
        <v>6</v>
      </c>
      <c r="J29" s="203">
        <f t="shared" ref="J29:K31" si="1">F29*15</f>
        <v>26130</v>
      </c>
      <c r="K29" s="204">
        <f t="shared" si="1"/>
        <v>0</v>
      </c>
    </row>
    <row r="30" spans="1:11" x14ac:dyDescent="0.2">
      <c r="A30" s="139">
        <v>7</v>
      </c>
      <c r="B30" s="168">
        <v>270</v>
      </c>
      <c r="C30" s="168">
        <v>22</v>
      </c>
      <c r="E30" s="139">
        <v>7</v>
      </c>
      <c r="F30" s="203">
        <f t="shared" si="0"/>
        <v>1462</v>
      </c>
      <c r="G30" s="203">
        <f t="shared" si="0"/>
        <v>152</v>
      </c>
      <c r="I30" s="139">
        <v>7</v>
      </c>
      <c r="J30" s="203">
        <f t="shared" si="1"/>
        <v>21930</v>
      </c>
      <c r="K30" s="203">
        <f t="shared" si="1"/>
        <v>2280</v>
      </c>
    </row>
    <row r="31" spans="1:11" x14ac:dyDescent="0.2">
      <c r="A31" s="139">
        <v>10</v>
      </c>
      <c r="B31" s="168">
        <v>194</v>
      </c>
      <c r="C31" s="168">
        <v>10</v>
      </c>
      <c r="E31" s="139">
        <v>10</v>
      </c>
      <c r="F31" s="203">
        <f t="shared" si="0"/>
        <v>1135</v>
      </c>
      <c r="G31" s="203">
        <f t="shared" si="0"/>
        <v>78</v>
      </c>
      <c r="I31" s="139">
        <v>10</v>
      </c>
      <c r="J31" s="203">
        <f t="shared" si="1"/>
        <v>17025</v>
      </c>
      <c r="K31" s="203">
        <f t="shared" si="1"/>
        <v>1170</v>
      </c>
    </row>
    <row r="32" spans="1:11" x14ac:dyDescent="0.2">
      <c r="A32" s="139">
        <v>11</v>
      </c>
      <c r="B32" s="168">
        <v>100</v>
      </c>
      <c r="C32" s="165"/>
      <c r="E32" s="139">
        <v>11</v>
      </c>
      <c r="F32" s="203">
        <f t="shared" ref="F32:G32" si="2">B13+F13+B19+F19+B26+F26+B32</f>
        <v>677</v>
      </c>
      <c r="G32" s="204">
        <f t="shared" si="2"/>
        <v>0</v>
      </c>
      <c r="I32" s="139">
        <v>11</v>
      </c>
      <c r="J32" s="203">
        <f>F32*15</f>
        <v>10155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217</v>
      </c>
      <c r="E35" s="172" t="s">
        <v>169</v>
      </c>
      <c r="G35" s="245" t="s">
        <v>205</v>
      </c>
      <c r="H35" s="245"/>
      <c r="I35" s="225">
        <v>360</v>
      </c>
    </row>
    <row r="36" spans="1:9" x14ac:dyDescent="0.2">
      <c r="A36" s="172" t="s">
        <v>100</v>
      </c>
      <c r="B36" s="201">
        <f>B37+B38</f>
        <v>0.253</v>
      </c>
      <c r="C36" s="201">
        <f>C37+C38</f>
        <v>0.253</v>
      </c>
      <c r="D36" s="201">
        <f>D37+D38</f>
        <v>0.41799999999999998</v>
      </c>
      <c r="E36" s="201">
        <f>E37+E38</f>
        <v>0</v>
      </c>
      <c r="G36" s="245" t="s">
        <v>206</v>
      </c>
      <c r="H36" s="245"/>
      <c r="I36" s="225">
        <v>180</v>
      </c>
    </row>
    <row r="37" spans="1:9" x14ac:dyDescent="0.2">
      <c r="A37" s="172" t="s">
        <v>184</v>
      </c>
      <c r="B37" s="236">
        <v>1.9E-2</v>
      </c>
      <c r="C37" s="173">
        <v>1.9E-2</v>
      </c>
      <c r="D37" s="173">
        <v>6.0999999999999999E-2</v>
      </c>
      <c r="E37" s="173">
        <v>0</v>
      </c>
      <c r="G37" s="245" t="s">
        <v>207</v>
      </c>
      <c r="H37" s="245"/>
      <c r="I37" s="225">
        <v>60</v>
      </c>
    </row>
    <row r="38" spans="1:9" x14ac:dyDescent="0.2">
      <c r="A38" s="172" t="s">
        <v>185</v>
      </c>
      <c r="B38" s="173">
        <v>0.23400000000000001</v>
      </c>
      <c r="C38" s="173">
        <v>0.23400000000000001</v>
      </c>
      <c r="D38" s="173">
        <v>0.35699999999999998</v>
      </c>
      <c r="E38" s="173">
        <v>0</v>
      </c>
      <c r="G38" s="245" t="s">
        <v>215</v>
      </c>
      <c r="H38" s="245"/>
      <c r="I38" s="225">
        <v>230</v>
      </c>
    </row>
    <row r="39" spans="1:9" x14ac:dyDescent="0.2">
      <c r="A39" s="172" t="s">
        <v>186</v>
      </c>
      <c r="B39" s="173">
        <v>0.66500000000000004</v>
      </c>
      <c r="C39" s="173">
        <v>0.66500000000000004</v>
      </c>
      <c r="D39" s="173">
        <v>0.53100000000000003</v>
      </c>
      <c r="E39" s="173">
        <v>0</v>
      </c>
      <c r="G39" s="245" t="s">
        <v>216</v>
      </c>
      <c r="H39" s="245"/>
      <c r="I39" s="225">
        <v>10</v>
      </c>
    </row>
    <row r="40" spans="1:9" x14ac:dyDescent="0.2">
      <c r="A40" s="172" t="s">
        <v>187</v>
      </c>
      <c r="B40" s="173">
        <v>6.8000000000000005E-2</v>
      </c>
      <c r="C40" s="173">
        <v>6.8000000000000005E-2</v>
      </c>
      <c r="D40" s="173">
        <v>4.1000000000000002E-2</v>
      </c>
      <c r="E40" s="236">
        <v>0</v>
      </c>
      <c r="G40" s="245" t="s">
        <v>208</v>
      </c>
      <c r="H40" s="245"/>
      <c r="I40" s="225">
        <v>360</v>
      </c>
    </row>
    <row r="41" spans="1:9" x14ac:dyDescent="0.2">
      <c r="A41" s="172" t="s">
        <v>195</v>
      </c>
      <c r="B41" s="173">
        <v>1E-3</v>
      </c>
      <c r="C41" s="173">
        <v>1E-3</v>
      </c>
      <c r="D41" s="173">
        <v>1E-3</v>
      </c>
      <c r="E41" s="173">
        <v>0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1.3000000000000001E-2</v>
      </c>
      <c r="C43" s="202">
        <f>SUM(C47:C50)</f>
        <v>1.3000000000000001E-2</v>
      </c>
      <c r="D43" s="202">
        <f>SUM(D47:D50)</f>
        <v>9.0000000000000011E-3</v>
      </c>
      <c r="E43" s="202">
        <f>SUM(E47:E50)</f>
        <v>0</v>
      </c>
      <c r="I43" s="230"/>
    </row>
    <row r="44" spans="1:9" x14ac:dyDescent="0.2">
      <c r="A44" s="233" t="s">
        <v>211</v>
      </c>
      <c r="B44" s="232">
        <v>61.6</v>
      </c>
      <c r="C44" s="232">
        <v>61.4</v>
      </c>
      <c r="D44" s="232">
        <v>63.2</v>
      </c>
      <c r="E44" s="232">
        <v>0</v>
      </c>
    </row>
    <row r="45" spans="1:9" x14ac:dyDescent="0.2">
      <c r="A45" s="233" t="s">
        <v>213</v>
      </c>
      <c r="B45" s="231">
        <f>J29</f>
        <v>26130</v>
      </c>
      <c r="C45" s="231">
        <f>J30</f>
        <v>21930</v>
      </c>
      <c r="D45" s="231">
        <f>J31+K31</f>
        <v>18195</v>
      </c>
      <c r="E45" s="231">
        <f>J32</f>
        <v>10155</v>
      </c>
    </row>
    <row r="46" spans="1:9" x14ac:dyDescent="0.2">
      <c r="A46" s="233" t="s">
        <v>212</v>
      </c>
      <c r="B46" s="232"/>
      <c r="C46" s="232"/>
      <c r="D46" s="232"/>
      <c r="E46" s="232">
        <v>0</v>
      </c>
    </row>
    <row r="47" spans="1:9" x14ac:dyDescent="0.2">
      <c r="A47" s="172" t="s">
        <v>188</v>
      </c>
      <c r="B47" s="173">
        <v>2E-3</v>
      </c>
      <c r="C47" s="173">
        <v>2E-3</v>
      </c>
      <c r="D47" s="173">
        <v>2E-3</v>
      </c>
      <c r="E47" s="173">
        <v>0</v>
      </c>
    </row>
    <row r="48" spans="1:9" x14ac:dyDescent="0.2">
      <c r="A48" s="172" t="s">
        <v>189</v>
      </c>
      <c r="B48" s="173">
        <v>5.0000000000000001E-3</v>
      </c>
      <c r="C48" s="173">
        <v>5.0000000000000001E-3</v>
      </c>
      <c r="D48" s="173">
        <v>4.0000000000000001E-3</v>
      </c>
      <c r="E48" s="173">
        <v>0</v>
      </c>
    </row>
    <row r="49" spans="1:5" x14ac:dyDescent="0.2">
      <c r="A49" s="172" t="s">
        <v>190</v>
      </c>
      <c r="B49" s="173">
        <v>1E-3</v>
      </c>
      <c r="C49" s="173">
        <v>1E-3</v>
      </c>
      <c r="D49" s="173">
        <v>1E-3</v>
      </c>
      <c r="E49" s="173">
        <v>0</v>
      </c>
    </row>
    <row r="50" spans="1:5" x14ac:dyDescent="0.2">
      <c r="A50" s="172" t="s">
        <v>191</v>
      </c>
      <c r="B50" s="173">
        <v>5.0000000000000001E-3</v>
      </c>
      <c r="C50" s="173">
        <v>5.0000000000000001E-3</v>
      </c>
      <c r="D50" s="173">
        <v>2E-3</v>
      </c>
      <c r="E50" s="173">
        <v>0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0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233</v>
      </c>
    </row>
    <row r="3" spans="1:2" x14ac:dyDescent="0.2">
      <c r="A3" s="4" t="s">
        <v>168</v>
      </c>
      <c r="B3" s="3" t="s">
        <v>230</v>
      </c>
    </row>
    <row r="4" spans="1:2" x14ac:dyDescent="0.2">
      <c r="A4" s="2" t="s">
        <v>229</v>
      </c>
      <c r="B4" s="3" t="s">
        <v>232</v>
      </c>
    </row>
    <row r="5" spans="1:2" x14ac:dyDescent="0.2">
      <c r="A5" s="4" t="s">
        <v>4</v>
      </c>
      <c r="B5" s="3" t="s">
        <v>231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2025-11-03T14:48:08Z</cp:lastPrinted>
  <dcterms:created xsi:type="dcterms:W3CDTF">2019-08-23T14:41:05Z</dcterms:created>
  <dcterms:modified xsi:type="dcterms:W3CDTF">2025-11-17T17:05:10Z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