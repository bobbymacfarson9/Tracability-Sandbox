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31086FC1-AF51-4858-8761-56EF9ABAC586}" xr6:coauthVersionLast="47" xr6:coauthVersionMax="47" xr10:uidLastSave="{00000000-0000-0000-0000-000000000000}"/>
  <bookViews>
    <workbookView xWindow="-15" yWindow="105" windowWidth="28800" windowHeight="1548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<sst xmlns="http://schemas.openxmlformats.org/spreadsheetml/2006/main" count="433" uniqueCount="237">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</sst>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7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7">
        <f>Inputs!C3</f>
        <v>45704.25</v>
      </c>
      <c r="H2" s="238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11393.7955346651</v>
      </c>
      <c r="I7" s="27">
        <v>0</v>
      </c>
      <c r="J7" s="26">
        <f>IFERROR(H7-I7,"")</f>
        <v>11393.7955346651</v>
      </c>
      <c r="K7" s="26">
        <f>IFERROR(($E$26/($H$27+$H$28)*$H$27)*R28,"")</f>
        <v>79.756568742655702</v>
      </c>
      <c r="L7" s="26">
        <f>IFERROR(($E$26/($H$27+$H$28)*$H$27)*S28,"")</f>
        <v>34.1813866039953</v>
      </c>
      <c r="M7" s="28">
        <f>IFERROR(K7+L7,"")</f>
        <v>113.93795534665099</v>
      </c>
      <c r="N7" s="29">
        <f>IFERROR(O7+P7+Q7+R7+S7+T7+U7+V7,"")</f>
        <v>11279.857579318448</v>
      </c>
      <c r="O7" s="26">
        <f t="shared" ref="O7:V7" si="0">IFERROR(($E$26/($H$27+$H$28)*$H$27)*J28,"")</f>
        <v>1162.1671445358402</v>
      </c>
      <c r="P7" s="26">
        <f>IFERROR(($E$26/($H$27+$H$28)*$H$27)*K28,"")</f>
        <v>4044.7974148061103</v>
      </c>
      <c r="Q7" s="26">
        <f t="shared" si="0"/>
        <v>5548.7784253819036</v>
      </c>
      <c r="R7" s="26">
        <f t="shared" si="0"/>
        <v>489.93320799059927</v>
      </c>
      <c r="S7" s="26">
        <f t="shared" si="0"/>
        <v>11.393795534665101</v>
      </c>
      <c r="T7" s="26">
        <f t="shared" si="0"/>
        <v>0</v>
      </c>
      <c r="U7" s="26">
        <f t="shared" si="0"/>
        <v>22.787591069330201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1101.2044653349001</v>
      </c>
      <c r="I8" s="27">
        <v>0</v>
      </c>
      <c r="J8" s="26">
        <f>IFERROR(H8-I8,"")</f>
        <v>1101.2044653349001</v>
      </c>
      <c r="K8" s="26">
        <f>IFERROR(($E$26/($H$27+$H$28)*$H$28)*R28,"")</f>
        <v>7.7084312573443006</v>
      </c>
      <c r="L8" s="26">
        <f>IFERROR(($E$26/($H$27+$H$28)*$H$28)*S28,"")</f>
        <v>3.3036133960047005</v>
      </c>
      <c r="M8" s="28">
        <f>IFERROR(K8+L8,"")</f>
        <v>11.012044653349001</v>
      </c>
      <c r="N8" s="29">
        <f>IFERROR(O8+P8+Q8+R8+S8+T8+U8+V8,"")</f>
        <v>1090.1924206815511</v>
      </c>
      <c r="O8" s="26">
        <f t="shared" ref="O8:V8" si="1">IFERROR(($E$26/($H$27+$H$28)*$H$28)*J28,"")</f>
        <v>112.3228554641598</v>
      </c>
      <c r="P8" s="26">
        <f t="shared" si="1"/>
        <v>390.92758519388951</v>
      </c>
      <c r="Q8" s="26">
        <f t="shared" si="1"/>
        <v>536.28657461809632</v>
      </c>
      <c r="R8" s="26">
        <f t="shared" si="1"/>
        <v>47.351792009400697</v>
      </c>
      <c r="S8" s="26">
        <f t="shared" si="1"/>
        <v>1.1012044653349</v>
      </c>
      <c r="T8" s="26">
        <f t="shared" si="1"/>
        <v>0</v>
      </c>
      <c r="U8" s="26">
        <f t="shared" si="1"/>
        <v>2.2024089306698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23025</v>
      </c>
      <c r="I10" s="27">
        <v>0</v>
      </c>
      <c r="J10" s="26">
        <f>IFERROR(H10-I10,"")</f>
        <v>23025</v>
      </c>
      <c r="K10" s="26">
        <f>IFERROR(($E$30/($H$31+$H$32)*$H$31)*R32,"")</f>
        <v>115.125</v>
      </c>
      <c r="L10" s="26">
        <f>IFERROR(($E$30/($H$31+$H$32)*$H$31)*S32,"")</f>
        <v>23.025000000000002</v>
      </c>
      <c r="M10" s="28">
        <f>IFERROR(K10+L10,"")</f>
        <v>138.15</v>
      </c>
      <c r="N10" s="29">
        <f>IFERROR(O10+P10+Q10+R10+S10+T10+U10+V10,"")</f>
        <v>22886.85</v>
      </c>
      <c r="O10" s="26">
        <f t="shared" ref="O10:V10" si="2">IFERROR(($E$30/($H$31+$H$32)*$H$31)*J32,"")</f>
        <v>805.87500000000011</v>
      </c>
      <c r="P10" s="26">
        <f t="shared" si="2"/>
        <v>6930.5249999999996</v>
      </c>
      <c r="Q10" s="26">
        <f t="shared" si="2"/>
        <v>14344.575000000001</v>
      </c>
      <c r="R10" s="26">
        <f t="shared" si="2"/>
        <v>759.82500000000005</v>
      </c>
      <c r="S10" s="26">
        <f t="shared" si="2"/>
        <v>0</v>
      </c>
      <c r="T10" s="26">
        <f t="shared" si="2"/>
        <v>0</v>
      </c>
      <c r="U10" s="26">
        <f t="shared" si="2"/>
        <v>46.050000000000004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18753.754599305867</v>
      </c>
      <c r="I13" s="27">
        <v>0</v>
      </c>
      <c r="J13" s="26">
        <f>IFERROR(H13-I13,"")</f>
        <v>18753.754599305867</v>
      </c>
      <c r="K13" s="26">
        <f>IFERROR(($E$34/($H$35+$H$36)*$H$35)*R36,"")</f>
        <v>112.5225275958352</v>
      </c>
      <c r="L13" s="26">
        <f>IFERROR(($E$34/($H$35+$H$36)*$H$35)*S36,"")</f>
        <v>56.2612637979176</v>
      </c>
      <c r="M13" s="28">
        <f>IFERROR(K13+L13,"")</f>
        <v>168.78379139375281</v>
      </c>
      <c r="N13" s="29">
        <f>IFERROR(O13+P13+Q13+R13+S13+T13+U13+V13,"")</f>
        <v>18584.970807912116</v>
      </c>
      <c r="O13" s="26">
        <f t="shared" ref="O13:V13" si="4">IFERROR(($E$34/($H$35+$H$36)*$H$35)*J36,"")</f>
        <v>1125.2252759583519</v>
      </c>
      <c r="P13" s="26">
        <f t="shared" si="4"/>
        <v>6226.2465269695476</v>
      </c>
      <c r="Q13" s="26">
        <f t="shared" si="4"/>
        <v>10539.610084809898</v>
      </c>
      <c r="R13" s="26">
        <f t="shared" si="4"/>
        <v>637.6276563763995</v>
      </c>
      <c r="S13" s="26">
        <f t="shared" si="4"/>
        <v>0</v>
      </c>
      <c r="T13" s="26">
        <f t="shared" si="4"/>
        <v>0</v>
      </c>
      <c r="U13" s="26">
        <f t="shared" si="4"/>
        <v>56.2612637979176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2141.2454006941371</v>
      </c>
      <c r="I14" s="27">
        <v>0</v>
      </c>
      <c r="J14" s="26">
        <f>IFERROR(H14-I14,"")</f>
        <v>2141.2454006941371</v>
      </c>
      <c r="K14" s="26">
        <f>IFERROR(($E$34/($H$35+$H$36)*$H$36)*R36,"")</f>
        <v>12.847472404164821</v>
      </c>
      <c r="L14" s="26">
        <f>IFERROR(($E$34/($H$35+$H$36)*$H$36)*S36,"")</f>
        <v>6.4237362020824103</v>
      </c>
      <c r="M14" s="28">
        <f>IFERROR(K14+L14,"")</f>
        <v>19.271208606247232</v>
      </c>
      <c r="N14" s="29">
        <f>IFERROR(O14+P14+Q14+R14+S14+T14+U14+V14,"")</f>
        <v>2121.9741920878896</v>
      </c>
      <c r="O14" s="26">
        <f t="shared" ref="O14:V14" si="5">IFERROR(($E$34/($H$35+$H$36)*$H$36)*J36,"")</f>
        <v>128.47472404164819</v>
      </c>
      <c r="P14" s="26">
        <f t="shared" si="5"/>
        <v>710.89347303045338</v>
      </c>
      <c r="Q14" s="26">
        <f t="shared" si="5"/>
        <v>1203.3799151901048</v>
      </c>
      <c r="R14" s="26">
        <f t="shared" si="5"/>
        <v>72.802343623600649</v>
      </c>
      <c r="S14" s="26">
        <f t="shared" si="5"/>
        <v>0</v>
      </c>
      <c r="T14" s="26">
        <f t="shared" si="5"/>
        <v>0</v>
      </c>
      <c r="U14" s="26">
        <f t="shared" si="5"/>
        <v>6.4237362020824103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11640.000000000002</v>
      </c>
      <c r="I16" s="27">
        <v>0</v>
      </c>
      <c r="J16" s="26">
        <f>IFERROR(H16-I16,"")</f>
        <v>11640.000000000002</v>
      </c>
      <c r="K16" s="26">
        <f>IFERROR(($E$38/($H$39)*$H$39)*R40,"")</f>
        <v>69.84</v>
      </c>
      <c r="L16" s="26">
        <f>IFERROR(($E$38/($H$39)*$H$39)*S40,"")</f>
        <v>11.64</v>
      </c>
      <c r="M16" s="28">
        <f>IFERROR(K16+L16,"")</f>
        <v>81.48</v>
      </c>
      <c r="N16" s="29">
        <f>IFERROR(O16+P16+Q16+R16+S16+T16+U16+V16,"")</f>
        <v>11558.520000000002</v>
      </c>
      <c r="O16" s="26">
        <f t="shared" ref="O16:V16" si="6">IFERROR(($E$38/($H$39)*$H$39)*J40,"")</f>
        <v>291</v>
      </c>
      <c r="P16" s="26">
        <f t="shared" si="6"/>
        <v>3014.76</v>
      </c>
      <c r="Q16" s="26">
        <f t="shared" si="6"/>
        <v>7787.1600000000008</v>
      </c>
      <c r="R16" s="26">
        <f t="shared" si="6"/>
        <v>442.32</v>
      </c>
      <c r="S16" s="26">
        <f t="shared" si="6"/>
        <v>0</v>
      </c>
      <c r="T16" s="26">
        <f t="shared" si="6"/>
        <v>0</v>
      </c>
      <c r="U16" s="26">
        <f t="shared" si="6"/>
        <v>23.28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68055</v>
      </c>
      <c r="I19" s="37">
        <f t="shared" si="7"/>
        <v>0</v>
      </c>
      <c r="J19" s="37">
        <f t="shared" si="7"/>
        <v>68055</v>
      </c>
      <c r="K19" s="37">
        <f t="shared" si="7"/>
        <v>397.80000000000007</v>
      </c>
      <c r="L19" s="37">
        <f t="shared" si="7"/>
        <v>134.83500000000004</v>
      </c>
      <c r="M19" s="37">
        <f t="shared" si="7"/>
        <v>532.6350000000001</v>
      </c>
      <c r="N19" s="37">
        <f t="shared" si="7"/>
        <v>67522.365000000005</v>
      </c>
      <c r="O19" s="37">
        <f t="shared" si="7"/>
        <v>3625.0650000000005</v>
      </c>
      <c r="P19" s="37">
        <f t="shared" si="7"/>
        <v>21318.15</v>
      </c>
      <c r="Q19" s="37">
        <f t="shared" si="7"/>
        <v>39959.79</v>
      </c>
      <c r="R19" s="37">
        <f t="shared" si="7"/>
        <v>2449.86</v>
      </c>
      <c r="S19" s="37">
        <f t="shared" si="7"/>
        <v>12.495000000000001</v>
      </c>
      <c r="T19" s="37">
        <f t="shared" si="7"/>
        <v>0</v>
      </c>
      <c r="U19" s="37">
        <f t="shared" si="7"/>
        <v>157.00500000000002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68055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12495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20176</v>
      </c>
      <c r="I27" s="30"/>
      <c r="J27" s="198">
        <f>$E$26*J28</f>
        <v>1274.49</v>
      </c>
      <c r="K27" s="198">
        <f t="shared" ref="K27:S27" si="8">$E$26*K28</f>
        <v>4435.7249999999995</v>
      </c>
      <c r="L27" s="198">
        <f t="shared" si="8"/>
        <v>6085.0649999999996</v>
      </c>
      <c r="M27" s="198">
        <f t="shared" si="8"/>
        <v>537.28499999999997</v>
      </c>
      <c r="N27" s="198">
        <f t="shared" si="8"/>
        <v>12.495000000000001</v>
      </c>
      <c r="O27" s="198">
        <f t="shared" si="8"/>
        <v>0</v>
      </c>
      <c r="P27" s="198">
        <f t="shared" si="8"/>
        <v>24.990000000000002</v>
      </c>
      <c r="Q27" s="198">
        <f t="shared" si="8"/>
        <v>0</v>
      </c>
      <c r="R27" s="198">
        <f t="shared" si="8"/>
        <v>87.465000000000003</v>
      </c>
      <c r="S27" s="198">
        <f t="shared" si="8"/>
        <v>37.484999999999999</v>
      </c>
      <c r="T27" s="199">
        <f>SUM(J27:S27)</f>
        <v>12495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1950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23025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39001</v>
      </c>
      <c r="I31" s="26"/>
      <c r="J31" s="198">
        <f>$E30*J32</f>
        <v>805.87500000000011</v>
      </c>
      <c r="K31" s="198">
        <f t="shared" ref="K31:S31" si="9">$E30*K32</f>
        <v>6930.5249999999996</v>
      </c>
      <c r="L31" s="198">
        <f t="shared" si="9"/>
        <v>14344.575000000001</v>
      </c>
      <c r="M31" s="198">
        <f t="shared" si="9"/>
        <v>759.82500000000005</v>
      </c>
      <c r="N31" s="198">
        <f t="shared" si="9"/>
        <v>0</v>
      </c>
      <c r="O31" s="198">
        <f t="shared" si="9"/>
        <v>0</v>
      </c>
      <c r="P31" s="198">
        <f t="shared" si="9"/>
        <v>46.050000000000004</v>
      </c>
      <c r="Q31" s="198">
        <f t="shared" si="9"/>
        <v>0</v>
      </c>
      <c r="R31" s="198">
        <f t="shared" si="9"/>
        <v>115.125</v>
      </c>
      <c r="S31" s="198">
        <f t="shared" si="9"/>
        <v>23.025000000000002</v>
      </c>
      <c r="T31" s="199">
        <f>SUM(J31:S31)</f>
        <v>23025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20895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34394</v>
      </c>
      <c r="I35" s="30"/>
      <c r="J35" s="198">
        <f>$E34*J36</f>
        <v>1253.7</v>
      </c>
      <c r="K35" s="198">
        <f t="shared" ref="K35:S35" si="10">$E34*K36</f>
        <v>6937.14</v>
      </c>
      <c r="L35" s="198">
        <f t="shared" si="10"/>
        <v>11742.990000000002</v>
      </c>
      <c r="M35" s="198">
        <f t="shared" si="10"/>
        <v>710.43000000000006</v>
      </c>
      <c r="N35" s="198">
        <f t="shared" si="10"/>
        <v>0</v>
      </c>
      <c r="O35" s="198">
        <f t="shared" si="10"/>
        <v>0</v>
      </c>
      <c r="P35" s="198">
        <f t="shared" si="10"/>
        <v>62.685000000000002</v>
      </c>
      <c r="Q35" s="198">
        <f t="shared" si="10"/>
        <v>0</v>
      </c>
      <c r="R35" s="198">
        <f t="shared" si="10"/>
        <v>125.37</v>
      </c>
      <c r="S35" s="198">
        <f t="shared" si="10"/>
        <v>62.685000000000002</v>
      </c>
      <c r="T35" s="199">
        <f>SUM(J35:S35)</f>
        <v>20895.000000000004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3927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11640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18933</v>
      </c>
      <c r="I39" s="30"/>
      <c r="J39" s="198">
        <f>$E38*J40</f>
        <v>291</v>
      </c>
      <c r="K39" s="198">
        <f t="shared" ref="K39:S39" si="11">$E38*K40</f>
        <v>3014.76</v>
      </c>
      <c r="L39" s="198">
        <f t="shared" si="11"/>
        <v>7787.1600000000008</v>
      </c>
      <c r="M39" s="198">
        <f t="shared" si="11"/>
        <v>442.32</v>
      </c>
      <c r="N39" s="198">
        <f t="shared" si="11"/>
        <v>0</v>
      </c>
      <c r="O39" s="198">
        <f t="shared" si="11"/>
        <v>0</v>
      </c>
      <c r="P39" s="198">
        <f t="shared" si="11"/>
        <v>23.28</v>
      </c>
      <c r="Q39" s="198">
        <f t="shared" si="11"/>
        <v>0</v>
      </c>
      <c r="R39" s="198">
        <f t="shared" si="11"/>
        <v>69.84</v>
      </c>
      <c r="S39" s="198">
        <f t="shared" si="11"/>
        <v>11.64</v>
      </c>
      <c r="T39" s="199">
        <f>SUM(J39:S39)</f>
        <v>11640.000000000002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9" t="s">
        <v>64</v>
      </c>
      <c r="B1" s="239"/>
      <c r="C1" s="239"/>
      <c r="D1" s="239"/>
      <c r="E1" s="239"/>
      <c r="F1" s="239"/>
      <c r="G1" s="239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45704.25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0" t="s">
        <v>103</v>
      </c>
      <c r="D7" s="240"/>
      <c r="E7" s="240"/>
      <c r="F7" s="240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7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0.45699999999999996</v>
      </c>
      <c r="L15" s="133">
        <f>X15*M15</f>
        <v>0</v>
      </c>
      <c r="M15" s="184">
        <f>Inputs!B39</f>
        <v>0.48699999999999999</v>
      </c>
      <c r="N15" s="133">
        <f>X15*O15</f>
        <v>0</v>
      </c>
      <c r="O15" s="184">
        <f>Inputs!B40</f>
        <v>4.2999999999999997E-2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0.39200000000000002</v>
      </c>
      <c r="L20" s="133">
        <f t="shared" si="0"/>
        <v>0</v>
      </c>
      <c r="M20" s="184">
        <f>Inputs!D39</f>
        <v>0.56200000000000006</v>
      </c>
      <c r="N20" s="133">
        <f t="shared" si="1"/>
        <v>0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1.2E-2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107</v>
      </c>
      <c r="B30">
        <f>J26</f>
        <v>0</v>
      </c>
    </row>
    <row r="31" spans="1:30" x14ac:dyDescent="0.2">
      <c r="A31" s="3" t="s">
        <v>108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0</v>
      </c>
    </row>
    <row r="38" spans="1:13" x14ac:dyDescent="0.2">
      <c r="A38" s="3" t="s">
        <v>128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1" t="s">
        <v>63</v>
      </c>
      <c r="B1" s="241"/>
      <c r="C1" s="241"/>
      <c r="D1" s="241"/>
      <c r="E1" s="241"/>
      <c r="F1" s="241"/>
      <c r="G1" s="241"/>
      <c r="H1" s="241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20176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39001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34394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3927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18933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7" sqref="N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2" t="s">
        <v>142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3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</row>
    <row r="7" spans="1:16" x14ac:dyDescent="0.25">
      <c r="A7" s="148">
        <v>1</v>
      </c>
      <c r="B7" s="189">
        <f>Inputs!C$2</f>
        <v>7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IF(D7=Inputs!F$2,Inputs!I$2,IF(D7=Inputs!F$3,Inputs!I$3,IF(D7=Inputs!F$4,Inputs!I$4,IF(D7=Inputs!F$5,Inputs!I$5,"NA"))))</f>
        <v>NA</v>
      </c>
    </row>
    <row r="8" spans="1:16" x14ac:dyDescent="0.25">
      <c r="A8" s="148">
        <v>2</v>
      </c>
      <c r="B8" s="189">
        <f>Inputs!C$2</f>
        <v>7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IF(D8=Inputs!F$2,Inputs!I$2,IF(D8=Inputs!F$3,Inputs!I$3,IF(D8=Inputs!F$4,Inputs!I$4,IF(D8=Inputs!F$5,Inputs!I$5,"NA"))))</f>
        <v>NA</v>
      </c>
    </row>
    <row r="9" spans="1:16" x14ac:dyDescent="0.25">
      <c r="A9" s="148">
        <v>3</v>
      </c>
      <c r="B9" s="189">
        <f>Inputs!C$2</f>
        <v>7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IF(D9=Inputs!F$2,Inputs!I$2,IF(D9=Inputs!F$3,Inputs!I$3,IF(D9=Inputs!F$4,Inputs!I$4,IF(D9=Inputs!F$5,Inputs!I$5,"NA"))))</f>
        <v>NA</v>
      </c>
    </row>
    <row r="10" spans="1:16" x14ac:dyDescent="0.25">
      <c r="A10" s="148">
        <v>4</v>
      </c>
      <c r="B10" s="189">
        <f>Inputs!C$2</f>
        <v>7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IF(D10=Inputs!F$2,Inputs!I$2,IF(D10=Inputs!F$3,Inputs!I$3,IF(D10=Inputs!F$4,Inputs!I$4,IF(D10=Inputs!F$5,Inputs!I$5,"NA"))))</f>
        <v>NA</v>
      </c>
    </row>
    <row r="11" spans="1:16" x14ac:dyDescent="0.25">
      <c r="A11" s="148">
        <v>5</v>
      </c>
      <c r="B11" s="189">
        <f>Inputs!C$2</f>
        <v>7</v>
      </c>
      <c r="C11" s="151"/>
      <c r="D11" s="188"/>
      <c r="E11" s="148">
        <v>60</v>
      </c>
      <c r="F11" s="188"/>
      <c r="G11" s="188"/>
      <c r="H11" s="191"/>
      <c r="I11" s="210" t="str">
        <f t="shared" si="0"/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IF(D11=Inputs!F$2,Inputs!I$2,IF(D11=Inputs!F$3,Inputs!I$3,IF(D11=Inputs!F$4,Inputs!I$4,IF(D11=Inputs!F$5,Inputs!I$5,"NA"))))</f>
        <v>NA</v>
      </c>
    </row>
    <row r="12" spans="1:16" x14ac:dyDescent="0.25">
      <c r="A12" s="148">
        <v>6</v>
      </c>
      <c r="B12" s="189">
        <f>Inputs!C$2</f>
        <v>7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IF(D12=Inputs!F$2,Inputs!I$2,IF(D12=Inputs!F$3,Inputs!I$3,IF(D12=Inputs!F$4,Inputs!I$4,IF(D12=Inputs!F$5,Inputs!I$5,"NA"))))</f>
        <v>NA</v>
      </c>
    </row>
    <row r="13" spans="1:16" x14ac:dyDescent="0.25">
      <c r="A13" s="148">
        <v>7</v>
      </c>
      <c r="B13" s="189">
        <f>Inputs!C$2</f>
        <v>7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IF(D13=Inputs!F$2,Inputs!I$2,IF(D13=Inputs!F$3,Inputs!I$3,IF(D13=Inputs!F$4,Inputs!I$4,IF(D13=Inputs!F$5,Inputs!I$5,"NA"))))</f>
        <v>NA</v>
      </c>
    </row>
    <row r="14" spans="1:16" x14ac:dyDescent="0.25">
      <c r="A14" s="148">
        <v>8</v>
      </c>
      <c r="B14" s="189">
        <f>Inputs!C$2</f>
        <v>7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IF(D14=Inputs!F$2,Inputs!I$2,IF(D14=Inputs!F$3,Inputs!I$3,IF(D14=Inputs!F$4,Inputs!I$4,IF(D14=Inputs!F$5,Inputs!I$5,"NA"))))</f>
        <v>NA</v>
      </c>
    </row>
    <row r="15" spans="1:16" x14ac:dyDescent="0.25">
      <c r="A15" s="148">
        <v>9</v>
      </c>
      <c r="B15" s="189">
        <f>Inputs!C$2</f>
        <v>7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7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7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7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7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7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7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7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7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7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7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7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7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7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7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7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7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7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7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7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7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7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7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7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7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7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7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7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7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7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7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7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7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7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7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7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7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7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7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7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7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7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7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7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7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7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7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7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7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7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7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7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7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7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7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7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7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7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7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7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7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7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7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7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7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7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7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7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4" sqref="J14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7</v>
      </c>
      <c r="F2" s="166" t="s">
        <v>183</v>
      </c>
      <c r="G2" s="186">
        <v>45264</v>
      </c>
      <c r="I2" s="205">
        <f>(C$3-G2)/7</f>
        <v>62.892857142857146</v>
      </c>
      <c r="J2" s="230">
        <f>I2-19</f>
        <v>43.892857142857146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5">
        <f>C2*7+(C1-1900)*365.25-1</f>
        <v>45704.25</v>
      </c>
      <c r="D3" s="246"/>
      <c r="F3" s="166" t="s">
        <v>7</v>
      </c>
      <c r="G3" s="186">
        <v>45390</v>
      </c>
      <c r="I3" s="205">
        <f>(C$3-G3)/7</f>
        <v>44.892857142857146</v>
      </c>
      <c r="J3" s="230">
        <f>I3-19</f>
        <v>25.892857142857146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70.892857142857139</v>
      </c>
      <c r="J4" s="230">
        <f>I4-19</f>
        <v>51.892857142857139</v>
      </c>
    </row>
    <row r="5" spans="1:12" x14ac:dyDescent="0.2">
      <c r="A5" s="166" t="s">
        <v>223</v>
      </c>
      <c r="B5" s="247" t="s">
        <v>236</v>
      </c>
      <c r="C5" s="247"/>
      <c r="F5" s="166" t="s">
        <v>5</v>
      </c>
      <c r="G5" s="186">
        <v>45449</v>
      </c>
      <c r="I5" s="205">
        <f>(C$3-G5)/7</f>
        <v>36.464285714285715</v>
      </c>
      <c r="J5" s="230">
        <f>I5-19</f>
        <v>17.464285714285715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98</v>
      </c>
      <c r="C10" s="168">
        <v>10</v>
      </c>
      <c r="E10" s="139">
        <v>3</v>
      </c>
      <c r="F10" s="168">
        <v>110</v>
      </c>
      <c r="G10" s="168">
        <v>14</v>
      </c>
    </row>
    <row r="11" spans="1:12" x14ac:dyDescent="0.2">
      <c r="A11" s="139">
        <v>6</v>
      </c>
      <c r="B11" s="168">
        <v>212</v>
      </c>
      <c r="C11" s="165"/>
      <c r="E11" s="139">
        <v>6</v>
      </c>
      <c r="F11" s="168">
        <v>223</v>
      </c>
      <c r="G11" s="165"/>
    </row>
    <row r="12" spans="1:12" x14ac:dyDescent="0.2">
      <c r="A12" s="139">
        <v>7</v>
      </c>
      <c r="B12" s="168">
        <v>170</v>
      </c>
      <c r="C12" s="168">
        <v>18</v>
      </c>
      <c r="E12" s="139">
        <v>7</v>
      </c>
      <c r="F12" s="168">
        <v>184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11</v>
      </c>
      <c r="E16" s="139">
        <v>3</v>
      </c>
      <c r="F16" s="168">
        <v>108</v>
      </c>
      <c r="G16" s="168">
        <v>15</v>
      </c>
    </row>
    <row r="17" spans="1:11" x14ac:dyDescent="0.2">
      <c r="A17" s="139">
        <v>6</v>
      </c>
      <c r="B17" s="168">
        <v>225</v>
      </c>
      <c r="C17" s="165"/>
      <c r="E17" s="139">
        <v>6</v>
      </c>
      <c r="F17" s="168">
        <v>215</v>
      </c>
      <c r="G17" s="165"/>
    </row>
    <row r="18" spans="1:11" x14ac:dyDescent="0.2">
      <c r="A18" s="139">
        <v>7</v>
      </c>
      <c r="B18" s="168">
        <v>192</v>
      </c>
      <c r="C18" s="168">
        <v>20</v>
      </c>
      <c r="E18" s="139">
        <v>7</v>
      </c>
      <c r="F18" s="168">
        <v>160</v>
      </c>
      <c r="G18" s="168">
        <v>22</v>
      </c>
    </row>
    <row r="19" spans="1:11" x14ac:dyDescent="0.2">
      <c r="A19" s="139">
        <v>11</v>
      </c>
      <c r="B19" s="168">
        <v>111</v>
      </c>
      <c r="C19" s="165"/>
      <c r="E19" s="139">
        <v>11</v>
      </c>
      <c r="F19" s="168">
        <v>114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108</v>
      </c>
      <c r="C23" s="168">
        <v>11</v>
      </c>
      <c r="E23" s="139">
        <v>3</v>
      </c>
      <c r="F23" s="168">
        <v>110</v>
      </c>
      <c r="G23" s="168">
        <v>11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222</v>
      </c>
      <c r="G24" s="165"/>
    </row>
    <row r="25" spans="1:11" x14ac:dyDescent="0.2">
      <c r="A25" s="139">
        <v>7</v>
      </c>
      <c r="B25" s="168">
        <v>183</v>
      </c>
      <c r="C25" s="168">
        <v>20</v>
      </c>
      <c r="E25" s="139">
        <v>7</v>
      </c>
      <c r="F25" s="168">
        <v>176</v>
      </c>
      <c r="G25" s="168">
        <v>20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107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10</v>
      </c>
      <c r="E29" s="139">
        <v>3</v>
      </c>
      <c r="F29" s="203">
        <f t="shared" ref="F29:G32" si="0">B10+F10+B16+F16+B23+F23+B29</f>
        <v>751</v>
      </c>
      <c r="G29" s="203">
        <f t="shared" si="0"/>
        <v>82</v>
      </c>
      <c r="I29" s="139">
        <v>3</v>
      </c>
      <c r="J29" s="203">
        <f t="shared" ref="J29:K31" si="1">F29*15</f>
        <v>11265</v>
      </c>
      <c r="K29" s="203">
        <f t="shared" si="1"/>
        <v>1230</v>
      </c>
    </row>
    <row r="30" spans="1:11" x14ac:dyDescent="0.2">
      <c r="A30" s="139">
        <v>6</v>
      </c>
      <c r="B30" s="168">
        <v>218</v>
      </c>
      <c r="C30" s="165"/>
      <c r="E30" s="139">
        <v>6</v>
      </c>
      <c r="F30" s="203">
        <f t="shared" si="0"/>
        <v>1535</v>
      </c>
      <c r="G30" s="204">
        <f t="shared" si="0"/>
        <v>0</v>
      </c>
      <c r="I30" s="139">
        <v>6</v>
      </c>
      <c r="J30" s="203">
        <f t="shared" si="1"/>
        <v>23025</v>
      </c>
      <c r="K30" s="204">
        <f t="shared" si="1"/>
        <v>0</v>
      </c>
    </row>
    <row r="31" spans="1:11" x14ac:dyDescent="0.2">
      <c r="A31" s="139">
        <v>7</v>
      </c>
      <c r="B31" s="168">
        <v>186</v>
      </c>
      <c r="C31" s="168">
        <v>20</v>
      </c>
      <c r="E31" s="139">
        <v>7</v>
      </c>
      <c r="F31" s="203">
        <f t="shared" si="0"/>
        <v>1251</v>
      </c>
      <c r="G31" s="203">
        <f t="shared" si="0"/>
        <v>142</v>
      </c>
      <c r="I31" s="139">
        <v>7</v>
      </c>
      <c r="J31" s="203">
        <f t="shared" si="1"/>
        <v>18765</v>
      </c>
      <c r="K31" s="203">
        <f t="shared" si="1"/>
        <v>2130</v>
      </c>
    </row>
    <row r="32" spans="1:11" x14ac:dyDescent="0.2">
      <c r="A32" s="139">
        <v>11</v>
      </c>
      <c r="B32" s="168">
        <v>116</v>
      </c>
      <c r="C32" s="165"/>
      <c r="E32" s="139">
        <v>11</v>
      </c>
      <c r="F32" s="203">
        <f t="shared" si="0"/>
        <v>776</v>
      </c>
      <c r="G32" s="204">
        <f t="shared" si="0"/>
        <v>0</v>
      </c>
      <c r="I32" s="139">
        <v>11</v>
      </c>
      <c r="J32" s="203">
        <f>F32*15</f>
        <v>11640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4" t="s">
        <v>224</v>
      </c>
      <c r="H35" s="244"/>
      <c r="I35" s="225">
        <v>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4" t="s">
        <v>225</v>
      </c>
      <c r="H36" s="244"/>
      <c r="I36" s="225">
        <v>0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4" t="s">
        <v>226</v>
      </c>
      <c r="H37" s="244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4" t="s">
        <v>227</v>
      </c>
      <c r="H38" s="244"/>
      <c r="I38" s="225">
        <v>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4" t="s">
        <v>228</v>
      </c>
      <c r="H39" s="244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4" t="s">
        <v>229</v>
      </c>
      <c r="H40" s="244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4" t="s">
        <v>231</v>
      </c>
      <c r="H41" s="244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12495</v>
      </c>
      <c r="C45" s="231">
        <f>J30</f>
        <v>23025</v>
      </c>
      <c r="D45" s="231">
        <f>J31</f>
        <v>18765</v>
      </c>
      <c r="E45" s="231">
        <f>J32</f>
        <v>11640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2025-03-06T17:37:43Z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