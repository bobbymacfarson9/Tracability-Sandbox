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178AC05-389A-4B42-B7FA-E51FE1793A4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9" i="6"/>
  <c r="I14" i="6"/>
  <c r="I16" i="6"/>
  <c r="I17" i="6"/>
  <c r="I18" i="6"/>
  <c r="I19" i="6"/>
  <c r="I20" i="6"/>
  <c r="I21" i="6"/>
  <c r="I22" i="6"/>
  <c r="I23" i="6"/>
  <c r="L23" i="6" s="1"/>
  <c r="I7" i="6"/>
  <c r="L7" i="6" s="1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9" i="6"/>
  <c r="L14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J11" i="6"/>
  <c r="I11" i="6" s="1"/>
  <c r="L11" i="6" s="1"/>
  <c r="J12" i="6"/>
  <c r="I12" i="6" s="1"/>
  <c r="L12" i="6" s="1"/>
  <c r="J13" i="6"/>
  <c r="I13" i="6" s="1"/>
  <c r="L13" i="6" s="1"/>
  <c r="J14" i="6"/>
  <c r="J15" i="6"/>
  <c r="I15" i="6" s="1"/>
  <c r="J16" i="6"/>
  <c r="J17" i="6"/>
  <c r="J18" i="6"/>
  <c r="L18" i="6" s="1"/>
  <c r="J19" i="6"/>
  <c r="J20" i="6"/>
  <c r="J21" i="6"/>
  <c r="J22" i="6"/>
  <c r="J23" i="6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8" i="6" l="1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<sst xmlns="http://schemas.openxmlformats.org/spreadsheetml/2006/main" count="543" uniqueCount="238">
  <si>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</si>
  <si>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</si>
  <si>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</si>
  <si>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</si>
  <si>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</si>
  <si>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</si>
  <si>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</si>
  <si>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</si>
  <si>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</si>
  <si>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</si>
  <si>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</si>
  <si>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</si>
  <si>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</si>
  <si>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</si>
  <si>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</si>
  <si>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</si>
  <si>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</si>
  <si>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</si>
  <si>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</si>
  <si>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</si>
  <si>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</si>
  <si>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</si>
  <si>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</si>
  <si>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</si>
  <si>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</si>
  <si>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</si>
  <si>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</si>
  <si>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</si>
  <si>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</si>
  <si>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</si>
  <si>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</si>
  <si>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</si>
  <si>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</si>
  <si>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</si>
  <si>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</si>
  <si>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</si>
  <si>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</si>
  <si>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</si>
  <si>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</si>
  <si>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</si>
  <si>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</si>
  <si>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</si>
  <si>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</si>
  <si>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</si>
  <si>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</si>
  <si>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</si>
  <si>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</si>
  <si>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</si>
  <si>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</si>
  <si>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</si>
  <si>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</si>
  <si>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</si>
  <si>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</si>
  <si>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</si>
  <si>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</si>
  <si>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</si>
  <si>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</si>
  <si>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</si>
  <si>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</si>
  <si>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</si>
  <si>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</si>
  <si>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</si>
  <si>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</si>
  <si>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</si>
  <si>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</si>
  <si>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</si>
  <si>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</si>
  <si>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</si>
  <si>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</si>
  <si>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</si>
  <si>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</si>
  <si>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</si>
  <si>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</si>
  <si>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</si>
  <si>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</si>
  <si>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</si>
  <si>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</si>
  <si>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</si>
  <si>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</si>
  <si>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</si>
  <si>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</si>
  <si>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</si>
  <si>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</si>
  <si>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</si>
  <si>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</si>
  <si>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</si>
  <si>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</si>
  <si>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</si>
  <si>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</si>
  <si>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</si>
  <si>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</si>
  <si>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</si>
  <si>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</si>
  <si>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</si>
  <si>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</si>
  <si>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</si>
  <si>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</si>
  <si>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</si>
  <si>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</si>
  <si>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</si>
  <si>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</si>
  <si>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</si>
  <si>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</si>
  <si>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</si>
  <si>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</si>
  <si>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</si>
  <si>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</si>
  <si>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</si>
  <si>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</si>
  <si>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</si>
  <si>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</si>
  <si>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</si>
  <si>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</si>
  <si>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</si>
  <si>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</si>
  <si>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</si>
  <si>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</si>
  <si>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</si>
  <si>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</si>
  <si>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</si>
  <si>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</si>
  <si>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</si>
  <si>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</si>
  <si>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</si>
  <si>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</si>
  <si>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</si>
  <si>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</si>
  <si>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</si>
  <si>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</si>
  <si>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</si>
  <si>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</si>
  <si>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</si>
  <si>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</si>
  <si>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</si>
  <si>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</si>
  <si>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</si>
  <si>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</si>
  <si>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</si>
  <si>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</si>
  <si>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</si>
  <si>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</si>
  <si>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</si>
  <si>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</si>
  <si>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</si>
  <si>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</si>
  <si>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</si>
  <si>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</si>
  <si>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</si>
  <si>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</si>
  <si>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</si>
  <si>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</si>
  <si>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</si>
  <si>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</si>
  <si>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</si>
  <si>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</si>
  <si>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</si>
  <si>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</si>
  <si>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</si>
  <si>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</si>
  <si>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</si>
  <si>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</si>
  <si>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</si>
  <si>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</si>
  <si>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</si>
  <si>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</si>
  <si>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</si>
  <si>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</si>
  <si>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</si>
  <si>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</si>
  <si>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</si>
  <si>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</si>
  <si>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</si>
  <si>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</si>
  <si>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</si>
  <si>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</si>
  <si>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</si>
  <si>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</si>
  <si>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</si>
  <si>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</si>
  <si>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</si>
  <si>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</si>
  <si>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</si>
  <si>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</si>
  <si>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</si>
  <si>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</si>
  <si>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</si>
  <si>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</si>
  <si>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</si>
  <si>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</si>
  <si>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</si>
  <si>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</si>
  <si>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</si>
  <si>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</si>
  <si>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</si>
  <si>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</si>
  <si>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</si>
  <si>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</si>
  <si>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</si>
  <si>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</si>
  <si>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</si>
  <si>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</si>
  <si>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</si>
  <si>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</si>
  <si>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</si>
  <si>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</si>
  <si>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</si>
  <si>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</si>
  <si>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</si>
  <si>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</si>
  <si>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</si>
  <si>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</si>
  <si>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</si>
  <si>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</si>
  <si>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</si>
  <si>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</si>
  <si>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</si>
  <si>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</si>
  <si>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</si>
  <si>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</si>
  <si>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</si>
  <si>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</si>
  <si>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</si>
  <si>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</si>
  <si>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</si>
  <si>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</si>
  <si>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</si>
  <si>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</si>
  <si>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</si>
  <si>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</si>
  <si>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</si>
  <si>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</si>
  <si>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</si>
  <si>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</si>
  <si>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</si>
  <si>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</si>
  <si>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</si>
  <si>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</si>
  <si>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Jan 17/25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</si>
</sst>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3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6">
        <f>Inputs!C3</f>
        <v>45676.25</v>
      </c>
      <c r="H2" s="23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11217.706455102778</v>
      </c>
      <c r="I7" s="27">
        <v>0</v>
      </c>
      <c r="J7" s="26">
        <f>IFERROR(H7-I7,"")</f>
        <v>11217.706455102778</v>
      </c>
      <c r="K7" s="26">
        <f>IFERROR(($E$26/($H$27+$H$28)*$H$27)*R28,"")</f>
        <v>78.523945185719441</v>
      </c>
      <c r="L7" s="26">
        <f>IFERROR(($E$26/($H$27+$H$28)*$H$27)*S28,"")</f>
        <v>33.653119365308335</v>
      </c>
      <c r="M7" s="28">
        <f>IFERROR(K7+L7,"")</f>
        <v>112.17706455102777</v>
      </c>
      <c r="N7" s="29">
        <f>IFERROR(O7+P7+Q7+R7+S7+T7+U7+V7,"")</f>
        <v>11105.52939055175</v>
      </c>
      <c r="O7" s="26">
        <f t="shared" ref="O7:V7" si="0">IFERROR(($E$26/($H$27+$H$28)*$H$27)*J28,"")</f>
        <v>1144.2060584204833</v>
      </c>
      <c r="P7" s="26">
        <f>IFERROR(($E$26/($H$27+$H$28)*$H$27)*K28,"")</f>
        <v>3982.2857915614859</v>
      </c>
      <c r="Q7" s="26">
        <f t="shared" si="0"/>
        <v>5463.023043635053</v>
      </c>
      <c r="R7" s="26">
        <f t="shared" si="0"/>
        <v>482.3613775694194</v>
      </c>
      <c r="S7" s="26">
        <f t="shared" si="0"/>
        <v>11.217706455102778</v>
      </c>
      <c r="T7" s="26">
        <f t="shared" si="0"/>
        <v>0</v>
      </c>
      <c r="U7" s="26">
        <f t="shared" si="0"/>
        <v>22.435412910205557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1082.2935448972232</v>
      </c>
      <c r="I8" s="27">
        <v>0</v>
      </c>
      <c r="J8" s="26">
        <f>IFERROR(H8-I8,"")</f>
        <v>1082.2935448972232</v>
      </c>
      <c r="K8" s="26">
        <f>IFERROR(($E$26/($H$27+$H$28)*$H$28)*R28,"")</f>
        <v>7.576054814280563</v>
      </c>
      <c r="L8" s="26">
        <f>IFERROR(($E$26/($H$27+$H$28)*$H$28)*S28,"")</f>
        <v>3.2468806346916699</v>
      </c>
      <c r="M8" s="28">
        <f>IFERROR(K8+L8,"")</f>
        <v>10.822935448972233</v>
      </c>
      <c r="N8" s="29">
        <f>IFERROR(O8+P8+Q8+R8+S8+T8+U8+V8,"")</f>
        <v>1071.470609448251</v>
      </c>
      <c r="O8" s="26">
        <f t="shared" ref="O8:V8" si="1">IFERROR(($E$26/($H$27+$H$28)*$H$28)*J28,"")</f>
        <v>110.39394157951676</v>
      </c>
      <c r="P8" s="26">
        <f t="shared" si="1"/>
        <v>384.21420843851422</v>
      </c>
      <c r="Q8" s="26">
        <f t="shared" si="1"/>
        <v>527.0769563649477</v>
      </c>
      <c r="R8" s="26">
        <f t="shared" si="1"/>
        <v>46.538622430580595</v>
      </c>
      <c r="S8" s="26">
        <f t="shared" si="1"/>
        <v>1.0822935448972233</v>
      </c>
      <c r="T8" s="26">
        <f t="shared" si="1"/>
        <v>0</v>
      </c>
      <c r="U8" s="26">
        <f t="shared" si="1"/>
        <v>2.1645870897944466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21660</v>
      </c>
      <c r="I10" s="27">
        <v>0</v>
      </c>
      <c r="J10" s="26">
        <f>IFERROR(H10-I10,"")</f>
        <v>21660</v>
      </c>
      <c r="K10" s="26">
        <f>IFERROR(($E$30/($H$31+$H$32)*$H$31)*R32,"")</f>
        <v>129.96</v>
      </c>
      <c r="L10" s="26">
        <f>IFERROR(($E$30/($H$31+$H$32)*$H$31)*S32,"")</f>
        <v>21.66</v>
      </c>
      <c r="M10" s="28">
        <f>IFERROR(K10+L10,"")</f>
        <v>151.62</v>
      </c>
      <c r="N10" s="29">
        <f>IFERROR(O10+P10+Q10+R10+S10+T10+U10+V10,"")</f>
        <v>21508.38</v>
      </c>
      <c r="O10" s="26">
        <f t="shared" ref="O10:V10" si="2">IFERROR(($E$30/($H$31+$H$32)*$H$31)*J32,"")</f>
        <v>758.1</v>
      </c>
      <c r="P10" s="26">
        <f t="shared" si="2"/>
        <v>6238.08</v>
      </c>
      <c r="Q10" s="26">
        <f t="shared" si="2"/>
        <v>13602.48</v>
      </c>
      <c r="R10" s="26">
        <f t="shared" si="2"/>
        <v>866.4</v>
      </c>
      <c r="S10" s="26">
        <f t="shared" si="2"/>
        <v>0</v>
      </c>
      <c r="T10" s="26">
        <f t="shared" si="2"/>
        <v>0</v>
      </c>
      <c r="U10" s="26">
        <f t="shared" si="2"/>
        <v>43.32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18631.089010249507</v>
      </c>
      <c r="I13" s="27">
        <v>0</v>
      </c>
      <c r="J13" s="26">
        <f>IFERROR(H13-I13,"")</f>
        <v>18631.089010249507</v>
      </c>
      <c r="K13" s="26">
        <f>IFERROR(($E$34/($H$35+$H$36)*$H$35)*R36,"")</f>
        <v>111.78653406149704</v>
      </c>
      <c r="L13" s="26">
        <f>IFERROR(($E$34/($H$35+$H$36)*$H$35)*S36,"")</f>
        <v>37.262178020499015</v>
      </c>
      <c r="M13" s="28">
        <f>IFERROR(K13+L13,"")</f>
        <v>149.04871208199606</v>
      </c>
      <c r="N13" s="29">
        <f>IFERROR(O13+P13+Q13+R13+S13+T13+U13+V13,"")</f>
        <v>18482.040298167511</v>
      </c>
      <c r="O13" s="26">
        <f t="shared" ref="O13:V13" si="4">IFERROR(($E$34/($H$35+$H$36)*$H$35)*J36,"")</f>
        <v>763.87464942022984</v>
      </c>
      <c r="P13" s="26">
        <f t="shared" si="4"/>
        <v>5347.1225459416082</v>
      </c>
      <c r="Q13" s="26">
        <f t="shared" si="4"/>
        <v>11439.488652293197</v>
      </c>
      <c r="R13" s="26">
        <f t="shared" si="4"/>
        <v>875.66118348172677</v>
      </c>
      <c r="S13" s="26">
        <f t="shared" si="4"/>
        <v>0</v>
      </c>
      <c r="T13" s="26">
        <f t="shared" si="4"/>
        <v>0</v>
      </c>
      <c r="U13" s="26">
        <f t="shared" si="4"/>
        <v>55.893267030748518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2113.9109897504918</v>
      </c>
      <c r="I14" s="27">
        <v>0</v>
      </c>
      <c r="J14" s="26">
        <f>IFERROR(H14-I14,"")</f>
        <v>2113.9109897504918</v>
      </c>
      <c r="K14" s="26">
        <f>IFERROR(($E$34/($H$35+$H$36)*$H$36)*R36,"")</f>
        <v>12.683465938502952</v>
      </c>
      <c r="L14" s="26">
        <f>IFERROR(($E$34/($H$35+$H$36)*$H$36)*S36,"")</f>
        <v>4.2278219795009839</v>
      </c>
      <c r="M14" s="28">
        <f>IFERROR(K14+L14,"")</f>
        <v>16.911287918003936</v>
      </c>
      <c r="N14" s="29">
        <f>IFERROR(O14+P14+Q14+R14+S14+T14+U14+V14,"")</f>
        <v>2096.999701832488</v>
      </c>
      <c r="O14" s="26">
        <f t="shared" ref="O14:V14" si="5">IFERROR(($E$34/($H$35+$H$36)*$H$36)*J36,"")</f>
        <v>86.670350579770172</v>
      </c>
      <c r="P14" s="26">
        <f t="shared" si="5"/>
        <v>606.69245405839115</v>
      </c>
      <c r="Q14" s="26">
        <f t="shared" si="5"/>
        <v>1297.9413477068019</v>
      </c>
      <c r="R14" s="26">
        <f t="shared" si="5"/>
        <v>99.353816518273121</v>
      </c>
      <c r="S14" s="26">
        <f t="shared" si="5"/>
        <v>0</v>
      </c>
      <c r="T14" s="26">
        <f t="shared" si="5"/>
        <v>0</v>
      </c>
      <c r="U14" s="26">
        <f t="shared" si="5"/>
        <v>6.3417329692514759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11504.999999999998</v>
      </c>
      <c r="I16" s="27">
        <v>0</v>
      </c>
      <c r="J16" s="26">
        <f>IFERROR(H16-I16,"")</f>
        <v>11504.999999999998</v>
      </c>
      <c r="K16" s="26">
        <f>IFERROR(($E$38/($H$39)*$H$39)*R40,"")</f>
        <v>69.03</v>
      </c>
      <c r="L16" s="26">
        <f>IFERROR(($E$38/($H$39)*$H$39)*S40,"")</f>
        <v>11.505000000000001</v>
      </c>
      <c r="M16" s="28">
        <f>IFERROR(K16+L16,"")</f>
        <v>80.534999999999997</v>
      </c>
      <c r="N16" s="29">
        <f>IFERROR(O16+P16+Q16+R16+S16+T16+U16+V16,"")</f>
        <v>11424.464999999998</v>
      </c>
      <c r="O16" s="26">
        <f t="shared" ref="O16:V16" si="6">IFERROR(($E$38/($H$39)*$H$39)*J40,"")</f>
        <v>218.595</v>
      </c>
      <c r="P16" s="26">
        <f t="shared" si="6"/>
        <v>2692.17</v>
      </c>
      <c r="Q16" s="26">
        <f t="shared" si="6"/>
        <v>7984.4699999999993</v>
      </c>
      <c r="R16" s="26">
        <f t="shared" si="6"/>
        <v>506.21999999999997</v>
      </c>
      <c r="S16" s="26">
        <f t="shared" si="6"/>
        <v>0</v>
      </c>
      <c r="T16" s="26">
        <f t="shared" si="6"/>
        <v>0</v>
      </c>
      <c r="U16" s="26">
        <f t="shared" si="6"/>
        <v>23.01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66209.999999999985</v>
      </c>
      <c r="I19" s="37">
        <f t="shared" si="7"/>
        <v>0</v>
      </c>
      <c r="J19" s="37">
        <f t="shared" si="7"/>
        <v>66209.999999999985</v>
      </c>
      <c r="K19" s="37">
        <f t="shared" si="7"/>
        <v>409.55999999999995</v>
      </c>
      <c r="L19" s="37">
        <f t="shared" si="7"/>
        <v>111.55500000000001</v>
      </c>
      <c r="M19" s="37">
        <f t="shared" si="7"/>
        <v>521.11500000000001</v>
      </c>
      <c r="N19" s="37">
        <f t="shared" si="7"/>
        <v>65688.885000000009</v>
      </c>
      <c r="O19" s="37">
        <f t="shared" si="7"/>
        <v>3081.8399999999992</v>
      </c>
      <c r="P19" s="37">
        <f t="shared" si="7"/>
        <v>19250.564999999995</v>
      </c>
      <c r="Q19" s="37">
        <f t="shared" si="7"/>
        <v>40314.480000000003</v>
      </c>
      <c r="R19" s="37">
        <f t="shared" si="7"/>
        <v>2876.5349999999999</v>
      </c>
      <c r="S19" s="37">
        <f t="shared" si="7"/>
        <v>12.3</v>
      </c>
      <c r="T19" s="37">
        <f t="shared" si="7"/>
        <v>0</v>
      </c>
      <c r="U19" s="37">
        <f t="shared" si="7"/>
        <v>153.16499999999999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66210.000000000015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12300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20232</v>
      </c>
      <c r="I27" s="30"/>
      <c r="J27" s="198">
        <f>$E$26*J28</f>
        <v>1254.5999999999999</v>
      </c>
      <c r="K27" s="198">
        <f t="shared" ref="K27:S27" si="8">$E$26*K28</f>
        <v>4366.5</v>
      </c>
      <c r="L27" s="198">
        <f t="shared" si="8"/>
        <v>5990.0999999999995</v>
      </c>
      <c r="M27" s="198">
        <f t="shared" si="8"/>
        <v>528.9</v>
      </c>
      <c r="N27" s="198">
        <f t="shared" si="8"/>
        <v>12.3</v>
      </c>
      <c r="O27" s="198">
        <f t="shared" si="8"/>
        <v>0</v>
      </c>
      <c r="P27" s="198">
        <f t="shared" si="8"/>
        <v>24.6</v>
      </c>
      <c r="Q27" s="198">
        <f t="shared" si="8"/>
        <v>0</v>
      </c>
      <c r="R27" s="198">
        <f t="shared" si="8"/>
        <v>86.100000000000009</v>
      </c>
      <c r="S27" s="198">
        <f t="shared" si="8"/>
        <v>36.9</v>
      </c>
      <c r="T27" s="199">
        <f>SUM(J27:S27)</f>
        <v>12300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1952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21660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39048</v>
      </c>
      <c r="I31" s="26"/>
      <c r="J31" s="198">
        <f>$E30*J32</f>
        <v>758.1</v>
      </c>
      <c r="K31" s="198">
        <f t="shared" ref="K31:S31" si="9">$E30*K32</f>
        <v>6238.08</v>
      </c>
      <c r="L31" s="198">
        <f t="shared" si="9"/>
        <v>13602.48</v>
      </c>
      <c r="M31" s="198">
        <f t="shared" si="9"/>
        <v>866.4</v>
      </c>
      <c r="N31" s="198">
        <f t="shared" si="9"/>
        <v>0</v>
      </c>
      <c r="O31" s="198">
        <f t="shared" si="9"/>
        <v>0</v>
      </c>
      <c r="P31" s="198">
        <f t="shared" si="9"/>
        <v>43.32</v>
      </c>
      <c r="Q31" s="198">
        <f t="shared" si="9"/>
        <v>0</v>
      </c>
      <c r="R31" s="198">
        <f t="shared" si="9"/>
        <v>129.96</v>
      </c>
      <c r="S31" s="198">
        <f t="shared" si="9"/>
        <v>21.66</v>
      </c>
      <c r="T31" s="199">
        <f>SUM(J31:S31)</f>
        <v>21660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0.28799999999999998</v>
      </c>
      <c r="L32" s="197">
        <f>Inputs!C39</f>
        <v>0.628</v>
      </c>
      <c r="M32" s="197">
        <f>Inputs!C40</f>
        <v>0.04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20745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34699</v>
      </c>
      <c r="I35" s="30"/>
      <c r="J35" s="198">
        <f>$E34*J36</f>
        <v>850.54500000000007</v>
      </c>
      <c r="K35" s="198">
        <f t="shared" ref="K35:S35" si="10">$E34*K36</f>
        <v>5953.8149999999996</v>
      </c>
      <c r="L35" s="198">
        <f t="shared" si="10"/>
        <v>12737.43</v>
      </c>
      <c r="M35" s="198">
        <f t="shared" si="10"/>
        <v>975.01499999999999</v>
      </c>
      <c r="N35" s="198">
        <f t="shared" si="10"/>
        <v>0</v>
      </c>
      <c r="O35" s="198">
        <f t="shared" si="10"/>
        <v>0</v>
      </c>
      <c r="P35" s="198">
        <f t="shared" si="10"/>
        <v>62.234999999999999</v>
      </c>
      <c r="Q35" s="198">
        <f t="shared" si="10"/>
        <v>0</v>
      </c>
      <c r="R35" s="198">
        <f t="shared" si="10"/>
        <v>124.47</v>
      </c>
      <c r="S35" s="198">
        <f t="shared" si="10"/>
        <v>41.49</v>
      </c>
      <c r="T35" s="199">
        <f>SUM(J35:S35)</f>
        <v>20745.000000000004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3937</v>
      </c>
      <c r="I36" s="30"/>
      <c r="J36" s="197">
        <f>Inputs!D37</f>
        <v>4.1000000000000002E-2</v>
      </c>
      <c r="K36" s="197">
        <f>Inputs!D38</f>
        <v>0.28699999999999998</v>
      </c>
      <c r="L36" s="197">
        <f>Inputs!D39</f>
        <v>0.61399999999999999</v>
      </c>
      <c r="M36" s="197">
        <f>Inputs!D40</f>
        <v>4.7E-2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11505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18978</v>
      </c>
      <c r="I39" s="30"/>
      <c r="J39" s="198">
        <f>$E38*J40</f>
        <v>218.595</v>
      </c>
      <c r="K39" s="198">
        <f t="shared" ref="K39:S39" si="11">$E38*K40</f>
        <v>2692.17</v>
      </c>
      <c r="L39" s="198">
        <f t="shared" si="11"/>
        <v>7984.4699999999993</v>
      </c>
      <c r="M39" s="198">
        <f t="shared" si="11"/>
        <v>506.21999999999997</v>
      </c>
      <c r="N39" s="198">
        <f t="shared" si="11"/>
        <v>0</v>
      </c>
      <c r="O39" s="198">
        <f t="shared" si="11"/>
        <v>0</v>
      </c>
      <c r="P39" s="198">
        <f t="shared" si="11"/>
        <v>23.01</v>
      </c>
      <c r="Q39" s="198">
        <f t="shared" si="11"/>
        <v>0</v>
      </c>
      <c r="R39" s="198">
        <f t="shared" si="11"/>
        <v>69.03</v>
      </c>
      <c r="S39" s="198">
        <f t="shared" si="11"/>
        <v>11.505000000000001</v>
      </c>
      <c r="T39" s="199">
        <f>SUM(J39:S39)</f>
        <v>11504.999999999998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1.9E-2</v>
      </c>
      <c r="K40" s="197">
        <f>Inputs!E38</f>
        <v>0.23400000000000001</v>
      </c>
      <c r="L40" s="197">
        <f>Inputs!E39</f>
        <v>0.69399999999999995</v>
      </c>
      <c r="M40" s="197">
        <f>Inputs!E40</f>
        <v>4.3999999999999997E-2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45676.25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1260</v>
      </c>
      <c r="C13" s="220">
        <f>'Grade out Information'!X26</f>
        <v>18900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F28" sqref="F28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10799.999999999998</v>
      </c>
      <c r="J15" s="133">
        <f>X15*K15</f>
        <v>4935.5999999999995</v>
      </c>
      <c r="K15" s="184">
        <f>Inputs!B36</f>
        <v>0.45699999999999996</v>
      </c>
      <c r="L15" s="133">
        <f>X15*M15</f>
        <v>5259.5999999999995</v>
      </c>
      <c r="M15" s="184">
        <f>Inputs!B39</f>
        <v>0.48699999999999999</v>
      </c>
      <c r="N15" s="133">
        <f>X15*O15</f>
        <v>464.4</v>
      </c>
      <c r="O15" s="184">
        <f>Inputs!B40</f>
        <v>4.2999999999999997E-2</v>
      </c>
      <c r="P15" s="133">
        <f>X15*Q15</f>
        <v>10.8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129.6</v>
      </c>
      <c r="W15" s="185">
        <f>Inputs!B43</f>
        <v>1.2E-2</v>
      </c>
      <c r="X15" s="213">
        <f>Z15*15</f>
        <v>10800</v>
      </c>
      <c r="Y15" s="209">
        <f>K15+M15+O15+Q15+S15+U15+W15</f>
        <v>1</v>
      </c>
      <c r="Z15" s="226">
        <f>Inputs!I35</f>
        <v>720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3600</v>
      </c>
      <c r="J18" s="133">
        <f>X18*K18</f>
        <v>1162.7999999999997</v>
      </c>
      <c r="K18" s="184">
        <f>Inputs!C36</f>
        <v>0.32299999999999995</v>
      </c>
      <c r="L18" s="133">
        <f t="shared" si="0"/>
        <v>2260.8000000000002</v>
      </c>
      <c r="M18" s="184">
        <f>Inputs!C39</f>
        <v>0.628</v>
      </c>
      <c r="N18" s="133">
        <f t="shared" si="1"/>
        <v>144</v>
      </c>
      <c r="O18" s="184">
        <f>Inputs!C40</f>
        <v>0.04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32.400000000000006</v>
      </c>
      <c r="W18" s="185">
        <f>Inputs!C43</f>
        <v>9.0000000000000011E-3</v>
      </c>
      <c r="X18" s="213">
        <f t="shared" si="6"/>
        <v>3600</v>
      </c>
      <c r="Y18" s="209">
        <f>K18+M18+O18+Q18+S18+U18+W18</f>
        <v>1</v>
      </c>
      <c r="Z18" s="226">
        <f>Inputs!I37</f>
        <v>240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2699.9999999999995</v>
      </c>
      <c r="J20" s="133">
        <f>X20*K20</f>
        <v>885.59999999999991</v>
      </c>
      <c r="K20" s="184">
        <f>Inputs!D36</f>
        <v>0.32799999999999996</v>
      </c>
      <c r="L20" s="133">
        <f t="shared" si="0"/>
        <v>1657.8</v>
      </c>
      <c r="M20" s="184">
        <f>Inputs!D39</f>
        <v>0.61399999999999999</v>
      </c>
      <c r="N20" s="133">
        <f t="shared" si="1"/>
        <v>126.9</v>
      </c>
      <c r="O20" s="184">
        <f>Inputs!D40</f>
        <v>4.7E-2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29.7</v>
      </c>
      <c r="W20" s="185">
        <f>Inputs!D43</f>
        <v>1.0999999999999999E-2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899.99999999999989</v>
      </c>
      <c r="J21" s="133">
        <f>X21*K21</f>
        <v>295.2</v>
      </c>
      <c r="K21" s="184">
        <f>K20</f>
        <v>0.32799999999999996</v>
      </c>
      <c r="L21" s="133">
        <f t="shared" si="0"/>
        <v>552.6</v>
      </c>
      <c r="M21" s="184">
        <f>M20</f>
        <v>0.61399999999999999</v>
      </c>
      <c r="N21" s="133">
        <f t="shared" si="1"/>
        <v>42.3</v>
      </c>
      <c r="O21" s="184">
        <f>O20</f>
        <v>4.7E-2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9.8999999999999986</v>
      </c>
      <c r="W21" s="185">
        <f>W20</f>
        <v>1.0999999999999999E-2</v>
      </c>
      <c r="X21" s="213">
        <f t="shared" si="6"/>
        <v>900</v>
      </c>
      <c r="Y21" s="209">
        <f>K21+M21+O21+Q21+S21+U21+W21</f>
        <v>1</v>
      </c>
      <c r="Z21" s="226">
        <f>Inputs!I39</f>
        <v>60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900</v>
      </c>
      <c r="J23" s="133">
        <f>X23*K23</f>
        <v>227.7</v>
      </c>
      <c r="K23" s="184">
        <f>Inputs!E36</f>
        <v>0.253</v>
      </c>
      <c r="L23" s="133">
        <f t="shared" si="0"/>
        <v>624.59999999999991</v>
      </c>
      <c r="M23" s="184">
        <f>Inputs!E39</f>
        <v>0.69399999999999995</v>
      </c>
      <c r="N23" s="133">
        <f>X23*O23</f>
        <v>39.599999999999994</v>
      </c>
      <c r="O23" s="184">
        <f>Inputs!E40</f>
        <v>4.3999999999999997E-2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8.1000000000000014</v>
      </c>
      <c r="W23" s="218">
        <f>Inputs!E43</f>
        <v>9.0000000000000011E-3</v>
      </c>
      <c r="X23" s="213">
        <f t="shared" si="6"/>
        <v>900</v>
      </c>
      <c r="Y23" s="209">
        <f>K23+M23+O23+Q23+S23+U23+W23</f>
        <v>1</v>
      </c>
      <c r="Z23" s="226">
        <f>Inputs!I40</f>
        <v>60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7506.9</v>
      </c>
      <c r="K26" s="139"/>
      <c r="L26" s="139">
        <f>SUM(L15:L25)</f>
        <v>10355.4</v>
      </c>
      <c r="M26" s="139"/>
      <c r="N26" s="139">
        <f>SUM(N15:N25)</f>
        <v>817.19999999999993</v>
      </c>
      <c r="O26" s="139"/>
      <c r="P26" s="139">
        <f>SUM(P15:P25)</f>
        <v>10.8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209.7</v>
      </c>
      <c r="W26" s="139"/>
      <c r="X26" s="139">
        <f>SUM(X15:X25)</f>
        <v>18900</v>
      </c>
      <c r="Y26" s="139"/>
      <c r="Z26" s="139">
        <f>SUM(Z15:Z25)</f>
        <v>1260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107</v>
      </c>
      <c r="B30">
        <f>J26</f>
        <v>7506.9</v>
      </c>
    </row>
    <row r="31" spans="1:30" x14ac:dyDescent="0.2">
      <c r="A31" s="3" t="s">
        <v>108</v>
      </c>
      <c r="B31">
        <f>L26</f>
        <v>10355.4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817.19999999999993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10.8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209.7</v>
      </c>
    </row>
    <row r="38" spans="1:13" x14ac:dyDescent="0.2">
      <c r="A38" s="3" t="s">
        <v>128</v>
      </c>
      <c r="B38">
        <f>SUM(B30:B36)</f>
        <v>18900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20232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39048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34699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3937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18978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F32" sqref="F3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148">
        <v>1</v>
      </c>
      <c r="B7" s="189">
        <f>Inputs!C$2</f>
        <v>3</v>
      </c>
      <c r="C7" s="151">
        <v>389982</v>
      </c>
      <c r="D7" s="188" t="s">
        <v>7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1483</v>
      </c>
      <c r="J7" s="189">
        <f>IF(H7="NEW",203, IF(H7="OLD",192,0))</f>
        <v>203</v>
      </c>
      <c r="K7" s="151">
        <v>1686</v>
      </c>
      <c r="L7" s="211">
        <f>IF(K7&gt;0,I7/E7,"NA")</f>
        <v>24.716666666666665</v>
      </c>
      <c r="M7" s="151">
        <v>128952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40.892857142857146</v>
      </c>
    </row>
    <row r="8" spans="1:16" x14ac:dyDescent="0.25">
      <c r="A8" s="148">
        <v>2</v>
      </c>
      <c r="B8" s="189">
        <f>Inputs!C$2</f>
        <v>3</v>
      </c>
      <c r="C8" s="151">
        <v>389983</v>
      </c>
      <c r="D8" s="188" t="s">
        <v>7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1493</v>
      </c>
      <c r="J8" s="189">
        <f>IF(H8="NEW",203, IF(H8="OLD",192,0))</f>
        <v>203</v>
      </c>
      <c r="K8" s="151">
        <v>1696</v>
      </c>
      <c r="L8" s="211">
        <f>IF(K8&gt;0,I8/E8,"NA")</f>
        <v>24.883333333333333</v>
      </c>
      <c r="M8" s="151">
        <v>128952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40.892857142857146</v>
      </c>
    </row>
    <row r="9" spans="1:16" x14ac:dyDescent="0.25">
      <c r="A9" s="148">
        <v>3</v>
      </c>
      <c r="B9" s="189">
        <f>Inputs!C$2</f>
        <v>3</v>
      </c>
      <c r="C9" s="151">
        <v>389984</v>
      </c>
      <c r="D9" s="188" t="s">
        <v>7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1513</v>
      </c>
      <c r="J9" s="189">
        <f>IF(H9="NEW",203, IF(H9="OLD",192,0))</f>
        <v>203</v>
      </c>
      <c r="K9" s="151">
        <v>1716</v>
      </c>
      <c r="L9" s="211">
        <f t="shared" ref="L9:L72" si="1">IF(K9&gt;0,I9/E9,"NA")</f>
        <v>25.216666666666665</v>
      </c>
      <c r="M9" s="151">
        <v>128952</v>
      </c>
      <c r="N9" s="152" t="s">
        <v>237</v>
      </c>
      <c r="O9" s="157" t="s">
        <v>51</v>
      </c>
      <c r="P9" s="187">
        <f>IF(D9=Inputs!F$2,Inputs!I$2,IF(D9=Inputs!F$3,Inputs!I$3,IF(D9=Inputs!F$4,Inputs!I$4,IF(D9=Inputs!F$5,Inputs!I$5,"NA"))))</f>
        <v>40.892857142857146</v>
      </c>
    </row>
    <row r="10" spans="1:16" x14ac:dyDescent="0.25">
      <c r="A10" s="148">
        <v>4</v>
      </c>
      <c r="B10" s="189">
        <f>Inputs!C$2</f>
        <v>3</v>
      </c>
      <c r="C10" s="151">
        <v>389985</v>
      </c>
      <c r="D10" s="188" t="s">
        <v>7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1501</v>
      </c>
      <c r="J10" s="189">
        <f>IF(H10="NEW",203, IF(H10="OLD",192,0))</f>
        <v>203</v>
      </c>
      <c r="K10" s="151">
        <v>1704</v>
      </c>
      <c r="L10" s="211">
        <f t="shared" si="1"/>
        <v>25.016666666666666</v>
      </c>
      <c r="M10" s="151">
        <v>128952</v>
      </c>
      <c r="N10" s="152" t="s">
        <v>237</v>
      </c>
      <c r="O10" s="157" t="s">
        <v>51</v>
      </c>
      <c r="P10" s="187">
        <f>IF(D10=Inputs!F$2,Inputs!I$2,IF(D10=Inputs!F$3,Inputs!I$3,IF(D10=Inputs!F$4,Inputs!I$4,IF(D10=Inputs!F$5,Inputs!I$5,"NA"))))</f>
        <v>40.892857142857146</v>
      </c>
    </row>
    <row r="11" spans="1:16" x14ac:dyDescent="0.25">
      <c r="A11" s="148">
        <v>5</v>
      </c>
      <c r="B11" s="189">
        <f>Inputs!C$2</f>
        <v>3</v>
      </c>
      <c r="C11" s="151">
        <v>389986</v>
      </c>
      <c r="D11" s="188" t="s">
        <v>5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1461</v>
      </c>
      <c r="J11" s="189">
        <f t="shared" ref="J11:J72" si="2">IF(H11="NEW",203, IF(H11="OLD",192,0))</f>
        <v>203</v>
      </c>
      <c r="K11" s="151">
        <v>1664</v>
      </c>
      <c r="L11" s="211">
        <f>IF(K11&gt;0,I11/E11,"NA")</f>
        <v>24.35</v>
      </c>
      <c r="M11" s="151">
        <v>128952</v>
      </c>
      <c r="N11" s="152" t="s">
        <v>237</v>
      </c>
      <c r="O11" s="157" t="s">
        <v>51</v>
      </c>
      <c r="P11" s="187">
        <f>IF(D11=Inputs!F$2,Inputs!I$2,IF(D11=Inputs!F$3,Inputs!I$3,IF(D11=Inputs!F$4,Inputs!I$4,IF(D11=Inputs!F$5,Inputs!I$5,"NA"))))</f>
        <v>32.464285714285715</v>
      </c>
    </row>
    <row r="12" spans="1:16" x14ac:dyDescent="0.25">
      <c r="A12" s="148">
        <v>6</v>
      </c>
      <c r="B12" s="189">
        <f>Inputs!C$2</f>
        <v>3</v>
      </c>
      <c r="C12" s="151">
        <v>389987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1505</v>
      </c>
      <c r="J12" s="189">
        <f t="shared" si="2"/>
        <v>203</v>
      </c>
      <c r="K12" s="151">
        <v>1708</v>
      </c>
      <c r="L12" s="211">
        <f t="shared" si="1"/>
        <v>25.083333333333332</v>
      </c>
      <c r="M12" s="151">
        <v>128952</v>
      </c>
      <c r="N12" s="152" t="s">
        <v>237</v>
      </c>
      <c r="O12" s="157" t="s">
        <v>51</v>
      </c>
      <c r="P12" s="187">
        <f>IF(D12=Inputs!F$2,Inputs!I$2,IF(D12=Inputs!F$3,Inputs!I$3,IF(D12=Inputs!F$4,Inputs!I$4,IF(D12=Inputs!F$5,Inputs!I$5,"NA"))))</f>
        <v>66.892857142857139</v>
      </c>
    </row>
    <row r="13" spans="1:16" x14ac:dyDescent="0.25">
      <c r="A13" s="148">
        <v>7</v>
      </c>
      <c r="B13" s="189">
        <f>Inputs!C$2</f>
        <v>3</v>
      </c>
      <c r="C13" s="151">
        <v>389988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1479</v>
      </c>
      <c r="J13" s="189">
        <f t="shared" si="2"/>
        <v>203</v>
      </c>
      <c r="K13" s="151">
        <v>1682</v>
      </c>
      <c r="L13" s="211">
        <f t="shared" si="1"/>
        <v>24.65</v>
      </c>
      <c r="M13" s="151">
        <v>128952</v>
      </c>
      <c r="N13" s="152" t="s">
        <v>237</v>
      </c>
      <c r="O13" s="157" t="s">
        <v>51</v>
      </c>
      <c r="P13" s="187">
        <f>IF(D13=Inputs!F$2,Inputs!I$2,IF(D13=Inputs!F$3,Inputs!I$3,IF(D13=Inputs!F$4,Inputs!I$4,IF(D13=Inputs!F$5,Inputs!I$5,"NA"))))</f>
        <v>66.892857142857139</v>
      </c>
    </row>
    <row r="14" spans="1:16" x14ac:dyDescent="0.25">
      <c r="A14" s="148">
        <v>8</v>
      </c>
      <c r="B14" s="189">
        <f>Inputs!C$2</f>
        <v>3</v>
      </c>
      <c r="C14" s="151">
        <v>389989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1477</v>
      </c>
      <c r="J14" s="189">
        <f t="shared" si="2"/>
        <v>203</v>
      </c>
      <c r="K14" s="151">
        <v>1680</v>
      </c>
      <c r="L14" s="211">
        <f t="shared" si="1"/>
        <v>24.616666666666667</v>
      </c>
      <c r="M14" s="151">
        <v>128952</v>
      </c>
      <c r="N14" s="152" t="s">
        <v>237</v>
      </c>
      <c r="O14" s="157" t="s">
        <v>51</v>
      </c>
      <c r="P14" s="187">
        <f>IF(D14=Inputs!F$2,Inputs!I$2,IF(D14=Inputs!F$3,Inputs!I$3,IF(D14=Inputs!F$4,Inputs!I$4,IF(D14=Inputs!F$5,Inputs!I$5,"NA"))))</f>
        <v>66.892857142857139</v>
      </c>
    </row>
    <row r="15" spans="1:16" x14ac:dyDescent="0.25">
      <c r="A15" s="148">
        <v>9</v>
      </c>
      <c r="B15" s="189">
        <f>Inputs!C$2</f>
        <v>3</v>
      </c>
      <c r="C15" s="151">
        <v>389990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1473</v>
      </c>
      <c r="J15" s="189">
        <f t="shared" si="2"/>
        <v>203</v>
      </c>
      <c r="K15" s="151">
        <v>1676</v>
      </c>
      <c r="L15" s="211">
        <f t="shared" si="1"/>
        <v>24.55</v>
      </c>
      <c r="M15" s="151">
        <v>128952</v>
      </c>
      <c r="N15" s="152" t="s">
        <v>237</v>
      </c>
      <c r="O15" s="157" t="s">
        <v>51</v>
      </c>
      <c r="P15" s="187">
        <f>IF(D15=Inputs!F$2,Inputs!I$2,IF(D15=Inputs!F$3,Inputs!I$3,IF(D15=Inputs!F$4,Inputs!I$4,IF(D15=Inputs!F$5,Inputs!I$5,"NA"))))</f>
        <v>58.892857142857146</v>
      </c>
    </row>
    <row r="16" spans="1:16" x14ac:dyDescent="0.25">
      <c r="A16" s="148">
        <v>10</v>
      </c>
      <c r="B16" s="189">
        <f>Inputs!C$2</f>
        <v>3</v>
      </c>
      <c r="C16" s="151">
        <v>389991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1521</v>
      </c>
      <c r="J16" s="189">
        <f t="shared" si="2"/>
        <v>203</v>
      </c>
      <c r="K16" s="151">
        <v>1724</v>
      </c>
      <c r="L16" s="211">
        <f t="shared" si="1"/>
        <v>25.35</v>
      </c>
      <c r="M16" s="151">
        <v>128952</v>
      </c>
      <c r="N16" s="152" t="s">
        <v>237</v>
      </c>
      <c r="O16" s="157" t="s">
        <v>51</v>
      </c>
      <c r="P16" s="187">
        <f>IF(D16=Inputs!F$2,Inputs!I$2,IF(D16=Inputs!F$3,Inputs!I$3,IF(D16=Inputs!F$4,Inputs!I$4,IF(D16=Inputs!F$5,Inputs!I$5,"NA"))))</f>
        <v>58.892857142857146</v>
      </c>
    </row>
    <row r="17" spans="1:16" x14ac:dyDescent="0.25">
      <c r="A17" s="148">
        <v>11</v>
      </c>
      <c r="B17" s="189">
        <f>Inputs!C$2</f>
        <v>3</v>
      </c>
      <c r="C17" s="151">
        <v>389992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1471</v>
      </c>
      <c r="J17" s="189">
        <f t="shared" si="2"/>
        <v>203</v>
      </c>
      <c r="K17" s="151">
        <v>1674</v>
      </c>
      <c r="L17" s="211">
        <f t="shared" si="1"/>
        <v>24.516666666666666</v>
      </c>
      <c r="M17" s="151">
        <v>128952</v>
      </c>
      <c r="N17" s="152" t="s">
        <v>237</v>
      </c>
      <c r="O17" s="157" t="s">
        <v>52</v>
      </c>
      <c r="P17" s="187">
        <f>IF(D17=Inputs!F$2,Inputs!I$2,IF(D17=Inputs!F$3,Inputs!I$3,IF(D17=Inputs!F$4,Inputs!I$4,IF(D17=Inputs!F$5,Inputs!I$5,"NA"))))</f>
        <v>66.892857142857139</v>
      </c>
    </row>
    <row r="18" spans="1:16" x14ac:dyDescent="0.25">
      <c r="A18" s="148">
        <v>12</v>
      </c>
      <c r="B18" s="189">
        <f>Inputs!C$2</f>
        <v>3</v>
      </c>
      <c r="C18" s="151">
        <v>389993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1503</v>
      </c>
      <c r="J18" s="189">
        <f t="shared" si="2"/>
        <v>203</v>
      </c>
      <c r="K18" s="151">
        <v>1706</v>
      </c>
      <c r="L18" s="211">
        <f t="shared" si="1"/>
        <v>25.05</v>
      </c>
      <c r="M18" s="151">
        <v>128952</v>
      </c>
      <c r="N18" s="152" t="s">
        <v>237</v>
      </c>
      <c r="O18" s="157" t="s">
        <v>51</v>
      </c>
      <c r="P18" s="187">
        <f>IF(D18=Inputs!F$2,Inputs!I$2,IF(D18=Inputs!F$3,Inputs!I$3,IF(D18=Inputs!F$4,Inputs!I$4,IF(D18=Inputs!F$5,Inputs!I$5,"NA"))))</f>
        <v>58.892857142857146</v>
      </c>
    </row>
    <row r="19" spans="1:16" x14ac:dyDescent="0.25">
      <c r="A19" s="148">
        <v>13</v>
      </c>
      <c r="B19" s="189">
        <f>Inputs!C$2</f>
        <v>3</v>
      </c>
      <c r="C19" s="151">
        <v>389994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1511</v>
      </c>
      <c r="J19" s="189">
        <f t="shared" si="2"/>
        <v>203</v>
      </c>
      <c r="K19" s="151">
        <v>1714</v>
      </c>
      <c r="L19" s="211">
        <f t="shared" si="1"/>
        <v>25.183333333333334</v>
      </c>
      <c r="M19" s="151">
        <v>128952</v>
      </c>
      <c r="N19" s="152" t="s">
        <v>237</v>
      </c>
      <c r="O19" s="157" t="s">
        <v>51</v>
      </c>
      <c r="P19" s="187">
        <f>IF(D19=Inputs!F$2,Inputs!I$2,IF(D19=Inputs!F$3,Inputs!I$3,IF(D19=Inputs!F$4,Inputs!I$4,IF(D19=Inputs!F$5,Inputs!I$5,"NA"))))</f>
        <v>58.892857142857146</v>
      </c>
    </row>
    <row r="20" spans="1:16" x14ac:dyDescent="0.25">
      <c r="A20" s="148">
        <v>14</v>
      </c>
      <c r="B20" s="189">
        <f>Inputs!C$2</f>
        <v>3</v>
      </c>
      <c r="C20" s="151">
        <v>389995</v>
      </c>
      <c r="D20" s="188" t="s">
        <v>183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1503</v>
      </c>
      <c r="J20" s="189">
        <f t="shared" si="2"/>
        <v>203</v>
      </c>
      <c r="K20" s="151">
        <v>1706</v>
      </c>
      <c r="L20" s="211">
        <f t="shared" si="1"/>
        <v>25.05</v>
      </c>
      <c r="M20" s="151">
        <v>128952</v>
      </c>
      <c r="N20" s="152" t="s">
        <v>237</v>
      </c>
      <c r="O20" s="157" t="s">
        <v>51</v>
      </c>
      <c r="P20" s="187">
        <f>IF(D20=Inputs!F$2,Inputs!I$2,IF(D20=Inputs!F$3,Inputs!I$3,IF(D20=Inputs!F$4,Inputs!I$4,IF(D20=Inputs!F$5,Inputs!I$5,"NA"))))</f>
        <v>58.892857142857146</v>
      </c>
    </row>
    <row r="21" spans="1:16" x14ac:dyDescent="0.25">
      <c r="A21" s="148">
        <v>15</v>
      </c>
      <c r="B21" s="189">
        <f>Inputs!C$2</f>
        <v>3</v>
      </c>
      <c r="C21" s="151">
        <v>389996</v>
      </c>
      <c r="D21" s="188" t="s">
        <v>9</v>
      </c>
      <c r="E21" s="148">
        <v>60</v>
      </c>
      <c r="F21" s="188"/>
      <c r="G21" s="188" t="s">
        <v>13</v>
      </c>
      <c r="H21" s="191" t="s">
        <v>220</v>
      </c>
      <c r="I21" s="210" t="str">
        <f t="shared" si="0"/>
        <v>NA</v>
      </c>
      <c r="J21" s="189">
        <f t="shared" si="2"/>
        <v>203</v>
      </c>
      <c r="K21" s="151"/>
      <c r="L21" s="211" t="str">
        <f t="shared" si="1"/>
        <v>NA</v>
      </c>
      <c r="M21" s="151">
        <v>128952</v>
      </c>
      <c r="N21" s="152" t="s">
        <v>237</v>
      </c>
      <c r="O21" s="157" t="s">
        <v>13</v>
      </c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3</v>
      </c>
      <c r="C22" s="151">
        <v>389997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1503</v>
      </c>
      <c r="J22" s="189">
        <f t="shared" si="2"/>
        <v>203</v>
      </c>
      <c r="K22" s="235">
        <v>1706</v>
      </c>
      <c r="L22" s="211">
        <f t="shared" si="1"/>
        <v>25.05</v>
      </c>
      <c r="M22" s="151">
        <v>128952</v>
      </c>
      <c r="N22" s="152" t="s">
        <v>237</v>
      </c>
      <c r="O22" s="157" t="s">
        <v>51</v>
      </c>
      <c r="P22" s="187">
        <f>IF(D22=Inputs!F$2,Inputs!I$2,IF(D22=Inputs!F$3,Inputs!I$3,IF(D22=Inputs!F$4,Inputs!I$4,IF(D22=Inputs!F$5,Inputs!I$5,"NA"))))</f>
        <v>58.892857142857146</v>
      </c>
    </row>
    <row r="23" spans="1:16" x14ac:dyDescent="0.25">
      <c r="A23" s="148">
        <v>17</v>
      </c>
      <c r="B23" s="189">
        <f>Inputs!C$2</f>
        <v>3</v>
      </c>
      <c r="C23" s="151">
        <v>389998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1507</v>
      </c>
      <c r="J23" s="189">
        <f t="shared" si="2"/>
        <v>203</v>
      </c>
      <c r="K23" s="151">
        <v>1710</v>
      </c>
      <c r="L23" s="211">
        <f t="shared" si="1"/>
        <v>25.116666666666667</v>
      </c>
      <c r="M23" s="151">
        <v>128952</v>
      </c>
      <c r="N23" s="152" t="s">
        <v>237</v>
      </c>
      <c r="O23" s="157" t="s">
        <v>51</v>
      </c>
      <c r="P23" s="187">
        <f>IF(D23=Inputs!F$2,Inputs!I$2,IF(D23=Inputs!F$3,Inputs!I$3,IF(D23=Inputs!F$4,Inputs!I$4,IF(D23=Inputs!F$5,Inputs!I$5,"NA"))))</f>
        <v>58.892857142857146</v>
      </c>
    </row>
    <row r="24" spans="1:16" x14ac:dyDescent="0.25">
      <c r="A24" s="148">
        <v>18</v>
      </c>
      <c r="B24" s="189">
        <f>Inputs!C$2</f>
        <v>3</v>
      </c>
      <c r="C24" s="151">
        <v>389999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1505</v>
      </c>
      <c r="J24" s="189">
        <f t="shared" si="2"/>
        <v>203</v>
      </c>
      <c r="K24" s="151">
        <v>1708</v>
      </c>
      <c r="L24" s="211">
        <f t="shared" si="1"/>
        <v>25.083333333333332</v>
      </c>
      <c r="M24" s="151">
        <v>128952</v>
      </c>
      <c r="N24" s="152" t="s">
        <v>237</v>
      </c>
      <c r="O24" s="157" t="s">
        <v>51</v>
      </c>
      <c r="P24" s="187">
        <f>IF(D24=Inputs!F$2,Inputs!I$2,IF(D24=Inputs!F$3,Inputs!I$3,IF(D24=Inputs!F$4,Inputs!I$4,IF(D24=Inputs!F$5,Inputs!I$5,"NA"))))</f>
        <v>58.892857142857146</v>
      </c>
    </row>
    <row r="25" spans="1:16" x14ac:dyDescent="0.25">
      <c r="A25" s="148">
        <v>19</v>
      </c>
      <c r="B25" s="189">
        <f>Inputs!C$2</f>
        <v>3</v>
      </c>
      <c r="C25" s="151">
        <v>390000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1503</v>
      </c>
      <c r="J25" s="189">
        <f t="shared" si="2"/>
        <v>203</v>
      </c>
      <c r="K25" s="151">
        <v>1706</v>
      </c>
      <c r="L25" s="211">
        <f t="shared" si="1"/>
        <v>25.05</v>
      </c>
      <c r="M25" s="151">
        <v>128952</v>
      </c>
      <c r="N25" s="152" t="s">
        <v>237</v>
      </c>
      <c r="O25" s="157" t="s">
        <v>51</v>
      </c>
      <c r="P25" s="187">
        <f>IF(D25=Inputs!F$2,Inputs!I$2,IF(D25=Inputs!F$3,Inputs!I$3,IF(D25=Inputs!F$4,Inputs!I$4,IF(D25=Inputs!F$5,Inputs!I$5,"NA"))))</f>
        <v>58.892857142857146</v>
      </c>
    </row>
    <row r="26" spans="1:16" x14ac:dyDescent="0.25">
      <c r="A26" s="148">
        <v>20</v>
      </c>
      <c r="B26" s="189">
        <f>Inputs!C$2</f>
        <v>3</v>
      </c>
      <c r="C26" s="151">
        <v>390001</v>
      </c>
      <c r="D26" s="188" t="s">
        <v>183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1477</v>
      </c>
      <c r="J26" s="189">
        <f t="shared" si="2"/>
        <v>203</v>
      </c>
      <c r="K26" s="151">
        <v>1680</v>
      </c>
      <c r="L26" s="211">
        <f t="shared" si="1"/>
        <v>24.616666666666667</v>
      </c>
      <c r="M26" s="151">
        <v>128952</v>
      </c>
      <c r="N26" s="152" t="s">
        <v>237</v>
      </c>
      <c r="O26" s="157" t="s">
        <v>51</v>
      </c>
      <c r="P26" s="187">
        <f>IF(D26=Inputs!F$2,Inputs!I$2,IF(D26=Inputs!F$3,Inputs!I$3,IF(D26=Inputs!F$4,Inputs!I$4,IF(D26=Inputs!F$5,Inputs!I$5,"NA"))))</f>
        <v>58.892857142857146</v>
      </c>
    </row>
    <row r="27" spans="1:16" x14ac:dyDescent="0.25">
      <c r="A27" s="148">
        <v>21</v>
      </c>
      <c r="B27" s="189">
        <f>Inputs!C$2</f>
        <v>3</v>
      </c>
      <c r="C27" s="151">
        <v>390002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1497</v>
      </c>
      <c r="J27" s="189">
        <f t="shared" si="2"/>
        <v>203</v>
      </c>
      <c r="K27" s="151">
        <v>1700</v>
      </c>
      <c r="L27" s="211">
        <f t="shared" si="1"/>
        <v>24.95</v>
      </c>
      <c r="M27" s="151">
        <v>128952</v>
      </c>
      <c r="N27" s="152" t="s">
        <v>237</v>
      </c>
      <c r="O27" s="157" t="s">
        <v>51</v>
      </c>
      <c r="P27" s="187">
        <f>IF(D27=Inputs!F$2,Inputs!I$2,IF(D27=Inputs!F$3,Inputs!I$3,IF(D27=Inputs!F$4,Inputs!I$4,IF(D27=Inputs!F$5,Inputs!I$5,"NA"))))</f>
        <v>58.892857142857146</v>
      </c>
    </row>
    <row r="28" spans="1:16" x14ac:dyDescent="0.25">
      <c r="A28" s="148">
        <v>22</v>
      </c>
      <c r="B28" s="189">
        <f>Inputs!C$2</f>
        <v>3</v>
      </c>
      <c r="C28" s="151">
        <v>390003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1497</v>
      </c>
      <c r="J28" s="189">
        <f t="shared" si="2"/>
        <v>203</v>
      </c>
      <c r="K28" s="151">
        <v>1700</v>
      </c>
      <c r="L28" s="211">
        <f t="shared" si="1"/>
        <v>24.95</v>
      </c>
      <c r="M28" s="151">
        <v>128952</v>
      </c>
      <c r="N28" s="152" t="s">
        <v>237</v>
      </c>
      <c r="O28" s="157" t="s">
        <v>51</v>
      </c>
      <c r="P28" s="187">
        <f>IF(D28=Inputs!F$2,Inputs!I$2,IF(D28=Inputs!F$3,Inputs!I$3,IF(D28=Inputs!F$4,Inputs!I$4,IF(D28=Inputs!F$5,Inputs!I$5,"NA"))))</f>
        <v>58.892857142857146</v>
      </c>
    </row>
    <row r="29" spans="1:16" x14ac:dyDescent="0.25">
      <c r="A29" s="148">
        <v>23</v>
      </c>
      <c r="B29" s="189">
        <f>Inputs!C$2</f>
        <v>3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3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3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3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3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3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3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3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K21" sqref="K2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3</v>
      </c>
      <c r="F2" s="166" t="s">
        <v>183</v>
      </c>
      <c r="G2" s="186">
        <v>45264</v>
      </c>
      <c r="I2" s="205">
        <f>(C$3-G2)/7</f>
        <v>58.892857142857146</v>
      </c>
      <c r="J2" s="230">
        <f>I2-19</f>
        <v>39.892857142857146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4">
        <f>C2*7+(C1-1900)*365.25-1</f>
        <v>45676.25</v>
      </c>
      <c r="D3" s="245"/>
      <c r="F3" s="166" t="s">
        <v>7</v>
      </c>
      <c r="G3" s="186">
        <v>45390</v>
      </c>
      <c r="I3" s="205">
        <f>(C$3-G3)/7</f>
        <v>40.892857142857146</v>
      </c>
      <c r="J3" s="230">
        <f>I3-19</f>
        <v>21.892857142857146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66.892857142857139</v>
      </c>
      <c r="J4" s="230">
        <f>I4-19</f>
        <v>47.892857142857139</v>
      </c>
    </row>
    <row r="5" spans="1:12" x14ac:dyDescent="0.2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32.464285714285715</v>
      </c>
      <c r="J5" s="230">
        <f>I5-19</f>
        <v>13.464285714285715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94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226</v>
      </c>
      <c r="G11" s="165"/>
    </row>
    <row r="12" spans="1:12" x14ac:dyDescent="0.2">
      <c r="A12" s="139">
        <v>7</v>
      </c>
      <c r="B12" s="168">
        <v>165</v>
      </c>
      <c r="C12" s="168">
        <v>18</v>
      </c>
      <c r="E12" s="139">
        <v>7</v>
      </c>
      <c r="F12" s="168">
        <v>192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11</v>
      </c>
      <c r="E16" s="139">
        <v>3</v>
      </c>
      <c r="F16" s="168">
        <v>109</v>
      </c>
      <c r="G16" s="168">
        <v>10</v>
      </c>
    </row>
    <row r="17" spans="1:11" x14ac:dyDescent="0.2">
      <c r="A17" s="139">
        <v>6</v>
      </c>
      <c r="B17" s="168">
        <v>124</v>
      </c>
      <c r="C17" s="165"/>
      <c r="E17" s="139">
        <v>6</v>
      </c>
      <c r="F17" s="168">
        <v>222</v>
      </c>
      <c r="G17" s="165"/>
    </row>
    <row r="18" spans="1:11" x14ac:dyDescent="0.2">
      <c r="A18" s="139">
        <v>7</v>
      </c>
      <c r="B18" s="168">
        <v>176</v>
      </c>
      <c r="C18" s="168">
        <v>21</v>
      </c>
      <c r="E18" s="139">
        <v>7</v>
      </c>
      <c r="F18" s="168">
        <v>176</v>
      </c>
      <c r="G18" s="168">
        <v>20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10</v>
      </c>
      <c r="E23" s="139">
        <v>3</v>
      </c>
      <c r="F23" s="168">
        <v>108</v>
      </c>
      <c r="G23" s="168">
        <v>10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220</v>
      </c>
      <c r="G24" s="165"/>
    </row>
    <row r="25" spans="1:11" x14ac:dyDescent="0.2">
      <c r="A25" s="139">
        <v>7</v>
      </c>
      <c r="B25" s="168">
        <v>178</v>
      </c>
      <c r="C25" s="168">
        <v>20</v>
      </c>
      <c r="E25" s="139">
        <v>7</v>
      </c>
      <c r="F25" s="168">
        <v>178</v>
      </c>
      <c r="G25" s="168">
        <v>20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108</v>
      </c>
      <c r="C29" s="168">
        <v>11</v>
      </c>
      <c r="E29" s="139">
        <v>3</v>
      </c>
      <c r="F29" s="203">
        <f t="shared" ref="F29:G32" si="0">B10+F10+B16+F16+B23+F23+B29</f>
        <v>745</v>
      </c>
      <c r="G29" s="203">
        <f t="shared" si="0"/>
        <v>75</v>
      </c>
      <c r="I29" s="139">
        <v>3</v>
      </c>
      <c r="J29" s="203">
        <f t="shared" ref="J29:K31" si="1">F29*15</f>
        <v>11175</v>
      </c>
      <c r="K29" s="203">
        <f t="shared" si="1"/>
        <v>1125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1444</v>
      </c>
      <c r="G30" s="204">
        <f t="shared" si="0"/>
        <v>0</v>
      </c>
      <c r="I30" s="139">
        <v>6</v>
      </c>
      <c r="J30" s="203">
        <f t="shared" si="1"/>
        <v>21660</v>
      </c>
      <c r="K30" s="204">
        <f t="shared" si="1"/>
        <v>0</v>
      </c>
    </row>
    <row r="31" spans="1:11" x14ac:dyDescent="0.2">
      <c r="A31" s="139">
        <v>7</v>
      </c>
      <c r="B31" s="168">
        <v>176</v>
      </c>
      <c r="C31" s="168">
        <v>21</v>
      </c>
      <c r="E31" s="139">
        <v>7</v>
      </c>
      <c r="F31" s="203">
        <f t="shared" si="0"/>
        <v>1241</v>
      </c>
      <c r="G31" s="203">
        <f t="shared" si="0"/>
        <v>142</v>
      </c>
      <c r="I31" s="139">
        <v>7</v>
      </c>
      <c r="J31" s="203">
        <f t="shared" si="1"/>
        <v>18615</v>
      </c>
      <c r="K31" s="203">
        <f t="shared" si="1"/>
        <v>2130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767</v>
      </c>
      <c r="G32" s="204">
        <f t="shared" si="0"/>
        <v>0</v>
      </c>
      <c r="I32" s="139">
        <v>11</v>
      </c>
      <c r="J32" s="203">
        <f>F32*15</f>
        <v>11505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720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0.32299999999999995</v>
      </c>
      <c r="D36" s="201">
        <f>D37+D38</f>
        <v>0.32799999999999996</v>
      </c>
      <c r="E36" s="201">
        <f>E37+E38</f>
        <v>0.253</v>
      </c>
      <c r="G36" s="243" t="s">
        <v>225</v>
      </c>
      <c r="H36" s="243"/>
      <c r="I36" s="225">
        <v>0</v>
      </c>
    </row>
    <row r="37" spans="1:9" x14ac:dyDescent="0.2">
      <c r="A37" s="172" t="s">
        <v>200</v>
      </c>
      <c r="B37" s="173">
        <v>0.10199999999999999</v>
      </c>
      <c r="C37" s="173">
        <v>3.5000000000000003E-2</v>
      </c>
      <c r="D37" s="173">
        <v>4.1000000000000002E-2</v>
      </c>
      <c r="E37" s="173">
        <v>1.9E-2</v>
      </c>
      <c r="G37" s="243" t="s">
        <v>226</v>
      </c>
      <c r="H37" s="243"/>
      <c r="I37" s="225">
        <v>240</v>
      </c>
    </row>
    <row r="38" spans="1:9" x14ac:dyDescent="0.2">
      <c r="A38" s="172" t="s">
        <v>201</v>
      </c>
      <c r="B38" s="173">
        <v>0.35499999999999998</v>
      </c>
      <c r="C38" s="173">
        <v>0.28799999999999998</v>
      </c>
      <c r="D38" s="173">
        <v>0.28699999999999998</v>
      </c>
      <c r="E38" s="173">
        <v>0.23400000000000001</v>
      </c>
      <c r="G38" s="243" t="s">
        <v>227</v>
      </c>
      <c r="H38" s="243"/>
      <c r="I38" s="225">
        <v>180</v>
      </c>
    </row>
    <row r="39" spans="1:9" x14ac:dyDescent="0.2">
      <c r="A39" s="172" t="s">
        <v>202</v>
      </c>
      <c r="B39" s="173">
        <v>0.48699999999999999</v>
      </c>
      <c r="C39" s="173">
        <v>0.628</v>
      </c>
      <c r="D39" s="173">
        <v>0.61399999999999999</v>
      </c>
      <c r="E39" s="173">
        <v>0.69399999999999995</v>
      </c>
      <c r="G39" s="243" t="s">
        <v>228</v>
      </c>
      <c r="H39" s="243"/>
      <c r="I39" s="225">
        <v>60</v>
      </c>
    </row>
    <row r="40" spans="1:9" x14ac:dyDescent="0.2">
      <c r="A40" s="172" t="s">
        <v>203</v>
      </c>
      <c r="B40" s="173">
        <v>4.2999999999999997E-2</v>
      </c>
      <c r="C40" s="173">
        <v>0.04</v>
      </c>
      <c r="D40" s="173">
        <v>4.7E-2</v>
      </c>
      <c r="E40" s="173">
        <v>4.3999999999999997E-2</v>
      </c>
      <c r="G40" s="243" t="s">
        <v>229</v>
      </c>
      <c r="H40" s="243"/>
      <c r="I40" s="225">
        <v>60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9.0000000000000011E-3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62.09</v>
      </c>
      <c r="E44" s="232">
        <v>62.54</v>
      </c>
    </row>
    <row r="45" spans="1:9" x14ac:dyDescent="0.2">
      <c r="A45" s="233" t="s">
        <v>234</v>
      </c>
      <c r="B45" s="231">
        <f>J29+K29</f>
        <v>12300</v>
      </c>
      <c r="C45" s="231">
        <f>J30</f>
        <v>21660</v>
      </c>
      <c r="D45" s="231">
        <f>J31</f>
        <v>18615</v>
      </c>
      <c r="E45" s="231">
        <f>J32</f>
        <v>11505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4.0000000000000001E-3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2025-01-20T13:27:21Z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