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C25BB351-95BA-4585-AFAC-AB3D6CA84D1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<sst xmlns="http://schemas.openxmlformats.org/spreadsheetml/2006/main" count="513" uniqueCount="239">
  <si>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</si>
  <si>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</si>
  <si>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</si>
  <si>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</si>
  <si>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</si>
  <si>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</si>
  <si>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</si>
  <si>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</si>
  <si>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</si>
  <si>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</si>
  <si>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</si>
  <si>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</si>
  <si>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</si>
  <si>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</si>
  <si>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</si>
  <si>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</si>
  <si>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</si>
  <si>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</si>
  <si>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</si>
  <si>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</si>
  <si>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</si>
  <si>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</si>
  <si>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</si>
  <si>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</si>
  <si>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</si>
  <si>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</si>
  <si>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</si>
  <si>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</si>
  <si>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</si>
  <si>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</si>
  <si>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</si>
  <si>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</si>
  <si>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</si>
  <si>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</si>
  <si>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</si>
  <si>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</si>
  <si>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</si>
  <si>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</si>
  <si>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</si>
  <si>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</si>
  <si>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</si>
  <si>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</si>
  <si>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</si>
  <si>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</si>
  <si>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</si>
  <si>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</si>
  <si>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</si>
  <si>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</si>
  <si>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</si>
  <si>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</si>
  <si>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</si>
  <si>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</si>
  <si>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</si>
  <si>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</si>
  <si>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</si>
  <si>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</si>
  <si>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</si>
  <si>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</si>
  <si>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</si>
  <si>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</si>
  <si>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</si>
  <si>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</si>
  <si>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</si>
  <si>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</si>
  <si>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</si>
  <si>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</si>
  <si>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</si>
  <si>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</si>
  <si>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</si>
  <si>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</si>
  <si>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</si>
  <si>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</si>
  <si>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</si>
  <si>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</si>
  <si>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</si>
  <si>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</si>
  <si>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</si>
  <si>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</si>
  <si>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</si>
  <si>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</si>
  <si>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</si>
  <si>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</si>
  <si>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</si>
  <si>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</si>
  <si>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</si>
  <si>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</si>
  <si>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</si>
  <si>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</si>
  <si>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</si>
  <si>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</si>
  <si>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</si>
  <si>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</si>
  <si>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</si>
  <si>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</si>
  <si>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</si>
  <si>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</si>
  <si>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</si>
  <si>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</si>
  <si>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</si>
  <si>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</si>
  <si>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</si>
  <si>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</si>
  <si>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</si>
  <si>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</si>
  <si>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</si>
  <si>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</si>
  <si>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</si>
  <si>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</si>
  <si>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</si>
  <si>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</si>
  <si>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</si>
  <si>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</si>
  <si>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</si>
  <si>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</si>
  <si>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</si>
  <si>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</si>
  <si>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</si>
  <si>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</si>
  <si>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</si>
  <si>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</si>
  <si>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</si>
  <si>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</si>
  <si>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</si>
  <si>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</si>
  <si>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</si>
  <si>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</si>
  <si>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</si>
  <si>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</si>
  <si>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</si>
  <si>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</si>
  <si>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</si>
  <si>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</si>
  <si>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</si>
  <si>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</si>
  <si>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</si>
  <si>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</si>
  <si>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</si>
  <si>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</si>
  <si>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</si>
  <si>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</si>
  <si>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</si>
  <si>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</si>
  <si>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</si>
  <si>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</si>
  <si>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</si>
  <si>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</si>
  <si>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</si>
  <si>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</si>
  <si>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</si>
  <si>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</si>
  <si>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</si>
  <si>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</si>
  <si>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</si>
  <si>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</si>
  <si>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</si>
  <si>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</si>
  <si>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</si>
  <si>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</si>
  <si>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</si>
  <si>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</si>
  <si>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</si>
  <si>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</si>
  <si>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</si>
  <si>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</si>
  <si>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</si>
  <si>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</si>
  <si>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</si>
  <si>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</si>
  <si>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</si>
  <si>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</si>
  <si>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</si>
  <si>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</si>
  <si>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</si>
  <si>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</si>
  <si>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</si>
  <si>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</si>
  <si>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</si>
  <si>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</si>
  <si>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</si>
  <si>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</si>
  <si>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</si>
  <si>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</si>
  <si>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</si>
  <si>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</si>
  <si>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</si>
  <si>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</si>
  <si>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</si>
  <si>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</si>
  <si>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</si>
  <si>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</si>
  <si>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</si>
  <si>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</si>
  <si>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</si>
  <si>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</si>
  <si>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</si>
  <si>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</si>
  <si>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</si>
  <si>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</si>
  <si>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</si>
  <si>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</si>
  <si>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</si>
  <si>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</si>
  <si>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</si>
  <si>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</si>
  <si>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</si>
  <si>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</si>
  <si>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</si>
  <si>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</si>
  <si>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</si>
  <si>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</si>
  <si>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</si>
  <si>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</si>
  <si>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</si>
  <si>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</si>
  <si>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</si>
  <si>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</si>
  <si>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</si>
  <si>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</si>
  <si>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</si>
  <si>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</si>
  <si>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</si>
  <si>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</si>
  <si>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</si>
  <si>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</si>
  <si>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</si>
  <si>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</si>
  <si>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</si>
  <si>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</si>
  <si>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</si>
  <si>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</si>
  <si>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</si>
  <si>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</si>
  <si>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</si>
  <si>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</si>
  <si>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</si>
  <si>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</si>
  <si>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</si>
  <si>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</si>
  <si>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March 14/25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</si>
</sst>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11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45732.25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11080.5798414496</v>
      </c>
      <c r="I7" s="27">
        <v>0</v>
      </c>
      <c r="J7" s="26">
        <f>IFERROR(H7-I7,"")</f>
        <v>11080.5798414496</v>
      </c>
      <c r="K7" s="26">
        <f>IFERROR(($E$26/($H$27+$H$28)*$H$27)*R28,"")</f>
        <v>77.564058890147223</v>
      </c>
      <c r="L7" s="26">
        <f>IFERROR(($E$26/($H$27+$H$28)*$H$27)*S28,"")</f>
        <v>33.241739524348809</v>
      </c>
      <c r="M7" s="28">
        <f>IFERROR(K7+L7,"")</f>
        <v>110.80579841449602</v>
      </c>
      <c r="N7" s="29">
        <f>IFERROR(O7+P7+Q7+R7+S7+T7+U7+V7,"")</f>
        <v>10969.774043035104</v>
      </c>
      <c r="O7" s="26">
        <f t="shared" ref="O7:V7" si="0">IFERROR(($E$26/($H$27+$H$28)*$H$27)*J28,"")</f>
        <v>1130.2191438278594</v>
      </c>
      <c r="P7" s="26">
        <f>IFERROR(($E$26/($H$27+$H$28)*$H$27)*K28,"")</f>
        <v>3933.6058437146085</v>
      </c>
      <c r="Q7" s="26">
        <f t="shared" si="0"/>
        <v>5396.2423827859557</v>
      </c>
      <c r="R7" s="26">
        <f t="shared" si="0"/>
        <v>476.46493318233286</v>
      </c>
      <c r="S7" s="26">
        <f t="shared" si="0"/>
        <v>11.080579841449602</v>
      </c>
      <c r="T7" s="26">
        <f t="shared" si="0"/>
        <v>0</v>
      </c>
      <c r="U7" s="26">
        <f t="shared" si="0"/>
        <v>22.161159682899203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1069.4201585503965</v>
      </c>
      <c r="I8" s="27">
        <v>0</v>
      </c>
      <c r="J8" s="26">
        <f>IFERROR(H8-I8,"")</f>
        <v>1069.4201585503965</v>
      </c>
      <c r="K8" s="26">
        <f>IFERROR(($E$26/($H$27+$H$28)*$H$28)*R28,"")</f>
        <v>7.4859411098527744</v>
      </c>
      <c r="L8" s="26">
        <f>IFERROR(($E$26/($H$27+$H$28)*$H$28)*S28,"")</f>
        <v>3.2082604756511892</v>
      </c>
      <c r="M8" s="28">
        <f>IFERROR(K8+L8,"")</f>
        <v>10.694201585503963</v>
      </c>
      <c r="N8" s="29">
        <f>IFERROR(O8+P8+Q8+R8+S8+T8+U8+V8,"")</f>
        <v>1058.7259569648925</v>
      </c>
      <c r="O8" s="26">
        <f t="shared" ref="O8:V8" si="1">IFERROR(($E$26/($H$27+$H$28)*$H$28)*J28,"")</f>
        <v>109.08085617214041</v>
      </c>
      <c r="P8" s="26">
        <f t="shared" si="1"/>
        <v>379.64415628539069</v>
      </c>
      <c r="Q8" s="26">
        <f t="shared" si="1"/>
        <v>520.80761721404303</v>
      </c>
      <c r="R8" s="26">
        <f t="shared" si="1"/>
        <v>45.98506681766704</v>
      </c>
      <c r="S8" s="26">
        <f t="shared" si="1"/>
        <v>1.0694201585503964</v>
      </c>
      <c r="T8" s="26">
        <f t="shared" si="1"/>
        <v>0</v>
      </c>
      <c r="U8" s="26">
        <f t="shared" si="1"/>
        <v>2.1388403171007928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22665.000000000004</v>
      </c>
      <c r="I10" s="27">
        <v>0</v>
      </c>
      <c r="J10" s="26">
        <f>IFERROR(H10-I10,"")</f>
        <v>22665.000000000004</v>
      </c>
      <c r="K10" s="26">
        <f>IFERROR(($E$30/($H$31+$H$32)*$H$31)*R32,"")</f>
        <v>113.325</v>
      </c>
      <c r="L10" s="26">
        <f>IFERROR(($E$30/($H$31+$H$32)*$H$31)*S32,"")</f>
        <v>22.664999999999999</v>
      </c>
      <c r="M10" s="28">
        <f>IFERROR(K10+L10,"")</f>
        <v>135.99</v>
      </c>
      <c r="N10" s="29">
        <f>IFERROR(O10+P10+Q10+R10+S10+T10+U10+V10,"")</f>
        <v>22529.010000000002</v>
      </c>
      <c r="O10" s="26">
        <f t="shared" ref="O10:V10" si="2">IFERROR(($E$30/($H$31+$H$32)*$H$31)*J32,"")</f>
        <v>793.27500000000009</v>
      </c>
      <c r="P10" s="26">
        <f t="shared" si="2"/>
        <v>6822.165</v>
      </c>
      <c r="Q10" s="26">
        <f t="shared" si="2"/>
        <v>14120.295</v>
      </c>
      <c r="R10" s="26">
        <f t="shared" si="2"/>
        <v>747.94500000000005</v>
      </c>
      <c r="S10" s="26">
        <f t="shared" si="2"/>
        <v>0</v>
      </c>
      <c r="T10" s="26">
        <f t="shared" si="2"/>
        <v>0</v>
      </c>
      <c r="U10" s="26">
        <f t="shared" si="2"/>
        <v>45.33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10985.433608188798</v>
      </c>
      <c r="I13" s="27">
        <v>0</v>
      </c>
      <c r="J13" s="26">
        <f>IFERROR(H13-I13,"")</f>
        <v>10985.433608188798</v>
      </c>
      <c r="K13" s="26">
        <f>IFERROR(($E$34/($H$35+$H$36)*$H$35)*R36,"")</f>
        <v>65.912601649132782</v>
      </c>
      <c r="L13" s="26">
        <f>IFERROR(($E$34/($H$35+$H$36)*$H$35)*S36,"")</f>
        <v>32.956300824566391</v>
      </c>
      <c r="M13" s="28">
        <f>IFERROR(K13+L13,"")</f>
        <v>98.868902473699166</v>
      </c>
      <c r="N13" s="29">
        <f>IFERROR(O13+P13+Q13+R13+S13+T13+U13+V13,"")</f>
        <v>10886.564705715098</v>
      </c>
      <c r="O13" s="26">
        <f t="shared" ref="O13:V13" si="4">IFERROR(($E$34/($H$35+$H$36)*$H$35)*J36,"")</f>
        <v>659.12601649132785</v>
      </c>
      <c r="P13" s="26">
        <f t="shared" si="4"/>
        <v>3647.1639579186813</v>
      </c>
      <c r="Q13" s="26">
        <f t="shared" si="4"/>
        <v>6173.8136878021051</v>
      </c>
      <c r="R13" s="26">
        <f t="shared" si="4"/>
        <v>373.50474267841918</v>
      </c>
      <c r="S13" s="26">
        <f t="shared" si="4"/>
        <v>0</v>
      </c>
      <c r="T13" s="26">
        <f t="shared" si="4"/>
        <v>0</v>
      </c>
      <c r="U13" s="26">
        <f t="shared" si="4"/>
        <v>32.956300824566391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1224.5663918112027</v>
      </c>
      <c r="I14" s="27">
        <v>0</v>
      </c>
      <c r="J14" s="26">
        <f>IFERROR(H14-I14,"")</f>
        <v>1224.5663918112027</v>
      </c>
      <c r="K14" s="26">
        <f>IFERROR(($E$34/($H$35+$H$36)*$H$36)*R36,"")</f>
        <v>7.347398350867218</v>
      </c>
      <c r="L14" s="26">
        <f>IFERROR(($E$34/($H$35+$H$36)*$H$36)*S36,"")</f>
        <v>3.673699175433609</v>
      </c>
      <c r="M14" s="28">
        <f>IFERROR(K14+L14,"")</f>
        <v>11.021097526300828</v>
      </c>
      <c r="N14" s="29">
        <f>IFERROR(O14+P14+Q14+R14+S14+T14+U14+V14,"")</f>
        <v>1213.545294284902</v>
      </c>
      <c r="O14" s="26">
        <f t="shared" ref="O14:V14" si="5">IFERROR(($E$34/($H$35+$H$36)*$H$36)*J36,"")</f>
        <v>73.473983508672177</v>
      </c>
      <c r="P14" s="26">
        <f t="shared" si="5"/>
        <v>406.55604208131939</v>
      </c>
      <c r="Q14" s="26">
        <f t="shared" si="5"/>
        <v>688.20631219789607</v>
      </c>
      <c r="R14" s="26">
        <f t="shared" si="5"/>
        <v>41.635257321580902</v>
      </c>
      <c r="S14" s="26">
        <f t="shared" si="5"/>
        <v>0</v>
      </c>
      <c r="T14" s="26">
        <f t="shared" si="5"/>
        <v>0</v>
      </c>
      <c r="U14" s="26">
        <f t="shared" si="5"/>
        <v>3.673699175433609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11564.999999999998</v>
      </c>
      <c r="I16" s="27">
        <v>0</v>
      </c>
      <c r="J16" s="26">
        <f>IFERROR(H16-I16,"")</f>
        <v>11564.999999999998</v>
      </c>
      <c r="K16" s="26">
        <f>IFERROR(($E$38/($H$39)*$H$39)*R40,"")</f>
        <v>69.39</v>
      </c>
      <c r="L16" s="26">
        <f>IFERROR(($E$38/($H$39)*$H$39)*S40,"")</f>
        <v>11.565</v>
      </c>
      <c r="M16" s="28">
        <f>IFERROR(K16+L16,"")</f>
        <v>80.954999999999998</v>
      </c>
      <c r="N16" s="29">
        <f>IFERROR(O16+P16+Q16+R16+S16+T16+U16+V16,"")</f>
        <v>11484.044999999998</v>
      </c>
      <c r="O16" s="26">
        <f t="shared" ref="O16:V16" si="6">IFERROR(($E$38/($H$39)*$H$39)*J40,"")</f>
        <v>289.125</v>
      </c>
      <c r="P16" s="26">
        <f t="shared" si="6"/>
        <v>2995.335</v>
      </c>
      <c r="Q16" s="26">
        <f t="shared" si="6"/>
        <v>7736.9850000000006</v>
      </c>
      <c r="R16" s="26">
        <f t="shared" si="6"/>
        <v>439.46999999999997</v>
      </c>
      <c r="S16" s="26">
        <f t="shared" si="6"/>
        <v>0</v>
      </c>
      <c r="T16" s="26">
        <f t="shared" si="6"/>
        <v>0</v>
      </c>
      <c r="U16" s="26">
        <f t="shared" si="6"/>
        <v>23.13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58590</v>
      </c>
      <c r="I19" s="37">
        <f t="shared" si="7"/>
        <v>0</v>
      </c>
      <c r="J19" s="37">
        <f t="shared" si="7"/>
        <v>58590</v>
      </c>
      <c r="K19" s="37">
        <f t="shared" si="7"/>
        <v>341.02499999999998</v>
      </c>
      <c r="L19" s="37">
        <f t="shared" si="7"/>
        <v>107.30999999999999</v>
      </c>
      <c r="M19" s="37">
        <f t="shared" si="7"/>
        <v>448.33499999999998</v>
      </c>
      <c r="N19" s="37">
        <f t="shared" si="7"/>
        <v>58141.664999999994</v>
      </c>
      <c r="O19" s="37">
        <f t="shared" si="7"/>
        <v>3054.2999999999997</v>
      </c>
      <c r="P19" s="37">
        <f t="shared" si="7"/>
        <v>18184.47</v>
      </c>
      <c r="Q19" s="37">
        <f t="shared" si="7"/>
        <v>34636.350000000006</v>
      </c>
      <c r="R19" s="37">
        <f t="shared" si="7"/>
        <v>2125.0050000000001</v>
      </c>
      <c r="S19" s="37">
        <f t="shared" si="7"/>
        <v>12.149999999999999</v>
      </c>
      <c r="T19" s="37">
        <f t="shared" si="7"/>
        <v>0</v>
      </c>
      <c r="U19" s="37">
        <f t="shared" si="7"/>
        <v>129.39000000000001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58589.999999999993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12150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20132</v>
      </c>
      <c r="I27" s="30"/>
      <c r="J27" s="198">
        <f>$E$26*J28</f>
        <v>1239.3</v>
      </c>
      <c r="K27" s="198">
        <f t="shared" ref="K27:S27" si="8">$E$26*K28</f>
        <v>4313.25</v>
      </c>
      <c r="L27" s="198">
        <f t="shared" si="8"/>
        <v>5917.05</v>
      </c>
      <c r="M27" s="198">
        <f t="shared" si="8"/>
        <v>522.44999999999993</v>
      </c>
      <c r="N27" s="198">
        <f t="shared" si="8"/>
        <v>12.15</v>
      </c>
      <c r="O27" s="198">
        <f t="shared" si="8"/>
        <v>0</v>
      </c>
      <c r="P27" s="198">
        <f t="shared" si="8"/>
        <v>24.3</v>
      </c>
      <c r="Q27" s="198">
        <f t="shared" si="8"/>
        <v>0</v>
      </c>
      <c r="R27" s="198">
        <f t="shared" si="8"/>
        <v>85.05</v>
      </c>
      <c r="S27" s="198">
        <f t="shared" si="8"/>
        <v>36.450000000000003</v>
      </c>
      <c r="T27" s="199">
        <f>SUM(J27:S27)</f>
        <v>12150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1943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22665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38949</v>
      </c>
      <c r="I31" s="26"/>
      <c r="J31" s="198">
        <f>$E30*J32</f>
        <v>793.27500000000009</v>
      </c>
      <c r="K31" s="198">
        <f t="shared" ref="K31:S31" si="9">$E30*K32</f>
        <v>6822.165</v>
      </c>
      <c r="L31" s="198">
        <f t="shared" si="9"/>
        <v>14120.295</v>
      </c>
      <c r="M31" s="198">
        <f t="shared" si="9"/>
        <v>747.94500000000005</v>
      </c>
      <c r="N31" s="198">
        <f t="shared" si="9"/>
        <v>0</v>
      </c>
      <c r="O31" s="198">
        <f t="shared" si="9"/>
        <v>0</v>
      </c>
      <c r="P31" s="198">
        <f t="shared" si="9"/>
        <v>45.33</v>
      </c>
      <c r="Q31" s="198">
        <f t="shared" si="9"/>
        <v>0</v>
      </c>
      <c r="R31" s="198">
        <f t="shared" si="9"/>
        <v>113.325</v>
      </c>
      <c r="S31" s="198">
        <f t="shared" si="9"/>
        <v>22.664999999999999</v>
      </c>
      <c r="T31" s="199">
        <f>SUM(J31:S31)</f>
        <v>22665.000000000004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12210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34807</v>
      </c>
      <c r="I35" s="30"/>
      <c r="J35" s="198">
        <f>$E34*J36</f>
        <v>732.6</v>
      </c>
      <c r="K35" s="198">
        <f t="shared" ref="K35:S35" si="10">$E34*K36</f>
        <v>4053.7200000000003</v>
      </c>
      <c r="L35" s="198">
        <f t="shared" si="10"/>
        <v>6862.02</v>
      </c>
      <c r="M35" s="198">
        <f t="shared" si="10"/>
        <v>415.14000000000004</v>
      </c>
      <c r="N35" s="198">
        <f t="shared" si="10"/>
        <v>0</v>
      </c>
      <c r="O35" s="198">
        <f t="shared" si="10"/>
        <v>0</v>
      </c>
      <c r="P35" s="198">
        <f t="shared" si="10"/>
        <v>36.630000000000003</v>
      </c>
      <c r="Q35" s="198">
        <f t="shared" si="10"/>
        <v>0</v>
      </c>
      <c r="R35" s="198">
        <f t="shared" si="10"/>
        <v>73.260000000000005</v>
      </c>
      <c r="S35" s="198">
        <f t="shared" si="10"/>
        <v>36.630000000000003</v>
      </c>
      <c r="T35" s="199">
        <f>SUM(J35:S35)</f>
        <v>12209.999999999998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3880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11565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18886</v>
      </c>
      <c r="I39" s="30"/>
      <c r="J39" s="198">
        <f>$E38*J40</f>
        <v>289.125</v>
      </c>
      <c r="K39" s="198">
        <f t="shared" ref="K39:S39" si="11">$E38*K40</f>
        <v>2995.335</v>
      </c>
      <c r="L39" s="198">
        <f t="shared" si="11"/>
        <v>7736.9850000000006</v>
      </c>
      <c r="M39" s="198">
        <f t="shared" si="11"/>
        <v>439.46999999999997</v>
      </c>
      <c r="N39" s="198">
        <f t="shared" si="11"/>
        <v>0</v>
      </c>
      <c r="O39" s="198">
        <f t="shared" si="11"/>
        <v>0</v>
      </c>
      <c r="P39" s="198">
        <f t="shared" si="11"/>
        <v>23.13</v>
      </c>
      <c r="Q39" s="198">
        <f t="shared" si="11"/>
        <v>0</v>
      </c>
      <c r="R39" s="198">
        <f t="shared" si="11"/>
        <v>69.39</v>
      </c>
      <c r="S39" s="198">
        <f t="shared" si="11"/>
        <v>11.565</v>
      </c>
      <c r="T39" s="199">
        <f>SUM(J39:S39)</f>
        <v>11564.999999999998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45732.25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11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0.45699999999999996</v>
      </c>
      <c r="L15" s="133">
        <f>X15*M15</f>
        <v>0</v>
      </c>
      <c r="M15" s="184">
        <f>Inputs!B39</f>
        <v>0.48699999999999999</v>
      </c>
      <c r="N15" s="133">
        <f>X15*O15</f>
        <v>0</v>
      </c>
      <c r="O15" s="184">
        <f>Inputs!B40</f>
        <v>4.2999999999999997E-2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0.39200000000000002</v>
      </c>
      <c r="L20" s="133">
        <f t="shared" si="0"/>
        <v>0</v>
      </c>
      <c r="M20" s="184">
        <f>Inputs!D39</f>
        <v>0.56200000000000006</v>
      </c>
      <c r="N20" s="133">
        <f t="shared" si="1"/>
        <v>0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1.2E-2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107</v>
      </c>
      <c r="B30">
        <f>J26</f>
        <v>0</v>
      </c>
    </row>
    <row r="31" spans="1:30" x14ac:dyDescent="0.2">
      <c r="A31" s="3" t="s">
        <v>108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0</v>
      </c>
    </row>
    <row r="38" spans="1:13" x14ac:dyDescent="0.2">
      <c r="A38" s="3" t="s">
        <v>128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20132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1943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38949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34807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3880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18886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3" sqref="N2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11</v>
      </c>
      <c r="C7" s="151">
        <v>390052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1091</v>
      </c>
      <c r="J7" s="189">
        <f>IF(H7="NEW",203, IF(H7="OLD",192,0))</f>
        <v>203</v>
      </c>
      <c r="K7" s="151">
        <v>1294</v>
      </c>
      <c r="L7" s="211">
        <f>IF(K7&gt;0,I7/E7,"NA")</f>
        <v>18.183333333333334</v>
      </c>
      <c r="M7" s="151">
        <v>129019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22.892857142857142</v>
      </c>
    </row>
    <row r="8" spans="1:16" x14ac:dyDescent="0.25">
      <c r="A8" s="148">
        <v>2</v>
      </c>
      <c r="B8" s="189">
        <f>Inputs!C$2</f>
        <v>11</v>
      </c>
      <c r="C8" s="151">
        <v>390053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1185</v>
      </c>
      <c r="J8" s="189">
        <f>IF(H8="NEW",203, IF(H8="OLD",192,0))</f>
        <v>203</v>
      </c>
      <c r="K8" s="151">
        <v>1388</v>
      </c>
      <c r="L8" s="211">
        <f>IF(K8&gt;0,I8/E8,"NA")</f>
        <v>19.75</v>
      </c>
      <c r="M8" s="151">
        <v>129019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22.892857142857142</v>
      </c>
    </row>
    <row r="9" spans="1:16" x14ac:dyDescent="0.25">
      <c r="A9" s="148">
        <v>3</v>
      </c>
      <c r="B9" s="189">
        <f>Inputs!C$2</f>
        <v>11</v>
      </c>
      <c r="C9" s="151">
        <v>390054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1195</v>
      </c>
      <c r="J9" s="189">
        <f>IF(H9="NEW",203, IF(H9="OLD",192,0))</f>
        <v>203</v>
      </c>
      <c r="K9" s="151">
        <v>1398</v>
      </c>
      <c r="L9" s="211">
        <f t="shared" ref="L9:L72" si="1">IF(K9&gt;0,I9/E9,"NA")</f>
        <v>19.916666666666668</v>
      </c>
      <c r="M9" s="151">
        <v>129019</v>
      </c>
      <c r="N9" s="152" t="s">
        <v>238</v>
      </c>
      <c r="O9" s="157" t="s">
        <v>237</v>
      </c>
      <c r="P9" s="187">
        <f>IF(D9=Inputs!F$2,Inputs!I$2,IF(D9=Inputs!F$3,Inputs!I$3,IF(D9=Inputs!F$4,Inputs!I$4,IF(D9=Inputs!F$5,Inputs!I$5,"NA"))))</f>
        <v>22.892857142857142</v>
      </c>
    </row>
    <row r="10" spans="1:16" x14ac:dyDescent="0.25">
      <c r="A10" s="148">
        <v>4</v>
      </c>
      <c r="B10" s="189">
        <f>Inputs!C$2</f>
        <v>11</v>
      </c>
      <c r="C10" s="151">
        <v>390055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2945</v>
      </c>
      <c r="J10" s="189">
        <f>IF(H10="NEW",203, IF(H10="OLD",192,0))</f>
        <v>203</v>
      </c>
      <c r="K10" s="151">
        <v>3148</v>
      </c>
      <c r="L10" s="211">
        <f t="shared" si="1"/>
        <v>49.083333333333336</v>
      </c>
      <c r="M10" s="151">
        <v>129019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22.892857142857142</v>
      </c>
    </row>
    <row r="11" spans="1:16" x14ac:dyDescent="0.25">
      <c r="A11" s="148">
        <v>5</v>
      </c>
      <c r="B11" s="189">
        <f>Inputs!C$2</f>
        <v>11</v>
      </c>
      <c r="C11" s="151">
        <v>390056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1189</v>
      </c>
      <c r="J11" s="189">
        <f t="shared" ref="J11:J72" si="2">IF(H11="NEW",203, IF(H11="OLD",192,0))</f>
        <v>203</v>
      </c>
      <c r="K11" s="151">
        <v>1392</v>
      </c>
      <c r="L11" s="211">
        <f>IF(K11&gt;0,I11/E11,"NA")</f>
        <v>19.816666666666666</v>
      </c>
      <c r="M11" s="151">
        <v>129019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22.892857142857142</v>
      </c>
    </row>
    <row r="12" spans="1:16" x14ac:dyDescent="0.25">
      <c r="A12" s="148">
        <v>6</v>
      </c>
      <c r="B12" s="189">
        <f>Inputs!C$2</f>
        <v>11</v>
      </c>
      <c r="C12" s="151">
        <v>390057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1131</v>
      </c>
      <c r="J12" s="189">
        <f t="shared" si="2"/>
        <v>203</v>
      </c>
      <c r="K12" s="151">
        <v>1334</v>
      </c>
      <c r="L12" s="211">
        <f t="shared" si="1"/>
        <v>18.850000000000001</v>
      </c>
      <c r="M12" s="151">
        <v>129019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22.892857142857142</v>
      </c>
    </row>
    <row r="13" spans="1:16" x14ac:dyDescent="0.25">
      <c r="A13" s="148">
        <v>7</v>
      </c>
      <c r="B13" s="189">
        <f>Inputs!C$2</f>
        <v>11</v>
      </c>
      <c r="C13" s="151">
        <v>390058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1155</v>
      </c>
      <c r="J13" s="189">
        <f t="shared" si="2"/>
        <v>203</v>
      </c>
      <c r="K13" s="151">
        <v>1358</v>
      </c>
      <c r="L13" s="211">
        <f t="shared" si="1"/>
        <v>19.25</v>
      </c>
      <c r="M13" s="151">
        <v>129019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22.892857142857142</v>
      </c>
    </row>
    <row r="14" spans="1:16" x14ac:dyDescent="0.25">
      <c r="A14" s="148">
        <v>8</v>
      </c>
      <c r="B14" s="189">
        <f>Inputs!C$2</f>
        <v>11</v>
      </c>
      <c r="C14" s="151">
        <v>390059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1241</v>
      </c>
      <c r="J14" s="189">
        <f t="shared" si="2"/>
        <v>203</v>
      </c>
      <c r="K14" s="151">
        <v>1444</v>
      </c>
      <c r="L14" s="211">
        <f t="shared" si="1"/>
        <v>20.683333333333334</v>
      </c>
      <c r="M14" s="151">
        <v>129019</v>
      </c>
      <c r="N14" s="152" t="s">
        <v>238</v>
      </c>
      <c r="O14" s="157" t="s">
        <v>237</v>
      </c>
      <c r="P14" s="187">
        <f>IF(D14=Inputs!F$2,Inputs!I$2,IF(D14=Inputs!F$3,Inputs!I$3,IF(D14=Inputs!F$4,Inputs!I$4,IF(D14=Inputs!F$5,Inputs!I$5,"NA"))))</f>
        <v>22.892857142857142</v>
      </c>
    </row>
    <row r="15" spans="1:16" x14ac:dyDescent="0.25">
      <c r="A15" s="148">
        <v>9</v>
      </c>
      <c r="B15" s="189">
        <f>Inputs!C$2</f>
        <v>11</v>
      </c>
      <c r="C15" s="151">
        <v>390060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1177</v>
      </c>
      <c r="J15" s="189">
        <f t="shared" si="2"/>
        <v>203</v>
      </c>
      <c r="K15" s="151">
        <v>1380</v>
      </c>
      <c r="L15" s="211">
        <f t="shared" si="1"/>
        <v>19.616666666666667</v>
      </c>
      <c r="M15" s="151">
        <v>129019</v>
      </c>
      <c r="N15" s="152" t="s">
        <v>238</v>
      </c>
      <c r="O15" s="157" t="s">
        <v>237</v>
      </c>
      <c r="P15" s="187">
        <f>IF(D15=Inputs!F$2,Inputs!I$2,IF(D15=Inputs!F$3,Inputs!I$3,IF(D15=Inputs!F$4,Inputs!I$4,IF(D15=Inputs!F$5,Inputs!I$5,"NA"))))</f>
        <v>22.892857142857142</v>
      </c>
    </row>
    <row r="16" spans="1:16" x14ac:dyDescent="0.25">
      <c r="A16" s="148">
        <v>10</v>
      </c>
      <c r="B16" s="189">
        <f>Inputs!C$2</f>
        <v>11</v>
      </c>
      <c r="C16" s="151">
        <v>390061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1259</v>
      </c>
      <c r="J16" s="189">
        <f t="shared" si="2"/>
        <v>203</v>
      </c>
      <c r="K16" s="151">
        <v>1462</v>
      </c>
      <c r="L16" s="211">
        <f t="shared" si="1"/>
        <v>20.983333333333334</v>
      </c>
      <c r="M16" s="151">
        <v>129019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22.892857142857142</v>
      </c>
    </row>
    <row r="17" spans="1:16" x14ac:dyDescent="0.25">
      <c r="A17" s="148">
        <v>11</v>
      </c>
      <c r="B17" s="189">
        <f>Inputs!C$2</f>
        <v>11</v>
      </c>
      <c r="C17" s="151">
        <v>390062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1219</v>
      </c>
      <c r="J17" s="189">
        <f t="shared" si="2"/>
        <v>203</v>
      </c>
      <c r="K17" s="151">
        <v>1422</v>
      </c>
      <c r="L17" s="211">
        <f t="shared" si="1"/>
        <v>20.316666666666666</v>
      </c>
      <c r="M17" s="151">
        <v>129019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22.892857142857142</v>
      </c>
    </row>
    <row r="18" spans="1:16" x14ac:dyDescent="0.25">
      <c r="A18" s="148">
        <v>12</v>
      </c>
      <c r="B18" s="189">
        <f>Inputs!C$2</f>
        <v>11</v>
      </c>
      <c r="C18" s="151">
        <v>390063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1171</v>
      </c>
      <c r="J18" s="189">
        <f t="shared" si="2"/>
        <v>203</v>
      </c>
      <c r="K18" s="151">
        <v>1374</v>
      </c>
      <c r="L18" s="211">
        <f t="shared" si="1"/>
        <v>19.516666666666666</v>
      </c>
      <c r="M18" s="151">
        <v>129019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22.892857142857142</v>
      </c>
    </row>
    <row r="19" spans="1:16" x14ac:dyDescent="0.25">
      <c r="A19" s="148">
        <v>13</v>
      </c>
      <c r="B19" s="189">
        <f>Inputs!C$2</f>
        <v>11</v>
      </c>
      <c r="C19" s="151">
        <v>390064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1169</v>
      </c>
      <c r="J19" s="189">
        <f t="shared" si="2"/>
        <v>203</v>
      </c>
      <c r="K19" s="151">
        <v>1372</v>
      </c>
      <c r="L19" s="211">
        <f t="shared" si="1"/>
        <v>19.483333333333334</v>
      </c>
      <c r="M19" s="151">
        <v>129019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22.892857142857142</v>
      </c>
    </row>
    <row r="20" spans="1:16" x14ac:dyDescent="0.25">
      <c r="A20" s="148">
        <v>14</v>
      </c>
      <c r="B20" s="189">
        <f>Inputs!C$2</f>
        <v>11</v>
      </c>
      <c r="C20" s="151">
        <v>390065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1171</v>
      </c>
      <c r="J20" s="189">
        <f t="shared" si="2"/>
        <v>203</v>
      </c>
      <c r="K20" s="151">
        <v>1374</v>
      </c>
      <c r="L20" s="211">
        <f t="shared" si="1"/>
        <v>19.516666666666666</v>
      </c>
      <c r="M20" s="151">
        <v>129019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22.892857142857142</v>
      </c>
    </row>
    <row r="21" spans="1:16" x14ac:dyDescent="0.25">
      <c r="A21" s="148">
        <v>15</v>
      </c>
      <c r="B21" s="189">
        <f>Inputs!C$2</f>
        <v>11</v>
      </c>
      <c r="C21" s="151">
        <v>390066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1229</v>
      </c>
      <c r="J21" s="189">
        <f t="shared" si="2"/>
        <v>203</v>
      </c>
      <c r="K21" s="151">
        <v>1432</v>
      </c>
      <c r="L21" s="211">
        <f t="shared" si="1"/>
        <v>20.483333333333334</v>
      </c>
      <c r="M21" s="151">
        <v>129019</v>
      </c>
      <c r="N21" s="152" t="s">
        <v>238</v>
      </c>
      <c r="O21" s="157" t="s">
        <v>237</v>
      </c>
      <c r="P21" s="187">
        <f>IF(D21=Inputs!F$2,Inputs!I$2,IF(D21=Inputs!F$3,Inputs!I$3,IF(D21=Inputs!F$4,Inputs!I$4,IF(D21=Inputs!F$5,Inputs!I$5,"NA"))))</f>
        <v>22.892857142857142</v>
      </c>
    </row>
    <row r="22" spans="1:16" x14ac:dyDescent="0.25">
      <c r="A22" s="148">
        <v>16</v>
      </c>
      <c r="B22" s="189">
        <f>Inputs!C$2</f>
        <v>11</v>
      </c>
      <c r="C22" s="151">
        <v>390067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1247</v>
      </c>
      <c r="J22" s="189">
        <f t="shared" si="2"/>
        <v>203</v>
      </c>
      <c r="K22" s="235">
        <v>1450</v>
      </c>
      <c r="L22" s="211">
        <f t="shared" si="1"/>
        <v>20.783333333333335</v>
      </c>
      <c r="M22" s="151">
        <v>129019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22.892857142857142</v>
      </c>
    </row>
    <row r="23" spans="1:16" x14ac:dyDescent="0.25">
      <c r="A23" s="148">
        <v>17</v>
      </c>
      <c r="B23" s="189">
        <f>Inputs!C$2</f>
        <v>11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11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11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11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11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11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11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11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11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11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11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11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11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11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11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11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7" sqref="J17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11</v>
      </c>
      <c r="F2" s="166" t="s">
        <v>183</v>
      </c>
      <c r="G2" s="186">
        <v>45264</v>
      </c>
      <c r="I2" s="205">
        <f>(C$3-G2)/7</f>
        <v>66.892857142857139</v>
      </c>
      <c r="J2" s="230">
        <f>I2-19</f>
        <v>47.892857142857139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45732.25</v>
      </c>
      <c r="D3" s="247"/>
      <c r="F3" s="166" t="s">
        <v>7</v>
      </c>
      <c r="G3" s="186">
        <v>45390</v>
      </c>
      <c r="I3" s="205">
        <f>(C$3-G3)/7</f>
        <v>48.892857142857146</v>
      </c>
      <c r="J3" s="230">
        <f>I3-19</f>
        <v>29.892857142857146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22.892857142857142</v>
      </c>
      <c r="J4" s="230">
        <f>I4-19</f>
        <v>3.8928571428571423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40.464285714285715</v>
      </c>
      <c r="J5" s="230">
        <f>I5-19</f>
        <v>21.464285714285715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89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213</v>
      </c>
      <c r="C11" s="165"/>
      <c r="E11" s="139">
        <v>6</v>
      </c>
      <c r="F11" s="168">
        <v>192</v>
      </c>
      <c r="G11" s="165"/>
    </row>
    <row r="12" spans="1:12" x14ac:dyDescent="0.2">
      <c r="A12" s="139">
        <v>7</v>
      </c>
      <c r="B12" s="168">
        <v>52</v>
      </c>
      <c r="C12" s="168">
        <v>20</v>
      </c>
      <c r="E12" s="139">
        <v>7</v>
      </c>
      <c r="F12" s="168">
        <v>81</v>
      </c>
      <c r="G12" s="168">
        <v>0</v>
      </c>
    </row>
    <row r="13" spans="1:12" x14ac:dyDescent="0.2">
      <c r="A13" s="139">
        <v>11</v>
      </c>
      <c r="B13" s="168">
        <v>105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11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233</v>
      </c>
      <c r="C17" s="165"/>
      <c r="E17" s="139">
        <v>6</v>
      </c>
      <c r="F17" s="168">
        <v>221</v>
      </c>
      <c r="G17" s="165"/>
    </row>
    <row r="18" spans="1:11" x14ac:dyDescent="0.2">
      <c r="A18" s="139">
        <v>7</v>
      </c>
      <c r="B18" s="168">
        <v>81</v>
      </c>
      <c r="C18" s="168">
        <v>15</v>
      </c>
      <c r="E18" s="139">
        <v>7</v>
      </c>
      <c r="F18" s="168">
        <v>136</v>
      </c>
      <c r="G18" s="168">
        <v>21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105</v>
      </c>
      <c r="C23" s="168">
        <v>10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217</v>
      </c>
      <c r="C24" s="165"/>
      <c r="E24" s="139">
        <v>6</v>
      </c>
      <c r="F24" s="168">
        <v>221</v>
      </c>
      <c r="G24" s="165"/>
    </row>
    <row r="25" spans="1:11" x14ac:dyDescent="0.2">
      <c r="A25" s="139">
        <v>7</v>
      </c>
      <c r="B25" s="168">
        <v>125</v>
      </c>
      <c r="C25" s="168">
        <v>15</v>
      </c>
      <c r="E25" s="139">
        <v>7</v>
      </c>
      <c r="F25" s="168">
        <v>119</v>
      </c>
      <c r="G25" s="168">
        <v>15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105</v>
      </c>
      <c r="C29" s="168">
        <v>10</v>
      </c>
      <c r="E29" s="139">
        <v>3</v>
      </c>
      <c r="F29" s="203">
        <f t="shared" ref="F29:G32" si="0">B10+F10+B16+F16+B23+F23+B29</f>
        <v>734</v>
      </c>
      <c r="G29" s="203">
        <f t="shared" si="0"/>
        <v>76</v>
      </c>
      <c r="I29" s="139">
        <v>3</v>
      </c>
      <c r="J29" s="203">
        <f t="shared" ref="J29:K31" si="1">F29*15</f>
        <v>11010</v>
      </c>
      <c r="K29" s="203">
        <f t="shared" si="1"/>
        <v>1140</v>
      </c>
    </row>
    <row r="30" spans="1:11" x14ac:dyDescent="0.2">
      <c r="A30" s="139">
        <v>6</v>
      </c>
      <c r="B30" s="168">
        <v>214</v>
      </c>
      <c r="C30" s="165"/>
      <c r="E30" s="139">
        <v>6</v>
      </c>
      <c r="F30" s="203">
        <f t="shared" si="0"/>
        <v>1511</v>
      </c>
      <c r="G30" s="204">
        <f t="shared" si="0"/>
        <v>0</v>
      </c>
      <c r="I30" s="139">
        <v>6</v>
      </c>
      <c r="J30" s="203">
        <f t="shared" si="1"/>
        <v>22665</v>
      </c>
      <c r="K30" s="204">
        <f t="shared" si="1"/>
        <v>0</v>
      </c>
    </row>
    <row r="31" spans="1:11" x14ac:dyDescent="0.2">
      <c r="A31" s="139">
        <v>7</v>
      </c>
      <c r="B31" s="168">
        <v>118</v>
      </c>
      <c r="C31" s="168">
        <v>16</v>
      </c>
      <c r="E31" s="139">
        <v>7</v>
      </c>
      <c r="F31" s="203">
        <f t="shared" si="0"/>
        <v>712</v>
      </c>
      <c r="G31" s="203">
        <f t="shared" si="0"/>
        <v>102</v>
      </c>
      <c r="I31" s="139">
        <v>7</v>
      </c>
      <c r="J31" s="203">
        <f t="shared" si="1"/>
        <v>10680</v>
      </c>
      <c r="K31" s="203">
        <f t="shared" si="1"/>
        <v>1530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771</v>
      </c>
      <c r="G32" s="204">
        <f t="shared" si="0"/>
        <v>0</v>
      </c>
      <c r="I32" s="139">
        <v>11</v>
      </c>
      <c r="J32" s="203">
        <f>F32*15</f>
        <v>11565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5" t="s">
        <v>225</v>
      </c>
      <c r="H36" s="245"/>
      <c r="I36" s="225">
        <v>0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12150</v>
      </c>
      <c r="C45" s="231">
        <f>J30</f>
        <v>22665</v>
      </c>
      <c r="D45" s="231">
        <f>J31</f>
        <v>10680</v>
      </c>
      <c r="E45" s="231">
        <f>J32</f>
        <v>11565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2025-03-17T13:07:31Z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