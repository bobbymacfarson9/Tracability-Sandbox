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54AEE117-6655-4632-82BB-C3776CA3571C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24" i="6"/>
  <c r="I25" i="6"/>
  <c r="I26" i="6"/>
  <c r="I28" i="6"/>
  <c r="L28" i="6" s="1"/>
  <c r="I29" i="6"/>
  <c r="L29" i="6" s="1"/>
  <c r="I30" i="6"/>
  <c r="I31" i="6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J25" i="6"/>
  <c r="J26" i="6"/>
  <c r="J27" i="6"/>
  <c r="I27" i="6" s="1"/>
  <c r="L27" i="6" s="1"/>
  <c r="J28" i="6"/>
  <c r="J29" i="6"/>
  <c r="J30" i="6"/>
  <c r="J31" i="6"/>
  <c r="J32" i="6"/>
  <c r="I32" i="6" s="1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P37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<sst xmlns="http://schemas.openxmlformats.org/spreadsheetml/2006/main" count="583" uniqueCount="239">
  <si>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</si>
  <si>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</si>
  <si>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</si>
  <si>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</si>
  <si>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</si>
  <si>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</si>
  <si>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</si>
  <si>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</si>
  <si>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</si>
  <si>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</si>
  <si>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</si>
  <si>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</si>
  <si>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</si>
  <si>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</si>
  <si>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</si>
  <si>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</si>
  <si>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</si>
  <si>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</si>
  <si>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</si>
  <si>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</si>
  <si>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</si>
  <si>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</si>
  <si>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</si>
  <si>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</si>
  <si>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</si>
  <si>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</si>
  <si>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</si>
  <si>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</si>
  <si>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</si>
  <si>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</si>
  <si>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</si>
  <si>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</si>
  <si>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</si>
  <si>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</si>
  <si>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</si>
  <si>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</si>
  <si>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</si>
  <si>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</si>
  <si>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</si>
  <si>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</si>
  <si>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</si>
  <si>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</si>
  <si>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</si>
  <si>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</si>
  <si>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</si>
  <si>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</si>
  <si>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</si>
  <si>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</si>
  <si>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</si>
  <si>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</si>
  <si>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</si>
  <si>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</si>
  <si>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</si>
  <si>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</si>
  <si>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</si>
  <si>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</si>
  <si>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</si>
  <si>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</si>
  <si>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</si>
  <si>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</si>
  <si>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</si>
  <si>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</si>
  <si>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</si>
  <si>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</si>
  <si>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</si>
  <si>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</si>
  <si>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</si>
  <si>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</si>
  <si>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</si>
  <si>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</si>
  <si>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</si>
  <si>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</si>
  <si>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</si>
  <si>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</si>
  <si>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</si>
  <si>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</si>
  <si>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</si>
  <si>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</si>
  <si>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</si>
  <si>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</si>
  <si>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</si>
  <si>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</si>
  <si>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</si>
  <si>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</si>
  <si>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</si>
  <si>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</si>
  <si>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</si>
  <si>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</si>
  <si>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</si>
  <si>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</si>
  <si>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</si>
  <si>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</si>
  <si>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</si>
  <si>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</si>
  <si>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</si>
  <si>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</si>
  <si>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</si>
  <si>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</si>
  <si>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</si>
  <si>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</si>
  <si>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</si>
  <si>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</si>
  <si>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</si>
  <si>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</si>
  <si>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</si>
  <si>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</si>
  <si>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</si>
  <si>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</si>
  <si>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</si>
  <si>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</si>
  <si>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</si>
  <si>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</si>
  <si>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</si>
  <si>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</si>
  <si>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</si>
  <si>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</si>
  <si>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</si>
  <si>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</si>
  <si>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</si>
  <si>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</si>
  <si>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</si>
  <si>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</si>
  <si>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</si>
  <si>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</si>
  <si>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</si>
  <si>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</si>
  <si>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</si>
  <si>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</si>
  <si>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</si>
  <si>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</si>
  <si>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</si>
  <si>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</si>
  <si>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</si>
  <si>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</si>
  <si>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</si>
  <si>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</si>
  <si>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</si>
  <si>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</si>
  <si>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</si>
  <si>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</si>
  <si>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</si>
  <si>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</si>
  <si>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</si>
  <si>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</si>
  <si>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</si>
  <si>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</si>
  <si>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</si>
  <si>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</si>
  <si>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</si>
  <si>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</si>
  <si>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</si>
  <si>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</si>
  <si>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</si>
  <si>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</si>
  <si>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</si>
  <si>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</si>
  <si>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</si>
  <si>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</si>
  <si>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</si>
  <si>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</si>
  <si>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</si>
  <si>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</si>
  <si>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</si>
  <si>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</si>
  <si>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</si>
  <si>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</si>
  <si>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</si>
  <si>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</si>
  <si>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</si>
  <si>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</si>
  <si>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</si>
  <si>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</si>
  <si>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</si>
  <si>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</si>
  <si>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</si>
  <si>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</si>
  <si>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</si>
  <si>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</si>
  <si>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</si>
  <si>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</si>
  <si>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</si>
  <si>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</si>
  <si>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</si>
  <si>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</si>
  <si>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</si>
  <si>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</si>
  <si>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</si>
  <si>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</si>
  <si>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</si>
  <si>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</si>
  <si>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</si>
  <si>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</si>
  <si>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</si>
  <si>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</si>
  <si>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</si>
  <si>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</si>
  <si>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</si>
  <si>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</si>
  <si>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</si>
  <si>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</si>
  <si>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</si>
  <si>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</si>
  <si>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</si>
  <si>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</si>
  <si>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</si>
  <si>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</si>
  <si>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</si>
  <si>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</si>
  <si>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</si>
  <si>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</si>
  <si>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</si>
  <si>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</si>
  <si>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</si>
  <si>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</si>
  <si>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</si>
  <si>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</si>
  <si>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</si>
  <si>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</si>
  <si>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</si>
  <si>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</si>
  <si>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</si>
  <si>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</si>
  <si>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</si>
  <si>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</si>
  <si>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</si>
  <si>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</si>
  <si>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</si>
  <si>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</si>
  <si>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</si>
  <si>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</si>
  <si>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</si>
  <si>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</si>
  <si>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</si>
  <si>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</si>
  <si>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</si>
  <si>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</si>
  <si>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</si>
  <si>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</si>
  <si>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April 17/25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</si>
</sst>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U34" sqref="U34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16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8">
        <f>Inputs!C3</f>
        <v>45767.25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11204.191873384429</v>
      </c>
      <c r="I7" s="27">
        <v>0</v>
      </c>
      <c r="J7" s="26">
        <f>IFERROR(H7-I7,"")</f>
        <v>11204.191873384429</v>
      </c>
      <c r="K7" s="26">
        <f>IFERROR(($E$26/($H$27+$H$28)*$H$27)*R28,"")</f>
        <v>56.020959366922142</v>
      </c>
      <c r="L7" s="26">
        <f>IFERROR(($E$26/($H$27+$H$28)*$H$27)*S28,"")</f>
        <v>22.408383746768859</v>
      </c>
      <c r="M7" s="28">
        <f>IFERROR(K7+L7,"")</f>
        <v>78.429343113691004</v>
      </c>
      <c r="N7" s="29">
        <f>IFERROR(O7+P7+Q7+R7+S7+T7+U7+V7,"")</f>
        <v>11125.762530270738</v>
      </c>
      <c r="O7" s="26">
        <f t="shared" ref="O7:V7" si="0">IFERROR(($E$26/($H$27+$H$28)*$H$27)*J28,"")</f>
        <v>1109.2149954650586</v>
      </c>
      <c r="P7" s="26">
        <f>IFERROR(($E$26/($H$27+$H$28)*$H$27)*K28,"")</f>
        <v>4358.4306387465431</v>
      </c>
      <c r="Q7" s="26">
        <f t="shared" si="0"/>
        <v>5355.6037154777569</v>
      </c>
      <c r="R7" s="26">
        <f t="shared" si="0"/>
        <v>280.10479683461074</v>
      </c>
      <c r="S7" s="26">
        <f t="shared" si="0"/>
        <v>0</v>
      </c>
      <c r="T7" s="26">
        <f t="shared" si="0"/>
        <v>0</v>
      </c>
      <c r="U7" s="26">
        <f t="shared" si="0"/>
        <v>22.408383746768859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1080.808126615573</v>
      </c>
      <c r="I8" s="27">
        <v>0</v>
      </c>
      <c r="J8" s="26">
        <f>IFERROR(H8-I8,"")</f>
        <v>1080.808126615573</v>
      </c>
      <c r="K8" s="26">
        <f>IFERROR(($E$26/($H$27+$H$28)*$H$28)*R28,"")</f>
        <v>5.404040633077865</v>
      </c>
      <c r="L8" s="26">
        <f>IFERROR(($E$26/($H$27+$H$28)*$H$28)*S28,"")</f>
        <v>2.1616162532311458</v>
      </c>
      <c r="M8" s="28">
        <f>IFERROR(K8+L8,"")</f>
        <v>7.5656568863090108</v>
      </c>
      <c r="N8" s="29">
        <f>IFERROR(O8+P8+Q8+R8+S8+T8+U8+V8,"")</f>
        <v>1073.242469729264</v>
      </c>
      <c r="O8" s="26">
        <f t="shared" ref="O8:V8" si="1">IFERROR(($E$26/($H$27+$H$28)*$H$28)*J28,"")</f>
        <v>107.00000453494172</v>
      </c>
      <c r="P8" s="26">
        <f t="shared" si="1"/>
        <v>420.43436125345789</v>
      </c>
      <c r="Q8" s="26">
        <f t="shared" si="1"/>
        <v>516.62628452224385</v>
      </c>
      <c r="R8" s="26">
        <f t="shared" si="1"/>
        <v>27.020203165389326</v>
      </c>
      <c r="S8" s="26">
        <f t="shared" si="1"/>
        <v>0</v>
      </c>
      <c r="T8" s="26">
        <f t="shared" si="1"/>
        <v>0</v>
      </c>
      <c r="U8" s="26">
        <f t="shared" si="1"/>
        <v>2.1616162532311458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22799.999999999996</v>
      </c>
      <c r="I10" s="27">
        <v>0</v>
      </c>
      <c r="J10" s="26">
        <f>IFERROR(H10-I10,"")</f>
        <v>22799.999999999996</v>
      </c>
      <c r="K10" s="26">
        <f>IFERROR(($E$30/($H$31+$H$32)*$H$31)*R32,"")</f>
        <v>114</v>
      </c>
      <c r="L10" s="26">
        <f>IFERROR(($E$30/($H$31+$H$32)*$H$31)*S32,"")</f>
        <v>22.8</v>
      </c>
      <c r="M10" s="28">
        <f>IFERROR(K10+L10,"")</f>
        <v>136.80000000000001</v>
      </c>
      <c r="N10" s="29">
        <f>IFERROR(O10+P10+Q10+R10+S10+T10+U10+V10,"")</f>
        <v>22663.199999999997</v>
      </c>
      <c r="O10" s="26">
        <f t="shared" ref="O10:V10" si="2">IFERROR(($E$30/($H$31+$H$32)*$H$31)*J32,"")</f>
        <v>524.4</v>
      </c>
      <c r="P10" s="26">
        <f t="shared" si="2"/>
        <v>5175.6000000000004</v>
      </c>
      <c r="Q10" s="26">
        <f t="shared" si="2"/>
        <v>15618.000000000002</v>
      </c>
      <c r="R10" s="26">
        <f t="shared" si="2"/>
        <v>1299.6000000000001</v>
      </c>
      <c r="S10" s="26">
        <f t="shared" si="2"/>
        <v>0</v>
      </c>
      <c r="T10" s="26">
        <f t="shared" si="2"/>
        <v>0</v>
      </c>
      <c r="U10" s="26">
        <f t="shared" si="2"/>
        <v>45.6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20905.247244216738</v>
      </c>
      <c r="I13" s="27">
        <v>0</v>
      </c>
      <c r="J13" s="26">
        <f>IFERROR(H13-I13,"")</f>
        <v>20905.247244216738</v>
      </c>
      <c r="K13" s="26">
        <f>IFERROR(($E$34/($H$35+$H$36)*$H$35)*R36,"")</f>
        <v>125.43148346530043</v>
      </c>
      <c r="L13" s="26">
        <f>IFERROR(($E$34/($H$35+$H$36)*$H$35)*S36,"")</f>
        <v>41.810494488433477</v>
      </c>
      <c r="M13" s="28">
        <f>IFERROR(K13+L13,"")</f>
        <v>167.24197795373391</v>
      </c>
      <c r="N13" s="29">
        <f>IFERROR(O13+P13+Q13+R13+S13+T13+U13+V13,"")</f>
        <v>20738.005266263004</v>
      </c>
      <c r="O13" s="26">
        <f t="shared" ref="O13:V13" si="4">IFERROR(($E$34/($H$35+$H$36)*$H$35)*J36,"")</f>
        <v>752.58890079180253</v>
      </c>
      <c r="P13" s="26">
        <f t="shared" si="4"/>
        <v>5309.9328000310516</v>
      </c>
      <c r="Q13" s="26">
        <f t="shared" si="4"/>
        <v>12543.148346530043</v>
      </c>
      <c r="R13" s="26">
        <f t="shared" si="4"/>
        <v>2069.6194771774572</v>
      </c>
      <c r="S13" s="26">
        <f t="shared" si="4"/>
        <v>0</v>
      </c>
      <c r="T13" s="26">
        <f t="shared" si="4"/>
        <v>0</v>
      </c>
      <c r="U13" s="26">
        <f t="shared" si="4"/>
        <v>62.715741732650216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2329.7527557832636</v>
      </c>
      <c r="I14" s="27">
        <v>0</v>
      </c>
      <c r="J14" s="26">
        <f>IFERROR(H14-I14,"")</f>
        <v>2329.7527557832636</v>
      </c>
      <c r="K14" s="26">
        <f>IFERROR(($E$34/($H$35+$H$36)*$H$36)*R36,"")</f>
        <v>13.978516534699581</v>
      </c>
      <c r="L14" s="26">
        <f>IFERROR(($E$34/($H$35+$H$36)*$H$36)*S36,"")</f>
        <v>4.6595055115665271</v>
      </c>
      <c r="M14" s="28">
        <f>IFERROR(K14+L14,"")</f>
        <v>18.638022046266109</v>
      </c>
      <c r="N14" s="29">
        <f>IFERROR(O14+P14+Q14+R14+S14+T14+U14+V14,"")</f>
        <v>2311.1147337369976</v>
      </c>
      <c r="O14" s="26">
        <f t="shared" ref="O14:V14" si="5">IFERROR(($E$34/($H$35+$H$36)*$H$36)*J36,"")</f>
        <v>83.871099208197478</v>
      </c>
      <c r="P14" s="26">
        <f t="shared" si="5"/>
        <v>591.75719996894895</v>
      </c>
      <c r="Q14" s="26">
        <f t="shared" si="5"/>
        <v>1397.8516534699581</v>
      </c>
      <c r="R14" s="26">
        <f t="shared" si="5"/>
        <v>230.64552282254311</v>
      </c>
      <c r="S14" s="26">
        <f t="shared" si="5"/>
        <v>0</v>
      </c>
      <c r="T14" s="26">
        <f t="shared" si="5"/>
        <v>0</v>
      </c>
      <c r="U14" s="26">
        <f t="shared" si="5"/>
        <v>6.9892582673497907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11490</v>
      </c>
      <c r="I16" s="27">
        <v>0</v>
      </c>
      <c r="J16" s="26">
        <f>IFERROR(H16-I16,"")</f>
        <v>11490</v>
      </c>
      <c r="K16" s="26">
        <f>IFERROR(($E$38/($H$39)*$H$39)*R40,"")</f>
        <v>68.94</v>
      </c>
      <c r="L16" s="26">
        <f>IFERROR(($E$38/($H$39)*$H$39)*S40,"")</f>
        <v>11.49</v>
      </c>
      <c r="M16" s="28">
        <f>IFERROR(K16+L16,"")</f>
        <v>80.429999999999993</v>
      </c>
      <c r="N16" s="29">
        <f>IFERROR(O16+P16+Q16+R16+S16+T16+U16+V16,"")</f>
        <v>11409.57</v>
      </c>
      <c r="O16" s="26">
        <f t="shared" ref="O16:V16" si="6">IFERROR(($E$38/($H$39)*$H$39)*J40,"")</f>
        <v>597.48</v>
      </c>
      <c r="P16" s="26">
        <f t="shared" si="6"/>
        <v>3780.21</v>
      </c>
      <c r="Q16" s="26">
        <f t="shared" si="6"/>
        <v>6698.6699999999992</v>
      </c>
      <c r="R16" s="26">
        <f t="shared" si="6"/>
        <v>310.23</v>
      </c>
      <c r="S16" s="26">
        <f t="shared" si="6"/>
        <v>0</v>
      </c>
      <c r="T16" s="26">
        <f t="shared" si="6"/>
        <v>0</v>
      </c>
      <c r="U16" s="26">
        <f t="shared" si="6"/>
        <v>22.98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69810</v>
      </c>
      <c r="I19" s="37">
        <f t="shared" si="7"/>
        <v>0</v>
      </c>
      <c r="J19" s="37">
        <f t="shared" si="7"/>
        <v>69810</v>
      </c>
      <c r="K19" s="37">
        <f t="shared" si="7"/>
        <v>383.77500000000003</v>
      </c>
      <c r="L19" s="37">
        <f t="shared" si="7"/>
        <v>105.33</v>
      </c>
      <c r="M19" s="37">
        <f t="shared" si="7"/>
        <v>489.10500000000002</v>
      </c>
      <c r="N19" s="37">
        <f t="shared" si="7"/>
        <v>69320.895000000004</v>
      </c>
      <c r="O19" s="37">
        <f t="shared" si="7"/>
        <v>3174.5550000000003</v>
      </c>
      <c r="P19" s="37">
        <f t="shared" si="7"/>
        <v>19636.365000000002</v>
      </c>
      <c r="Q19" s="37">
        <f t="shared" si="7"/>
        <v>42129.9</v>
      </c>
      <c r="R19" s="37">
        <f t="shared" si="7"/>
        <v>4217.2200000000012</v>
      </c>
      <c r="S19" s="37">
        <f t="shared" si="7"/>
        <v>0</v>
      </c>
      <c r="T19" s="37">
        <f t="shared" si="7"/>
        <v>0</v>
      </c>
      <c r="U19" s="37">
        <f t="shared" si="7"/>
        <v>162.85499999999999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69810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12285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20111</v>
      </c>
      <c r="I27" s="30"/>
      <c r="J27" s="198">
        <f>$E$26*J28</f>
        <v>1216.2150000000001</v>
      </c>
      <c r="K27" s="198">
        <f t="shared" ref="K27:S27" si="8">$E$26*K28</f>
        <v>4778.8649999999998</v>
      </c>
      <c r="L27" s="198">
        <f t="shared" si="8"/>
        <v>5872.23</v>
      </c>
      <c r="M27" s="198">
        <f t="shared" si="8"/>
        <v>307.125</v>
      </c>
      <c r="N27" s="198">
        <f t="shared" si="8"/>
        <v>0</v>
      </c>
      <c r="O27" s="198">
        <f t="shared" si="8"/>
        <v>0</v>
      </c>
      <c r="P27" s="198">
        <f t="shared" si="8"/>
        <v>24.57</v>
      </c>
      <c r="Q27" s="198">
        <f t="shared" si="8"/>
        <v>0</v>
      </c>
      <c r="R27" s="198">
        <f t="shared" si="8"/>
        <v>61.425000000000004</v>
      </c>
      <c r="S27" s="198">
        <f t="shared" si="8"/>
        <v>24.57</v>
      </c>
      <c r="T27" s="199">
        <f>SUM(J27:S27)</f>
        <v>12284.999999999998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1940</v>
      </c>
      <c r="I28" s="30"/>
      <c r="J28" s="197">
        <f>Inputs!B37</f>
        <v>9.9000000000000005E-2</v>
      </c>
      <c r="K28" s="197">
        <f>Inputs!B38</f>
        <v>0.38900000000000001</v>
      </c>
      <c r="L28" s="197">
        <f>Inputs!B39</f>
        <v>0.47799999999999998</v>
      </c>
      <c r="M28" s="197">
        <f>Inputs!B40</f>
        <v>2.5000000000000001E-2</v>
      </c>
      <c r="N28" s="197">
        <f>Inputs!B41</f>
        <v>0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5.0000000000000001E-3</v>
      </c>
      <c r="S28" s="197">
        <f>Inputs!B47</f>
        <v>2E-3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22800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38909</v>
      </c>
      <c r="I31" s="26"/>
      <c r="J31" s="198">
        <f>$E30*J32</f>
        <v>524.4</v>
      </c>
      <c r="K31" s="198">
        <f t="shared" ref="K31:S31" si="9">$E30*K32</f>
        <v>5175.6000000000004</v>
      </c>
      <c r="L31" s="198">
        <f t="shared" si="9"/>
        <v>15618.000000000002</v>
      </c>
      <c r="M31" s="198">
        <f t="shared" si="9"/>
        <v>1299.6000000000001</v>
      </c>
      <c r="N31" s="198">
        <f t="shared" si="9"/>
        <v>0</v>
      </c>
      <c r="O31" s="198">
        <f t="shared" si="9"/>
        <v>0</v>
      </c>
      <c r="P31" s="198">
        <f t="shared" si="9"/>
        <v>45.6</v>
      </c>
      <c r="Q31" s="198">
        <f t="shared" si="9"/>
        <v>0</v>
      </c>
      <c r="R31" s="198">
        <f t="shared" si="9"/>
        <v>114</v>
      </c>
      <c r="S31" s="198">
        <f t="shared" si="9"/>
        <v>22.8</v>
      </c>
      <c r="T31" s="199">
        <f>SUM(J31:S31)</f>
        <v>22799.999999999996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2.3E-2</v>
      </c>
      <c r="K32" s="197">
        <f>Inputs!C38</f>
        <v>0.22700000000000001</v>
      </c>
      <c r="L32" s="197">
        <f>Inputs!C39</f>
        <v>0.68500000000000005</v>
      </c>
      <c r="M32" s="197">
        <f>Inputs!C40</f>
        <v>5.7000000000000002E-2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5.0000000000000001E-3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23235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34771</v>
      </c>
      <c r="I35" s="30"/>
      <c r="J35" s="198">
        <f>$E34*J36</f>
        <v>836.45999999999992</v>
      </c>
      <c r="K35" s="198">
        <f t="shared" ref="K35:S35" si="10">$E34*K36</f>
        <v>5901.6900000000005</v>
      </c>
      <c r="L35" s="198">
        <f t="shared" si="10"/>
        <v>13941</v>
      </c>
      <c r="M35" s="198">
        <f t="shared" si="10"/>
        <v>2300.2650000000003</v>
      </c>
      <c r="N35" s="198">
        <f t="shared" si="10"/>
        <v>0</v>
      </c>
      <c r="O35" s="198">
        <f t="shared" si="10"/>
        <v>0</v>
      </c>
      <c r="P35" s="198">
        <f t="shared" si="10"/>
        <v>69.704999999999998</v>
      </c>
      <c r="Q35" s="198">
        <f t="shared" si="10"/>
        <v>0</v>
      </c>
      <c r="R35" s="198">
        <f t="shared" si="10"/>
        <v>139.41</v>
      </c>
      <c r="S35" s="198">
        <f t="shared" si="10"/>
        <v>46.47</v>
      </c>
      <c r="T35" s="199">
        <f>SUM(J35:S35)</f>
        <v>23235.000000000004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3875</v>
      </c>
      <c r="I36" s="30"/>
      <c r="J36" s="197">
        <f>Inputs!D37</f>
        <v>3.5999999999999997E-2</v>
      </c>
      <c r="K36" s="197">
        <f>Inputs!D38</f>
        <v>0.254</v>
      </c>
      <c r="L36" s="197">
        <f>Inputs!D39</f>
        <v>0.6</v>
      </c>
      <c r="M36" s="197">
        <f>Inputs!D40</f>
        <v>9.9000000000000005E-2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Inputs!D48+Inputs!D50</f>
        <v>6.0000000000000001E-3</v>
      </c>
      <c r="S36" s="197">
        <f>Inputs!D47</f>
        <v>2E-3</v>
      </c>
      <c r="T36" s="200">
        <f>SUM(J36:S36)</f>
        <v>0.99999999999999989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11490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18862</v>
      </c>
      <c r="I39" s="30"/>
      <c r="J39" s="198">
        <f>$E38*J40</f>
        <v>597.48</v>
      </c>
      <c r="K39" s="198">
        <f t="shared" ref="K39:S39" si="11">$E38*K40</f>
        <v>3780.21</v>
      </c>
      <c r="L39" s="198">
        <f t="shared" si="11"/>
        <v>6698.6699999999992</v>
      </c>
      <c r="M39" s="198">
        <f t="shared" si="11"/>
        <v>310.23</v>
      </c>
      <c r="N39" s="198">
        <f t="shared" si="11"/>
        <v>0</v>
      </c>
      <c r="O39" s="198">
        <f t="shared" si="11"/>
        <v>0</v>
      </c>
      <c r="P39" s="198">
        <f t="shared" si="11"/>
        <v>22.98</v>
      </c>
      <c r="Q39" s="198">
        <f t="shared" si="11"/>
        <v>0</v>
      </c>
      <c r="R39" s="198">
        <f t="shared" si="11"/>
        <v>68.94</v>
      </c>
      <c r="S39" s="198">
        <f t="shared" si="11"/>
        <v>11.49</v>
      </c>
      <c r="T39" s="199">
        <f>SUM(J39:S39)</f>
        <v>11490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5.1999999999999998E-2</v>
      </c>
      <c r="K40" s="197">
        <f>Inputs!E38</f>
        <v>0.32900000000000001</v>
      </c>
      <c r="L40" s="197">
        <f>Inputs!E39</f>
        <v>0.58299999999999996</v>
      </c>
      <c r="M40" s="197">
        <f>Inputs!E40</f>
        <v>2.7E-2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abSelected="1" zoomScaleNormal="100" workbookViewId="0">
      <selection activeCell="D19" sqref="D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64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45767.25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16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1800</v>
      </c>
      <c r="C13" s="220">
        <f>'Grade out Information'!X26</f>
        <v>27000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1800</v>
      </c>
      <c r="C27" s="222">
        <f>SUM(C13:C26)</f>
        <v>27000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W34" sqref="W34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1" t="s">
        <v>103</v>
      </c>
      <c r="D7" s="241"/>
      <c r="E7" s="241"/>
      <c r="F7" s="241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16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5955</v>
      </c>
      <c r="J15" s="133">
        <f>X15*K15</f>
        <v>2906.04</v>
      </c>
      <c r="K15" s="184">
        <f>Inputs!B36</f>
        <v>0.48799999999999999</v>
      </c>
      <c r="L15" s="133">
        <f>X15*M15</f>
        <v>2846.49</v>
      </c>
      <c r="M15" s="184">
        <f>Inputs!B39</f>
        <v>0.47799999999999998</v>
      </c>
      <c r="N15" s="133">
        <f>X15*O15</f>
        <v>148.875</v>
      </c>
      <c r="O15" s="184">
        <f>Inputs!B40</f>
        <v>2.5000000000000001E-2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53.595000000000006</v>
      </c>
      <c r="W15" s="185">
        <f>Inputs!B43</f>
        <v>9.0000000000000011E-3</v>
      </c>
      <c r="X15" s="213">
        <f>Z15*15</f>
        <v>5955</v>
      </c>
      <c r="Y15" s="209">
        <f>K15+M15+O15+Q15+S15+U15+W15</f>
        <v>1</v>
      </c>
      <c r="Z15" s="226">
        <f>Inputs!I35</f>
        <v>397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345</v>
      </c>
      <c r="J16" s="133">
        <f>X16*K16</f>
        <v>168.35999999999999</v>
      </c>
      <c r="K16" s="184">
        <f>K15</f>
        <v>0.48799999999999999</v>
      </c>
      <c r="L16" s="133">
        <f t="shared" ref="L16:L23" si="0">X16*M16</f>
        <v>164.91</v>
      </c>
      <c r="M16" s="184">
        <f>M15</f>
        <v>0.47799999999999998</v>
      </c>
      <c r="N16" s="133">
        <f t="shared" ref="N16:N21" si="1">X16*O16</f>
        <v>8.625</v>
      </c>
      <c r="O16" s="184">
        <f>O15</f>
        <v>2.5000000000000001E-2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3.1050000000000004</v>
      </c>
      <c r="W16" s="185">
        <f>W15</f>
        <v>9.0000000000000011E-3</v>
      </c>
      <c r="X16" s="213">
        <f t="shared" ref="X16:X23" si="6">Z16*15</f>
        <v>345</v>
      </c>
      <c r="Y16" s="209">
        <f>K16+M16+O16+Q16+S16+U16+W16</f>
        <v>1</v>
      </c>
      <c r="Z16" s="226">
        <f>Inputs!I36</f>
        <v>23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3600</v>
      </c>
      <c r="J18" s="133">
        <f>X18*K18</f>
        <v>900</v>
      </c>
      <c r="K18" s="184">
        <f>Inputs!C36</f>
        <v>0.25</v>
      </c>
      <c r="L18" s="133">
        <f t="shared" si="0"/>
        <v>2466</v>
      </c>
      <c r="M18" s="184">
        <f>Inputs!C39</f>
        <v>0.68500000000000005</v>
      </c>
      <c r="N18" s="133">
        <f t="shared" si="1"/>
        <v>205.20000000000002</v>
      </c>
      <c r="O18" s="184">
        <f>Inputs!C40</f>
        <v>5.7000000000000002E-2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28.8</v>
      </c>
      <c r="W18" s="185">
        <f>Inputs!C43</f>
        <v>8.0000000000000002E-3</v>
      </c>
      <c r="X18" s="213">
        <f t="shared" si="6"/>
        <v>3600</v>
      </c>
      <c r="Y18" s="209">
        <f>K18+M18+O18+Q18+S18+U18+W18</f>
        <v>1</v>
      </c>
      <c r="Z18" s="226">
        <f>Inputs!I37</f>
        <v>240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13740</v>
      </c>
      <c r="J20" s="133">
        <f>X20*K20</f>
        <v>3984.6</v>
      </c>
      <c r="K20" s="184">
        <f>Inputs!D36</f>
        <v>0.28999999999999998</v>
      </c>
      <c r="L20" s="133">
        <f t="shared" si="0"/>
        <v>8244</v>
      </c>
      <c r="M20" s="184">
        <f>Inputs!D39</f>
        <v>0.6</v>
      </c>
      <c r="N20" s="133">
        <f t="shared" si="1"/>
        <v>1360.26</v>
      </c>
      <c r="O20" s="184">
        <f>Inputs!D40</f>
        <v>9.9000000000000005E-2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151.13999999999999</v>
      </c>
      <c r="W20" s="185">
        <f>Inputs!D43</f>
        <v>1.0999999999999999E-2</v>
      </c>
      <c r="X20" s="213">
        <f t="shared" si="6"/>
        <v>13740</v>
      </c>
      <c r="Y20" s="209">
        <f>K20+M20+O20+Q20+S20+U20+W20</f>
        <v>0.99999999999999989</v>
      </c>
      <c r="Z20" s="226">
        <f>Inputs!I38</f>
        <v>916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1560.0000000000002</v>
      </c>
      <c r="J21" s="133">
        <f>X21*K21</f>
        <v>452.4</v>
      </c>
      <c r="K21" s="184">
        <f>K20</f>
        <v>0.28999999999999998</v>
      </c>
      <c r="L21" s="133">
        <f t="shared" si="0"/>
        <v>936</v>
      </c>
      <c r="M21" s="184">
        <f>M20</f>
        <v>0.6</v>
      </c>
      <c r="N21" s="133">
        <f t="shared" si="1"/>
        <v>154.44</v>
      </c>
      <c r="O21" s="184">
        <f>O20</f>
        <v>9.9000000000000005E-2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17.16</v>
      </c>
      <c r="W21" s="185">
        <f>W20</f>
        <v>1.0999999999999999E-2</v>
      </c>
      <c r="X21" s="213">
        <f t="shared" si="6"/>
        <v>1560</v>
      </c>
      <c r="Y21" s="209">
        <f>K21+M21+O21+Q21+S21+U21+W21</f>
        <v>0.99999999999999989</v>
      </c>
      <c r="Z21" s="226">
        <f>Inputs!I39</f>
        <v>104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1799.9999999999998</v>
      </c>
      <c r="J23" s="133">
        <f>X23*K23</f>
        <v>685.8</v>
      </c>
      <c r="K23" s="184">
        <f>Inputs!E36</f>
        <v>0.38100000000000001</v>
      </c>
      <c r="L23" s="133">
        <f t="shared" si="0"/>
        <v>1049.3999999999999</v>
      </c>
      <c r="M23" s="184">
        <f>Inputs!E39</f>
        <v>0.58299999999999996</v>
      </c>
      <c r="N23" s="133">
        <f>X23*O23</f>
        <v>48.6</v>
      </c>
      <c r="O23" s="184">
        <f>Inputs!E40</f>
        <v>2.7E-2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16.200000000000003</v>
      </c>
      <c r="W23" s="218">
        <f>Inputs!E43</f>
        <v>9.0000000000000011E-3</v>
      </c>
      <c r="X23" s="213">
        <f t="shared" si="6"/>
        <v>1800</v>
      </c>
      <c r="Y23" s="209">
        <f>K23+M23+O23+Q23+S23+U23+W23</f>
        <v>1</v>
      </c>
      <c r="Z23" s="226">
        <f>Inputs!I40</f>
        <v>120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9097.1999999999989</v>
      </c>
      <c r="K26" s="139"/>
      <c r="L26" s="139">
        <f>SUM(L15:L25)</f>
        <v>15706.8</v>
      </c>
      <c r="M26" s="139"/>
      <c r="N26" s="139">
        <f>SUM(N15:N25)</f>
        <v>1926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270</v>
      </c>
      <c r="W26" s="139"/>
      <c r="X26" s="139">
        <f>SUM(X15:X25)</f>
        <v>27000</v>
      </c>
      <c r="Y26" s="139"/>
      <c r="Z26" s="139">
        <f>SUM(Z15:Z25)</f>
        <v>1800</v>
      </c>
      <c r="AA26" s="141">
        <f>IF(Z33=0,0,Z33/(H33+Z33))</f>
        <v>0</v>
      </c>
      <c r="AB26" s="139">
        <f>G26+X26</f>
        <v>27000</v>
      </c>
      <c r="AC26" s="139">
        <f>H26+Z26</f>
        <v>1800</v>
      </c>
      <c r="AD26" s="141">
        <f>I26+AA26</f>
        <v>0</v>
      </c>
    </row>
    <row r="30" spans="1:30" x14ac:dyDescent="0.2">
      <c r="A30" s="3" t="s">
        <v>107</v>
      </c>
      <c r="B30">
        <f>J26</f>
        <v>9097.1999999999989</v>
      </c>
    </row>
    <row r="31" spans="1:30" x14ac:dyDescent="0.2">
      <c r="A31" s="3" t="s">
        <v>108</v>
      </c>
      <c r="B31">
        <f>L26</f>
        <v>15706.8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1926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270</v>
      </c>
    </row>
    <row r="38" spans="1:13" x14ac:dyDescent="0.2">
      <c r="A38" s="3" t="s">
        <v>128</v>
      </c>
      <c r="B38">
        <f>SUM(B30:B36)</f>
        <v>27000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11" sqref="I11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63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20111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1940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38909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34771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3875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18862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38" sqref="N38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3" t="s">
        <v>142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16</v>
      </c>
      <c r="C7" s="151">
        <v>940596</v>
      </c>
      <c r="D7" s="188" t="s">
        <v>181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1367</v>
      </c>
      <c r="J7" s="189">
        <f>IF(H7="NEW",203, IF(H7="OLD",192,0))</f>
        <v>203</v>
      </c>
      <c r="K7" s="151">
        <v>1570</v>
      </c>
      <c r="L7" s="211">
        <f>IF(K7&gt;0,I7/E7,"NA")</f>
        <v>22.783333333333335</v>
      </c>
      <c r="M7" s="151">
        <v>129067</v>
      </c>
      <c r="N7" s="152" t="s">
        <v>238</v>
      </c>
      <c r="O7" s="157" t="s">
        <v>51</v>
      </c>
      <c r="P7" s="187">
        <f>IF(D7=Inputs!F$2,Inputs!I$2,IF(D7=Inputs!F$3,Inputs!I$3,IF(D7=Inputs!F$4,Inputs!I$4,IF(D7=Inputs!F$5,Inputs!I$5,"NA"))))</f>
        <v>27.892857142857142</v>
      </c>
    </row>
    <row r="8" spans="1:16" x14ac:dyDescent="0.25">
      <c r="A8" s="148">
        <v>2</v>
      </c>
      <c r="B8" s="189">
        <f>Inputs!C$2</f>
        <v>16</v>
      </c>
      <c r="C8" s="151">
        <v>940597</v>
      </c>
      <c r="D8" s="188" t="s">
        <v>181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1339</v>
      </c>
      <c r="J8" s="189">
        <f>IF(H8="NEW",203, IF(H8="OLD",192,0))</f>
        <v>203</v>
      </c>
      <c r="K8" s="151">
        <v>1542</v>
      </c>
      <c r="L8" s="211">
        <f>IF(K8&gt;0,I8/E8,"NA")</f>
        <v>22.316666666666666</v>
      </c>
      <c r="M8" s="151">
        <v>129067</v>
      </c>
      <c r="N8" s="152" t="s">
        <v>238</v>
      </c>
      <c r="O8" s="157" t="s">
        <v>51</v>
      </c>
      <c r="P8" s="187">
        <f>IF(D8=Inputs!F$2,Inputs!I$2,IF(D8=Inputs!F$3,Inputs!I$3,IF(D8=Inputs!F$4,Inputs!I$4,IF(D8=Inputs!F$5,Inputs!I$5,"NA"))))</f>
        <v>27.892857142857142</v>
      </c>
    </row>
    <row r="9" spans="1:16" x14ac:dyDescent="0.25">
      <c r="A9" s="148">
        <v>3</v>
      </c>
      <c r="B9" s="189">
        <f>Inputs!C$2</f>
        <v>16</v>
      </c>
      <c r="C9" s="151">
        <v>940598</v>
      </c>
      <c r="D9" s="188" t="s">
        <v>181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1359</v>
      </c>
      <c r="J9" s="189">
        <f>IF(H9="NEW",203, IF(H9="OLD",192,0))</f>
        <v>203</v>
      </c>
      <c r="K9" s="151">
        <v>1562</v>
      </c>
      <c r="L9" s="211">
        <f t="shared" ref="L9:L72" si="1">IF(K9&gt;0,I9/E9,"NA")</f>
        <v>22.65</v>
      </c>
      <c r="M9" s="151">
        <v>129067</v>
      </c>
      <c r="N9" s="152" t="s">
        <v>238</v>
      </c>
      <c r="O9" s="157" t="s">
        <v>51</v>
      </c>
      <c r="P9" s="187">
        <f>IF(D9=Inputs!F$2,Inputs!I$2,IF(D9=Inputs!F$3,Inputs!I$3,IF(D9=Inputs!F$4,Inputs!I$4,IF(D9=Inputs!F$5,Inputs!I$5,"NA"))))</f>
        <v>27.892857142857142</v>
      </c>
    </row>
    <row r="10" spans="1:16" x14ac:dyDescent="0.25">
      <c r="A10" s="148">
        <v>4</v>
      </c>
      <c r="B10" s="189">
        <f>Inputs!C$2</f>
        <v>16</v>
      </c>
      <c r="C10" s="151">
        <v>940599</v>
      </c>
      <c r="D10" s="188" t="s">
        <v>181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1373</v>
      </c>
      <c r="J10" s="189">
        <f>IF(H10="NEW",203, IF(H10="OLD",192,0))</f>
        <v>203</v>
      </c>
      <c r="K10" s="151">
        <v>1576</v>
      </c>
      <c r="L10" s="211">
        <f t="shared" si="1"/>
        <v>22.883333333333333</v>
      </c>
      <c r="M10" s="151">
        <v>129067</v>
      </c>
      <c r="N10" s="152" t="s">
        <v>238</v>
      </c>
      <c r="O10" s="157" t="s">
        <v>237</v>
      </c>
      <c r="P10" s="187">
        <f>IF(D10=Inputs!F$2,Inputs!I$2,IF(D10=Inputs!F$3,Inputs!I$3,IF(D10=Inputs!F$4,Inputs!I$4,IF(D10=Inputs!F$5,Inputs!I$5,"NA"))))</f>
        <v>27.892857142857142</v>
      </c>
    </row>
    <row r="11" spans="1:16" x14ac:dyDescent="0.25">
      <c r="A11" s="148">
        <v>5</v>
      </c>
      <c r="B11" s="189">
        <f>Inputs!C$2</f>
        <v>16</v>
      </c>
      <c r="C11" s="151">
        <v>940600</v>
      </c>
      <c r="D11" s="188" t="s">
        <v>181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1355</v>
      </c>
      <c r="J11" s="189">
        <f t="shared" ref="J11:J72" si="2">IF(H11="NEW",203, IF(H11="OLD",192,0))</f>
        <v>203</v>
      </c>
      <c r="K11" s="151">
        <v>1558</v>
      </c>
      <c r="L11" s="211">
        <f>IF(K11&gt;0,I11/E11,"NA")</f>
        <v>22.583333333333332</v>
      </c>
      <c r="M11" s="151">
        <v>129067</v>
      </c>
      <c r="N11" s="152" t="s">
        <v>238</v>
      </c>
      <c r="O11" s="157" t="s">
        <v>51</v>
      </c>
      <c r="P11" s="187">
        <f>IF(D11=Inputs!F$2,Inputs!I$2,IF(D11=Inputs!F$3,Inputs!I$3,IF(D11=Inputs!F$4,Inputs!I$4,IF(D11=Inputs!F$5,Inputs!I$5,"NA"))))</f>
        <v>27.892857142857142</v>
      </c>
    </row>
    <row r="12" spans="1:16" x14ac:dyDescent="0.25">
      <c r="A12" s="148">
        <v>6</v>
      </c>
      <c r="B12" s="189">
        <f>Inputs!C$2</f>
        <v>16</v>
      </c>
      <c r="C12" s="151">
        <v>940601</v>
      </c>
      <c r="D12" s="188" t="s">
        <v>181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1345</v>
      </c>
      <c r="J12" s="189">
        <f t="shared" si="2"/>
        <v>203</v>
      </c>
      <c r="K12" s="151">
        <v>1548</v>
      </c>
      <c r="L12" s="211">
        <f t="shared" si="1"/>
        <v>22.416666666666668</v>
      </c>
      <c r="M12" s="151">
        <v>129067</v>
      </c>
      <c r="N12" s="152" t="s">
        <v>238</v>
      </c>
      <c r="O12" s="157" t="s">
        <v>51</v>
      </c>
      <c r="P12" s="187">
        <f>IF(D12=Inputs!F$2,Inputs!I$2,IF(D12=Inputs!F$3,Inputs!I$3,IF(D12=Inputs!F$4,Inputs!I$4,IF(D12=Inputs!F$5,Inputs!I$5,"NA"))))</f>
        <v>27.892857142857142</v>
      </c>
    </row>
    <row r="13" spans="1:16" x14ac:dyDescent="0.25">
      <c r="A13" s="148">
        <v>7</v>
      </c>
      <c r="B13" s="189">
        <f>Inputs!C$2</f>
        <v>16</v>
      </c>
      <c r="C13" s="151">
        <v>940602</v>
      </c>
      <c r="D13" s="188" t="s">
        <v>7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1479</v>
      </c>
      <c r="J13" s="189">
        <f t="shared" si="2"/>
        <v>203</v>
      </c>
      <c r="K13" s="151">
        <v>1682</v>
      </c>
      <c r="L13" s="211">
        <f t="shared" si="1"/>
        <v>24.65</v>
      </c>
      <c r="M13" s="151">
        <v>129067</v>
      </c>
      <c r="N13" s="152" t="s">
        <v>238</v>
      </c>
      <c r="O13" s="157" t="s">
        <v>51</v>
      </c>
      <c r="P13" s="187">
        <f>IF(D13=Inputs!F$2,Inputs!I$2,IF(D13=Inputs!F$3,Inputs!I$3,IF(D13=Inputs!F$4,Inputs!I$4,IF(D13=Inputs!F$5,Inputs!I$5,"NA"))))</f>
        <v>53.892857142857146</v>
      </c>
    </row>
    <row r="14" spans="1:16" x14ac:dyDescent="0.25">
      <c r="A14" s="148">
        <v>8</v>
      </c>
      <c r="B14" s="189">
        <f>Inputs!C$2</f>
        <v>16</v>
      </c>
      <c r="C14" s="151">
        <v>940603</v>
      </c>
      <c r="D14" s="188" t="s">
        <v>7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1497</v>
      </c>
      <c r="J14" s="189">
        <f t="shared" si="2"/>
        <v>203</v>
      </c>
      <c r="K14" s="151">
        <v>1700</v>
      </c>
      <c r="L14" s="211">
        <f t="shared" si="1"/>
        <v>24.95</v>
      </c>
      <c r="M14" s="151">
        <v>129067</v>
      </c>
      <c r="N14" s="152" t="s">
        <v>238</v>
      </c>
      <c r="O14" s="157" t="s">
        <v>51</v>
      </c>
      <c r="P14" s="187">
        <f>IF(D14=Inputs!F$2,Inputs!I$2,IF(D14=Inputs!F$3,Inputs!I$3,IF(D14=Inputs!F$4,Inputs!I$4,IF(D14=Inputs!F$5,Inputs!I$5,"NA"))))</f>
        <v>53.892857142857146</v>
      </c>
    </row>
    <row r="15" spans="1:16" x14ac:dyDescent="0.25">
      <c r="A15" s="148">
        <v>9</v>
      </c>
      <c r="B15" s="189">
        <f>Inputs!C$2</f>
        <v>16</v>
      </c>
      <c r="C15" s="151">
        <v>940604</v>
      </c>
      <c r="D15" s="188" t="s">
        <v>7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1485</v>
      </c>
      <c r="J15" s="189">
        <f t="shared" si="2"/>
        <v>203</v>
      </c>
      <c r="K15" s="151">
        <v>1688</v>
      </c>
      <c r="L15" s="211">
        <f t="shared" si="1"/>
        <v>24.75</v>
      </c>
      <c r="M15" s="151">
        <v>129067</v>
      </c>
      <c r="N15" s="152" t="s">
        <v>238</v>
      </c>
      <c r="O15" s="157" t="s">
        <v>51</v>
      </c>
      <c r="P15" s="187">
        <f>IF(D15=Inputs!F$2,Inputs!I$2,IF(D15=Inputs!F$3,Inputs!I$3,IF(D15=Inputs!F$4,Inputs!I$4,IF(D15=Inputs!F$5,Inputs!I$5,"NA"))))</f>
        <v>53.892857142857146</v>
      </c>
    </row>
    <row r="16" spans="1:16" x14ac:dyDescent="0.25">
      <c r="A16" s="148">
        <v>10</v>
      </c>
      <c r="B16" s="189">
        <f>Inputs!C$2</f>
        <v>16</v>
      </c>
      <c r="C16" s="151">
        <v>940605</v>
      </c>
      <c r="D16" s="188" t="s">
        <v>183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1493</v>
      </c>
      <c r="J16" s="189">
        <f t="shared" si="2"/>
        <v>203</v>
      </c>
      <c r="K16" s="151">
        <v>1696</v>
      </c>
      <c r="L16" s="211">
        <f t="shared" si="1"/>
        <v>24.883333333333333</v>
      </c>
      <c r="M16" s="151">
        <v>129067</v>
      </c>
      <c r="N16" s="152" t="s">
        <v>238</v>
      </c>
      <c r="O16" s="157" t="s">
        <v>237</v>
      </c>
      <c r="P16" s="187">
        <f>IF(D16=Inputs!F$2,Inputs!I$2,IF(D16=Inputs!F$3,Inputs!I$3,IF(D16=Inputs!F$4,Inputs!I$4,IF(D16=Inputs!F$5,Inputs!I$5,"NA"))))</f>
        <v>71.892857142857139</v>
      </c>
    </row>
    <row r="17" spans="1:16" x14ac:dyDescent="0.25">
      <c r="A17" s="148">
        <v>11</v>
      </c>
      <c r="B17" s="189">
        <f>Inputs!C$2</f>
        <v>16</v>
      </c>
      <c r="C17" s="151">
        <v>940606</v>
      </c>
      <c r="D17" s="188" t="s">
        <v>183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1541</v>
      </c>
      <c r="J17" s="189">
        <f t="shared" si="2"/>
        <v>203</v>
      </c>
      <c r="K17" s="151">
        <v>1744</v>
      </c>
      <c r="L17" s="211">
        <f t="shared" si="1"/>
        <v>25.683333333333334</v>
      </c>
      <c r="M17" s="151">
        <v>129067</v>
      </c>
      <c r="N17" s="152" t="s">
        <v>238</v>
      </c>
      <c r="O17" s="157" t="s">
        <v>51</v>
      </c>
      <c r="P17" s="187">
        <f>IF(D17=Inputs!F$2,Inputs!I$2,IF(D17=Inputs!F$3,Inputs!I$3,IF(D17=Inputs!F$4,Inputs!I$4,IF(D17=Inputs!F$5,Inputs!I$5,"NA"))))</f>
        <v>71.892857142857139</v>
      </c>
    </row>
    <row r="18" spans="1:16" x14ac:dyDescent="0.25">
      <c r="A18" s="148">
        <v>12</v>
      </c>
      <c r="B18" s="189">
        <f>Inputs!C$2</f>
        <v>16</v>
      </c>
      <c r="C18" s="151">
        <v>940607</v>
      </c>
      <c r="D18" s="188" t="s">
        <v>5</v>
      </c>
      <c r="E18" s="148">
        <v>60</v>
      </c>
      <c r="F18" s="188" t="s">
        <v>120</v>
      </c>
      <c r="G18" s="188"/>
      <c r="H18" s="191" t="s">
        <v>220</v>
      </c>
      <c r="I18" s="210">
        <f t="shared" si="0"/>
        <v>1521</v>
      </c>
      <c r="J18" s="189">
        <f t="shared" si="2"/>
        <v>203</v>
      </c>
      <c r="K18" s="151">
        <v>1724</v>
      </c>
      <c r="L18" s="211">
        <f t="shared" si="1"/>
        <v>25.35</v>
      </c>
      <c r="M18" s="151">
        <v>129067</v>
      </c>
      <c r="N18" s="152" t="s">
        <v>238</v>
      </c>
      <c r="O18" s="157" t="s">
        <v>51</v>
      </c>
      <c r="P18" s="187">
        <f>IF(D18=Inputs!F$2,Inputs!I$2,IF(D18=Inputs!F$3,Inputs!I$3,IF(D18=Inputs!F$4,Inputs!I$4,IF(D18=Inputs!F$5,Inputs!I$5,"NA"))))</f>
        <v>45.464285714285715</v>
      </c>
    </row>
    <row r="19" spans="1:16" x14ac:dyDescent="0.25">
      <c r="A19" s="148">
        <v>13</v>
      </c>
      <c r="B19" s="189">
        <f>Inputs!C$2</f>
        <v>16</v>
      </c>
      <c r="C19" s="151">
        <v>940608</v>
      </c>
      <c r="D19" s="188" t="s">
        <v>5</v>
      </c>
      <c r="E19" s="148">
        <v>60</v>
      </c>
      <c r="F19" s="188" t="s">
        <v>120</v>
      </c>
      <c r="G19" s="188"/>
      <c r="H19" s="191" t="s">
        <v>220</v>
      </c>
      <c r="I19" s="210">
        <f t="shared" si="0"/>
        <v>1517</v>
      </c>
      <c r="J19" s="189">
        <f t="shared" si="2"/>
        <v>203</v>
      </c>
      <c r="K19" s="151">
        <v>1720</v>
      </c>
      <c r="L19" s="211">
        <f t="shared" si="1"/>
        <v>25.283333333333335</v>
      </c>
      <c r="M19" s="151">
        <v>129067</v>
      </c>
      <c r="N19" s="152" t="s">
        <v>238</v>
      </c>
      <c r="O19" s="157" t="s">
        <v>51</v>
      </c>
      <c r="P19" s="187">
        <f>IF(D19=Inputs!F$2,Inputs!I$2,IF(D19=Inputs!F$3,Inputs!I$3,IF(D19=Inputs!F$4,Inputs!I$4,IF(D19=Inputs!F$5,Inputs!I$5,"NA"))))</f>
        <v>45.464285714285715</v>
      </c>
    </row>
    <row r="20" spans="1:16" x14ac:dyDescent="0.25">
      <c r="A20" s="148">
        <v>14</v>
      </c>
      <c r="B20" s="189">
        <f>Inputs!C$2</f>
        <v>16</v>
      </c>
      <c r="C20" s="151">
        <v>940609</v>
      </c>
      <c r="D20" s="188" t="s">
        <v>181</v>
      </c>
      <c r="E20" s="148">
        <v>60</v>
      </c>
      <c r="F20" s="188" t="s">
        <v>120</v>
      </c>
      <c r="G20" s="188"/>
      <c r="H20" s="191" t="s">
        <v>220</v>
      </c>
      <c r="I20" s="210">
        <f t="shared" si="0"/>
        <v>1351</v>
      </c>
      <c r="J20" s="189">
        <f t="shared" si="2"/>
        <v>203</v>
      </c>
      <c r="K20" s="151">
        <v>1554</v>
      </c>
      <c r="L20" s="211">
        <f t="shared" si="1"/>
        <v>22.516666666666666</v>
      </c>
      <c r="M20" s="151">
        <v>129067</v>
      </c>
      <c r="N20" s="152" t="s">
        <v>238</v>
      </c>
      <c r="O20" s="157" t="s">
        <v>51</v>
      </c>
      <c r="P20" s="187">
        <f>IF(D20=Inputs!F$2,Inputs!I$2,IF(D20=Inputs!F$3,Inputs!I$3,IF(D20=Inputs!F$4,Inputs!I$4,IF(D20=Inputs!F$5,Inputs!I$5,"NA"))))</f>
        <v>27.892857142857142</v>
      </c>
    </row>
    <row r="21" spans="1:16" x14ac:dyDescent="0.25">
      <c r="A21" s="148">
        <v>15</v>
      </c>
      <c r="B21" s="189">
        <f>Inputs!C$2</f>
        <v>16</v>
      </c>
      <c r="C21" s="151">
        <v>940610</v>
      </c>
      <c r="D21" s="188" t="s">
        <v>181</v>
      </c>
      <c r="E21" s="148">
        <v>60</v>
      </c>
      <c r="F21" s="188" t="s">
        <v>120</v>
      </c>
      <c r="G21" s="188"/>
      <c r="H21" s="191" t="s">
        <v>220</v>
      </c>
      <c r="I21" s="210">
        <f t="shared" si="0"/>
        <v>1373</v>
      </c>
      <c r="J21" s="189">
        <f t="shared" si="2"/>
        <v>203</v>
      </c>
      <c r="K21" s="151">
        <v>1576</v>
      </c>
      <c r="L21" s="211">
        <f t="shared" si="1"/>
        <v>22.883333333333333</v>
      </c>
      <c r="M21" s="151">
        <v>129067</v>
      </c>
      <c r="N21" s="152" t="s">
        <v>238</v>
      </c>
      <c r="O21" s="157" t="s">
        <v>51</v>
      </c>
      <c r="P21" s="187">
        <f>IF(D21=Inputs!F$2,Inputs!I$2,IF(D21=Inputs!F$3,Inputs!I$3,IF(D21=Inputs!F$4,Inputs!I$4,IF(D21=Inputs!F$5,Inputs!I$5,"NA"))))</f>
        <v>27.892857142857142</v>
      </c>
    </row>
    <row r="22" spans="1:16" x14ac:dyDescent="0.25">
      <c r="A22" s="148">
        <v>16</v>
      </c>
      <c r="B22" s="189">
        <f>Inputs!C$2</f>
        <v>16</v>
      </c>
      <c r="C22" s="151">
        <v>940611</v>
      </c>
      <c r="D22" s="188" t="s">
        <v>181</v>
      </c>
      <c r="E22" s="148">
        <v>60</v>
      </c>
      <c r="F22" s="188" t="s">
        <v>120</v>
      </c>
      <c r="G22" s="188"/>
      <c r="H22" s="191" t="s">
        <v>220</v>
      </c>
      <c r="I22" s="210">
        <f t="shared" si="0"/>
        <v>1401</v>
      </c>
      <c r="J22" s="189">
        <f t="shared" si="2"/>
        <v>203</v>
      </c>
      <c r="K22" s="235">
        <v>1604</v>
      </c>
      <c r="L22" s="211">
        <f t="shared" si="1"/>
        <v>23.35</v>
      </c>
      <c r="M22" s="151">
        <v>129067</v>
      </c>
      <c r="N22" s="152" t="s">
        <v>238</v>
      </c>
      <c r="O22" s="157" t="s">
        <v>51</v>
      </c>
      <c r="P22" s="187">
        <f>IF(D22=Inputs!F$2,Inputs!I$2,IF(D22=Inputs!F$3,Inputs!I$3,IF(D22=Inputs!F$4,Inputs!I$4,IF(D22=Inputs!F$5,Inputs!I$5,"NA"))))</f>
        <v>27.892857142857142</v>
      </c>
    </row>
    <row r="23" spans="1:16" x14ac:dyDescent="0.25">
      <c r="A23" s="148">
        <v>17</v>
      </c>
      <c r="B23" s="189">
        <f>Inputs!C$2</f>
        <v>16</v>
      </c>
      <c r="C23" s="151">
        <v>940612</v>
      </c>
      <c r="D23" s="188" t="s">
        <v>181</v>
      </c>
      <c r="E23" s="148">
        <v>60</v>
      </c>
      <c r="F23" s="188" t="s">
        <v>120</v>
      </c>
      <c r="G23" s="188"/>
      <c r="H23" s="191" t="s">
        <v>220</v>
      </c>
      <c r="I23" s="210">
        <f t="shared" si="0"/>
        <v>1397</v>
      </c>
      <c r="J23" s="189">
        <f t="shared" si="2"/>
        <v>203</v>
      </c>
      <c r="K23" s="151">
        <v>1600</v>
      </c>
      <c r="L23" s="211">
        <f t="shared" si="1"/>
        <v>23.283333333333335</v>
      </c>
      <c r="M23" s="151">
        <v>129067</v>
      </c>
      <c r="N23" s="152" t="s">
        <v>238</v>
      </c>
      <c r="O23" s="157" t="s">
        <v>237</v>
      </c>
      <c r="P23" s="187">
        <f>IF(D23=Inputs!F$2,Inputs!I$2,IF(D23=Inputs!F$3,Inputs!I$3,IF(D23=Inputs!F$4,Inputs!I$4,IF(D23=Inputs!F$5,Inputs!I$5,"NA"))))</f>
        <v>27.892857142857142</v>
      </c>
    </row>
    <row r="24" spans="1:16" x14ac:dyDescent="0.25">
      <c r="A24" s="148">
        <v>18</v>
      </c>
      <c r="B24" s="189">
        <f>Inputs!C$2</f>
        <v>16</v>
      </c>
      <c r="C24" s="151">
        <v>940613</v>
      </c>
      <c r="D24" s="188" t="s">
        <v>7</v>
      </c>
      <c r="E24" s="148">
        <v>60</v>
      </c>
      <c r="F24" s="188" t="s">
        <v>120</v>
      </c>
      <c r="G24" s="188"/>
      <c r="H24" s="191" t="s">
        <v>220</v>
      </c>
      <c r="I24" s="210">
        <f t="shared" si="0"/>
        <v>1473</v>
      </c>
      <c r="J24" s="189">
        <f t="shared" si="2"/>
        <v>203</v>
      </c>
      <c r="K24" s="151">
        <v>1676</v>
      </c>
      <c r="L24" s="211">
        <f t="shared" si="1"/>
        <v>24.55</v>
      </c>
      <c r="M24" s="151">
        <v>129067</v>
      </c>
      <c r="N24" s="152" t="s">
        <v>238</v>
      </c>
      <c r="O24" s="157" t="s">
        <v>51</v>
      </c>
      <c r="P24" s="187">
        <f>IF(D24=Inputs!F$2,Inputs!I$2,IF(D24=Inputs!F$3,Inputs!I$3,IF(D24=Inputs!F$4,Inputs!I$4,IF(D24=Inputs!F$5,Inputs!I$5,"NA"))))</f>
        <v>53.892857142857146</v>
      </c>
    </row>
    <row r="25" spans="1:16" x14ac:dyDescent="0.25">
      <c r="A25" s="148">
        <v>19</v>
      </c>
      <c r="B25" s="189">
        <f>Inputs!C$2</f>
        <v>16</v>
      </c>
      <c r="C25" s="151">
        <v>940614</v>
      </c>
      <c r="D25" s="188" t="s">
        <v>181</v>
      </c>
      <c r="E25" s="148">
        <v>60</v>
      </c>
      <c r="F25" s="188" t="s">
        <v>120</v>
      </c>
      <c r="G25" s="188"/>
      <c r="H25" s="191" t="s">
        <v>220</v>
      </c>
      <c r="I25" s="210">
        <f t="shared" si="0"/>
        <v>1381</v>
      </c>
      <c r="J25" s="189">
        <f t="shared" si="2"/>
        <v>203</v>
      </c>
      <c r="K25" s="151">
        <v>1584</v>
      </c>
      <c r="L25" s="211">
        <f t="shared" si="1"/>
        <v>23.016666666666666</v>
      </c>
      <c r="M25" s="151">
        <v>129067</v>
      </c>
      <c r="N25" s="152" t="s">
        <v>238</v>
      </c>
      <c r="O25" s="157" t="s">
        <v>51</v>
      </c>
      <c r="P25" s="187">
        <f>IF(D25=Inputs!F$2,Inputs!I$2,IF(D25=Inputs!F$3,Inputs!I$3,IF(D25=Inputs!F$4,Inputs!I$4,IF(D25=Inputs!F$5,Inputs!I$5,"NA"))))</f>
        <v>27.892857142857142</v>
      </c>
    </row>
    <row r="26" spans="1:16" x14ac:dyDescent="0.25">
      <c r="A26" s="148">
        <v>20</v>
      </c>
      <c r="B26" s="189">
        <f>Inputs!C$2</f>
        <v>16</v>
      </c>
      <c r="C26" s="151">
        <v>940615</v>
      </c>
      <c r="D26" s="188" t="s">
        <v>181</v>
      </c>
      <c r="E26" s="148">
        <v>60</v>
      </c>
      <c r="F26" s="188" t="s">
        <v>120</v>
      </c>
      <c r="G26" s="188"/>
      <c r="H26" s="191" t="s">
        <v>220</v>
      </c>
      <c r="I26" s="210">
        <f t="shared" si="0"/>
        <v>1363</v>
      </c>
      <c r="J26" s="189">
        <f t="shared" si="2"/>
        <v>203</v>
      </c>
      <c r="K26" s="151">
        <v>1566</v>
      </c>
      <c r="L26" s="211">
        <f t="shared" si="1"/>
        <v>22.716666666666665</v>
      </c>
      <c r="M26" s="151">
        <v>129067</v>
      </c>
      <c r="N26" s="152" t="s">
        <v>238</v>
      </c>
      <c r="O26" s="157" t="s">
        <v>51</v>
      </c>
      <c r="P26" s="187">
        <f>IF(D26=Inputs!F$2,Inputs!I$2,IF(D26=Inputs!F$3,Inputs!I$3,IF(D26=Inputs!F$4,Inputs!I$4,IF(D26=Inputs!F$5,Inputs!I$5,"NA"))))</f>
        <v>27.892857142857142</v>
      </c>
    </row>
    <row r="27" spans="1:16" x14ac:dyDescent="0.25">
      <c r="A27" s="148">
        <v>21</v>
      </c>
      <c r="B27" s="189">
        <f>Inputs!C$2</f>
        <v>16</v>
      </c>
      <c r="C27" s="151">
        <v>940616</v>
      </c>
      <c r="D27" s="188" t="s">
        <v>181</v>
      </c>
      <c r="E27" s="148">
        <v>60</v>
      </c>
      <c r="F27" s="188" t="s">
        <v>120</v>
      </c>
      <c r="G27" s="188"/>
      <c r="H27" s="191" t="s">
        <v>220</v>
      </c>
      <c r="I27" s="210">
        <f t="shared" si="0"/>
        <v>1353</v>
      </c>
      <c r="J27" s="189">
        <f t="shared" si="2"/>
        <v>203</v>
      </c>
      <c r="K27" s="151">
        <v>1556</v>
      </c>
      <c r="L27" s="211">
        <f t="shared" si="1"/>
        <v>22.55</v>
      </c>
      <c r="M27" s="151">
        <v>129067</v>
      </c>
      <c r="N27" s="152" t="s">
        <v>238</v>
      </c>
      <c r="O27" s="157" t="s">
        <v>51</v>
      </c>
      <c r="P27" s="187">
        <f>IF(D27=Inputs!F$2,Inputs!I$2,IF(D27=Inputs!F$3,Inputs!I$3,IF(D27=Inputs!F$4,Inputs!I$4,IF(D27=Inputs!F$5,Inputs!I$5,"NA"))))</f>
        <v>27.892857142857142</v>
      </c>
    </row>
    <row r="28" spans="1:16" x14ac:dyDescent="0.25">
      <c r="A28" s="148">
        <v>22</v>
      </c>
      <c r="B28" s="189">
        <f>Inputs!C$2</f>
        <v>16</v>
      </c>
      <c r="C28" s="151">
        <v>940617</v>
      </c>
      <c r="D28" s="188" t="s">
        <v>181</v>
      </c>
      <c r="E28" s="148">
        <v>60</v>
      </c>
      <c r="F28" s="188" t="s">
        <v>120</v>
      </c>
      <c r="G28" s="188"/>
      <c r="H28" s="191" t="s">
        <v>220</v>
      </c>
      <c r="I28" s="210">
        <f t="shared" si="0"/>
        <v>1367</v>
      </c>
      <c r="J28" s="189">
        <f t="shared" si="2"/>
        <v>203</v>
      </c>
      <c r="K28" s="151">
        <v>1570</v>
      </c>
      <c r="L28" s="211">
        <f t="shared" si="1"/>
        <v>22.783333333333335</v>
      </c>
      <c r="M28" s="151">
        <v>129067</v>
      </c>
      <c r="N28" s="152" t="s">
        <v>238</v>
      </c>
      <c r="O28" s="157" t="s">
        <v>51</v>
      </c>
      <c r="P28" s="187">
        <f>IF(D28=Inputs!F$2,Inputs!I$2,IF(D28=Inputs!F$3,Inputs!I$3,IF(D28=Inputs!F$4,Inputs!I$4,IF(D28=Inputs!F$5,Inputs!I$5,"NA"))))</f>
        <v>27.892857142857142</v>
      </c>
    </row>
    <row r="29" spans="1:16" x14ac:dyDescent="0.25">
      <c r="A29" s="148">
        <v>23</v>
      </c>
      <c r="B29" s="189">
        <f>Inputs!C$2</f>
        <v>16</v>
      </c>
      <c r="C29" s="151">
        <v>940618</v>
      </c>
      <c r="D29" s="188" t="s">
        <v>181</v>
      </c>
      <c r="E29" s="148">
        <v>60</v>
      </c>
      <c r="F29" s="188" t="s">
        <v>120</v>
      </c>
      <c r="G29" s="188"/>
      <c r="H29" s="191" t="s">
        <v>220</v>
      </c>
      <c r="I29" s="210">
        <f t="shared" si="0"/>
        <v>1445</v>
      </c>
      <c r="J29" s="189">
        <f t="shared" si="2"/>
        <v>203</v>
      </c>
      <c r="K29" s="151">
        <v>1648</v>
      </c>
      <c r="L29" s="211">
        <f t="shared" si="1"/>
        <v>24.083333333333332</v>
      </c>
      <c r="M29" s="151">
        <v>129067</v>
      </c>
      <c r="N29" s="152" t="s">
        <v>238</v>
      </c>
      <c r="O29" s="157" t="s">
        <v>52</v>
      </c>
      <c r="P29" s="187">
        <f>IF(D29=Inputs!F$2,Inputs!I$2,IF(D29=Inputs!F$3,Inputs!I$3,IF(D29=Inputs!F$4,Inputs!I$4,IF(D29=Inputs!F$5,Inputs!I$5,"NA"))))</f>
        <v>27.892857142857142</v>
      </c>
    </row>
    <row r="30" spans="1:16" x14ac:dyDescent="0.25">
      <c r="A30" s="148">
        <v>24</v>
      </c>
      <c r="B30" s="189">
        <f>Inputs!C$2</f>
        <v>16</v>
      </c>
      <c r="C30" s="151">
        <v>940619</v>
      </c>
      <c r="D30" s="188" t="s">
        <v>183</v>
      </c>
      <c r="E30" s="148">
        <v>60</v>
      </c>
      <c r="F30" s="188" t="s">
        <v>120</v>
      </c>
      <c r="G30" s="188"/>
      <c r="H30" s="191" t="s">
        <v>220</v>
      </c>
      <c r="I30" s="210">
        <f t="shared" si="0"/>
        <v>1509</v>
      </c>
      <c r="J30" s="189">
        <f t="shared" si="2"/>
        <v>203</v>
      </c>
      <c r="K30" s="151">
        <v>1712</v>
      </c>
      <c r="L30" s="211">
        <f t="shared" si="1"/>
        <v>25.15</v>
      </c>
      <c r="M30" s="151">
        <v>129067</v>
      </c>
      <c r="N30" s="152" t="s">
        <v>238</v>
      </c>
      <c r="O30" s="157" t="s">
        <v>51</v>
      </c>
      <c r="P30" s="187">
        <f>IF(D30=Inputs!F$2,Inputs!I$2,IF(D30=Inputs!F$3,Inputs!I$3,IF(D30=Inputs!F$4,Inputs!I$4,IF(D30=Inputs!F$5,Inputs!I$5,"NA"))))</f>
        <v>71.892857142857139</v>
      </c>
    </row>
    <row r="31" spans="1:16" x14ac:dyDescent="0.25">
      <c r="A31" s="148">
        <v>25</v>
      </c>
      <c r="B31" s="189">
        <f>Inputs!C$2</f>
        <v>16</v>
      </c>
      <c r="C31" s="151">
        <v>940620</v>
      </c>
      <c r="D31" s="188" t="s">
        <v>181</v>
      </c>
      <c r="E31" s="148">
        <v>60</v>
      </c>
      <c r="F31" s="188" t="s">
        <v>120</v>
      </c>
      <c r="G31" s="188"/>
      <c r="H31" s="191" t="s">
        <v>220</v>
      </c>
      <c r="I31" s="210">
        <f t="shared" si="0"/>
        <v>1373</v>
      </c>
      <c r="J31" s="189">
        <f t="shared" si="2"/>
        <v>203</v>
      </c>
      <c r="K31" s="151">
        <v>1576</v>
      </c>
      <c r="L31" s="211">
        <f t="shared" si="1"/>
        <v>22.883333333333333</v>
      </c>
      <c r="M31" s="151">
        <v>129067</v>
      </c>
      <c r="N31" s="152" t="s">
        <v>238</v>
      </c>
      <c r="O31" s="157" t="s">
        <v>51</v>
      </c>
      <c r="P31" s="187">
        <f>IF(D31=Inputs!F$2,Inputs!I$2,IF(D31=Inputs!F$3,Inputs!I$3,IF(D31=Inputs!F$4,Inputs!I$4,IF(D31=Inputs!F$5,Inputs!I$5,"NA"))))</f>
        <v>27.892857142857142</v>
      </c>
    </row>
    <row r="32" spans="1:16" x14ac:dyDescent="0.25">
      <c r="A32" s="148">
        <v>26</v>
      </c>
      <c r="B32" s="189">
        <f>Inputs!C$2</f>
        <v>16</v>
      </c>
      <c r="C32" s="151">
        <v>940621</v>
      </c>
      <c r="D32" s="188" t="s">
        <v>181</v>
      </c>
      <c r="E32" s="148">
        <v>60</v>
      </c>
      <c r="F32" s="188" t="s">
        <v>120</v>
      </c>
      <c r="G32" s="188"/>
      <c r="H32" s="191" t="s">
        <v>220</v>
      </c>
      <c r="I32" s="210">
        <f t="shared" si="0"/>
        <v>1367</v>
      </c>
      <c r="J32" s="189">
        <f t="shared" si="2"/>
        <v>203</v>
      </c>
      <c r="K32" s="151">
        <v>1570</v>
      </c>
      <c r="L32" s="211">
        <f t="shared" si="1"/>
        <v>22.783333333333335</v>
      </c>
      <c r="M32" s="151">
        <v>129067</v>
      </c>
      <c r="N32" s="152" t="s">
        <v>238</v>
      </c>
      <c r="O32" s="157" t="s">
        <v>51</v>
      </c>
      <c r="P32" s="187">
        <f>IF(D32=Inputs!F$2,Inputs!I$2,IF(D32=Inputs!F$3,Inputs!I$3,IF(D32=Inputs!F$4,Inputs!I$4,IF(D32=Inputs!F$5,Inputs!I$5,"NA"))))</f>
        <v>27.892857142857142</v>
      </c>
    </row>
    <row r="33" spans="1:16" x14ac:dyDescent="0.25">
      <c r="A33" s="148">
        <v>27</v>
      </c>
      <c r="B33" s="189">
        <f>Inputs!C$2</f>
        <v>16</v>
      </c>
      <c r="C33" s="151">
        <v>940622</v>
      </c>
      <c r="D33" s="188" t="s">
        <v>183</v>
      </c>
      <c r="E33" s="148">
        <v>60</v>
      </c>
      <c r="F33" s="188" t="s">
        <v>120</v>
      </c>
      <c r="G33" s="188"/>
      <c r="H33" s="191" t="s">
        <v>220</v>
      </c>
      <c r="I33" s="210">
        <f t="shared" si="0"/>
        <v>1527</v>
      </c>
      <c r="J33" s="189">
        <f t="shared" si="2"/>
        <v>203</v>
      </c>
      <c r="K33" s="151">
        <v>1730</v>
      </c>
      <c r="L33" s="211">
        <f t="shared" si="1"/>
        <v>25.45</v>
      </c>
      <c r="M33" s="151">
        <v>129067</v>
      </c>
      <c r="N33" s="152" t="s">
        <v>238</v>
      </c>
      <c r="O33" s="157" t="s">
        <v>51</v>
      </c>
      <c r="P33" s="187">
        <f>IF(D33=Inputs!F$2,Inputs!I$2,IF(D33=Inputs!F$3,Inputs!I$3,IF(D33=Inputs!F$4,Inputs!I$4,IF(D33=Inputs!F$5,Inputs!I$5,"NA"))))</f>
        <v>71.892857142857139</v>
      </c>
    </row>
    <row r="34" spans="1:16" x14ac:dyDescent="0.25">
      <c r="A34" s="148">
        <v>28</v>
      </c>
      <c r="B34" s="189">
        <f>Inputs!C$2</f>
        <v>16</v>
      </c>
      <c r="C34" s="151">
        <v>940623</v>
      </c>
      <c r="D34" s="188" t="s">
        <v>183</v>
      </c>
      <c r="E34" s="148">
        <v>60</v>
      </c>
      <c r="F34" s="188" t="s">
        <v>120</v>
      </c>
      <c r="G34" s="188"/>
      <c r="H34" s="191" t="s">
        <v>220</v>
      </c>
      <c r="I34" s="210">
        <f t="shared" si="0"/>
        <v>1495</v>
      </c>
      <c r="J34" s="189">
        <f t="shared" si="2"/>
        <v>203</v>
      </c>
      <c r="K34" s="151">
        <v>1698</v>
      </c>
      <c r="L34" s="211">
        <f t="shared" si="1"/>
        <v>24.916666666666668</v>
      </c>
      <c r="M34" s="151">
        <v>129067</v>
      </c>
      <c r="N34" s="152" t="s">
        <v>238</v>
      </c>
      <c r="O34" s="157" t="s">
        <v>237</v>
      </c>
      <c r="P34" s="187">
        <f>IF(D34=Inputs!F$2,Inputs!I$2,IF(D34=Inputs!F$3,Inputs!I$3,IF(D34=Inputs!F$4,Inputs!I$4,IF(D34=Inputs!F$5,Inputs!I$5,"NA"))))</f>
        <v>71.892857142857139</v>
      </c>
    </row>
    <row r="35" spans="1:16" x14ac:dyDescent="0.25">
      <c r="A35" s="148">
        <v>29</v>
      </c>
      <c r="B35" s="189">
        <f>Inputs!C$2</f>
        <v>16</v>
      </c>
      <c r="C35" s="151">
        <v>940624</v>
      </c>
      <c r="D35" s="188" t="s">
        <v>183</v>
      </c>
      <c r="E35" s="148">
        <v>60</v>
      </c>
      <c r="F35" s="188" t="s">
        <v>120</v>
      </c>
      <c r="G35" s="188"/>
      <c r="H35" s="191" t="s">
        <v>220</v>
      </c>
      <c r="I35" s="210">
        <f t="shared" si="0"/>
        <v>1543</v>
      </c>
      <c r="J35" s="189">
        <f t="shared" si="2"/>
        <v>203</v>
      </c>
      <c r="K35" s="151">
        <v>1746</v>
      </c>
      <c r="L35" s="211">
        <f t="shared" si="1"/>
        <v>25.716666666666665</v>
      </c>
      <c r="M35" s="151">
        <v>129067</v>
      </c>
      <c r="N35" s="152" t="s">
        <v>238</v>
      </c>
      <c r="O35" s="157" t="s">
        <v>237</v>
      </c>
      <c r="P35" s="187">
        <f>IF(D35=Inputs!F$2,Inputs!I$2,IF(D35=Inputs!F$3,Inputs!I$3,IF(D35=Inputs!F$4,Inputs!I$4,IF(D35=Inputs!F$5,Inputs!I$5,"NA"))))</f>
        <v>71.892857142857139</v>
      </c>
    </row>
    <row r="36" spans="1:16" x14ac:dyDescent="0.25">
      <c r="A36" s="148">
        <v>30</v>
      </c>
      <c r="B36" s="189">
        <f>Inputs!C$2</f>
        <v>16</v>
      </c>
      <c r="C36" s="151">
        <v>940625</v>
      </c>
      <c r="D36" s="188" t="s">
        <v>183</v>
      </c>
      <c r="E36" s="148">
        <v>60</v>
      </c>
      <c r="F36" s="188" t="s">
        <v>120</v>
      </c>
      <c r="G36" s="188"/>
      <c r="H36" s="191" t="s">
        <v>220</v>
      </c>
      <c r="I36" s="210">
        <f t="shared" si="0"/>
        <v>1575</v>
      </c>
      <c r="J36" s="189">
        <f t="shared" si="2"/>
        <v>203</v>
      </c>
      <c r="K36" s="151">
        <v>1778</v>
      </c>
      <c r="L36" s="211">
        <f t="shared" si="1"/>
        <v>26.25</v>
      </c>
      <c r="M36" s="151">
        <v>129067</v>
      </c>
      <c r="N36" s="152" t="s">
        <v>238</v>
      </c>
      <c r="O36" s="157" t="s">
        <v>51</v>
      </c>
      <c r="P36" s="187">
        <f>IF(D36=Inputs!F$2,Inputs!I$2,IF(D36=Inputs!F$3,Inputs!I$3,IF(D36=Inputs!F$4,Inputs!I$4,IF(D36=Inputs!F$5,Inputs!I$5,"NA"))))</f>
        <v>71.892857142857139</v>
      </c>
    </row>
    <row r="37" spans="1:16" x14ac:dyDescent="0.25">
      <c r="A37" s="148">
        <v>31</v>
      </c>
      <c r="B37" s="189">
        <f>Inputs!C$2</f>
        <v>16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16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16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16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16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16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16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16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16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16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16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16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16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16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16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16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16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16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16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16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16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16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16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16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16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16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16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16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16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16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16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16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16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16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16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16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16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16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16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16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16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16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16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16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16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16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topLeftCell="A4" zoomScaleNormal="100" workbookViewId="0">
      <selection activeCell="K15" sqref="K15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16</v>
      </c>
      <c r="F2" s="166" t="s">
        <v>183</v>
      </c>
      <c r="G2" s="186">
        <v>45264</v>
      </c>
      <c r="I2" s="205">
        <f>(C$3-G2)/7</f>
        <v>71.892857142857139</v>
      </c>
      <c r="J2" s="230">
        <f>I2-19</f>
        <v>52.892857142857139</v>
      </c>
      <c r="K2" s="166" t="s">
        <v>220</v>
      </c>
      <c r="L2">
        <v>203</v>
      </c>
    </row>
    <row r="3" spans="1:12" x14ac:dyDescent="0.2">
      <c r="B3" s="170" t="s">
        <v>210</v>
      </c>
      <c r="C3" s="246">
        <f>C2*7+(C1-1900)*365.25-1</f>
        <v>45767.25</v>
      </c>
      <c r="D3" s="247"/>
      <c r="F3" s="166" t="s">
        <v>7</v>
      </c>
      <c r="G3" s="186">
        <v>45390</v>
      </c>
      <c r="I3" s="205">
        <f>(C$3-G3)/7</f>
        <v>53.892857142857146</v>
      </c>
      <c r="J3" s="230">
        <f>I3-19</f>
        <v>34.892857142857146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45572</v>
      </c>
      <c r="I4" s="205">
        <f>(C$3-G4)/7</f>
        <v>27.892857142857142</v>
      </c>
      <c r="J4" s="230">
        <f>I4-19</f>
        <v>8.8928571428571423</v>
      </c>
    </row>
    <row r="5" spans="1:12" x14ac:dyDescent="0.2">
      <c r="A5" s="166" t="s">
        <v>223</v>
      </c>
      <c r="B5" s="248" t="s">
        <v>236</v>
      </c>
      <c r="C5" s="248"/>
      <c r="F5" s="166" t="s">
        <v>5</v>
      </c>
      <c r="G5" s="186">
        <v>45449</v>
      </c>
      <c r="I5" s="205">
        <f>(C$3-G5)/7</f>
        <v>45.464285714285715</v>
      </c>
      <c r="J5" s="230">
        <f>I5-19</f>
        <v>26.464285714285715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237">
        <v>96</v>
      </c>
      <c r="C10" s="168">
        <v>10</v>
      </c>
      <c r="E10" s="139">
        <v>3</v>
      </c>
      <c r="F10" s="168">
        <v>111</v>
      </c>
      <c r="G10" s="168">
        <v>13</v>
      </c>
    </row>
    <row r="11" spans="1:12" x14ac:dyDescent="0.2">
      <c r="A11" s="139">
        <v>6</v>
      </c>
      <c r="B11" s="168">
        <v>204</v>
      </c>
      <c r="C11" s="165"/>
      <c r="E11" s="139">
        <v>6</v>
      </c>
      <c r="F11" s="168">
        <v>219</v>
      </c>
      <c r="G11" s="165"/>
    </row>
    <row r="12" spans="1:12" x14ac:dyDescent="0.2">
      <c r="A12" s="139">
        <v>7</v>
      </c>
      <c r="B12" s="168">
        <v>184</v>
      </c>
      <c r="C12" s="168">
        <v>20</v>
      </c>
      <c r="E12" s="139">
        <v>7</v>
      </c>
      <c r="F12" s="168">
        <v>208</v>
      </c>
      <c r="G12" s="168">
        <v>22</v>
      </c>
    </row>
    <row r="13" spans="1:12" x14ac:dyDescent="0.2">
      <c r="A13" s="139">
        <v>11</v>
      </c>
      <c r="B13" s="168">
        <v>108</v>
      </c>
      <c r="C13" s="165"/>
      <c r="E13" s="139">
        <v>11</v>
      </c>
      <c r="F13" s="168">
        <v>107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110</v>
      </c>
      <c r="C16" s="168">
        <v>10</v>
      </c>
      <c r="E16" s="139">
        <v>3</v>
      </c>
      <c r="F16" s="168">
        <v>104</v>
      </c>
      <c r="G16" s="168">
        <v>11</v>
      </c>
    </row>
    <row r="17" spans="1:11" x14ac:dyDescent="0.2">
      <c r="A17" s="139">
        <v>6</v>
      </c>
      <c r="B17" s="168">
        <v>231</v>
      </c>
      <c r="C17" s="165"/>
      <c r="E17" s="139">
        <v>6</v>
      </c>
      <c r="F17" s="168">
        <v>217</v>
      </c>
      <c r="G17" s="165"/>
    </row>
    <row r="18" spans="1:11" x14ac:dyDescent="0.2">
      <c r="A18" s="139">
        <v>7</v>
      </c>
      <c r="B18" s="168">
        <v>204</v>
      </c>
      <c r="C18" s="168">
        <v>22</v>
      </c>
      <c r="E18" s="139">
        <v>7</v>
      </c>
      <c r="F18" s="168">
        <v>203</v>
      </c>
      <c r="G18" s="168">
        <v>21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108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106</v>
      </c>
      <c r="C23" s="168">
        <v>11</v>
      </c>
      <c r="E23" s="139">
        <v>3</v>
      </c>
      <c r="F23" s="168">
        <v>108</v>
      </c>
      <c r="G23" s="168">
        <v>11</v>
      </c>
    </row>
    <row r="24" spans="1:11" x14ac:dyDescent="0.2">
      <c r="A24" s="139">
        <v>6</v>
      </c>
      <c r="B24" s="168">
        <v>216</v>
      </c>
      <c r="C24" s="165"/>
      <c r="E24" s="139">
        <v>6</v>
      </c>
      <c r="F24" s="168">
        <v>217</v>
      </c>
      <c r="G24" s="165"/>
    </row>
    <row r="25" spans="1:11" x14ac:dyDescent="0.2">
      <c r="A25" s="139">
        <v>7</v>
      </c>
      <c r="B25" s="168">
        <v>198</v>
      </c>
      <c r="C25" s="168">
        <v>23</v>
      </c>
      <c r="E25" s="139">
        <v>7</v>
      </c>
      <c r="F25" s="168">
        <v>201</v>
      </c>
      <c r="G25" s="168">
        <v>23</v>
      </c>
    </row>
    <row r="26" spans="1:11" x14ac:dyDescent="0.2">
      <c r="A26" s="139">
        <v>11</v>
      </c>
      <c r="B26" s="168">
        <v>108</v>
      </c>
      <c r="C26" s="165"/>
      <c r="E26" s="139">
        <v>11</v>
      </c>
      <c r="F26" s="168">
        <v>110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107</v>
      </c>
      <c r="C29" s="168">
        <v>11</v>
      </c>
      <c r="E29" s="139">
        <v>3</v>
      </c>
      <c r="F29" s="203">
        <f t="shared" ref="F29:G32" si="0">B10+F10+B16+F16+B23+F23+B29</f>
        <v>742</v>
      </c>
      <c r="G29" s="203">
        <f t="shared" si="0"/>
        <v>77</v>
      </c>
      <c r="I29" s="139">
        <v>3</v>
      </c>
      <c r="J29" s="203">
        <f t="shared" ref="J29:K31" si="1">F29*15</f>
        <v>11130</v>
      </c>
      <c r="K29" s="203">
        <f t="shared" si="1"/>
        <v>1155</v>
      </c>
    </row>
    <row r="30" spans="1:11" x14ac:dyDescent="0.2">
      <c r="A30" s="139">
        <v>6</v>
      </c>
      <c r="B30" s="168">
        <v>216</v>
      </c>
      <c r="C30" s="165"/>
      <c r="E30" s="139">
        <v>6</v>
      </c>
      <c r="F30" s="203">
        <f t="shared" si="0"/>
        <v>1520</v>
      </c>
      <c r="G30" s="204">
        <f t="shared" si="0"/>
        <v>0</v>
      </c>
      <c r="I30" s="139">
        <v>6</v>
      </c>
      <c r="J30" s="203">
        <f t="shared" si="1"/>
        <v>22800</v>
      </c>
      <c r="K30" s="204">
        <f t="shared" si="1"/>
        <v>0</v>
      </c>
    </row>
    <row r="31" spans="1:11" x14ac:dyDescent="0.2">
      <c r="A31" s="139">
        <v>7</v>
      </c>
      <c r="B31" s="168">
        <v>198</v>
      </c>
      <c r="C31" s="168">
        <v>22</v>
      </c>
      <c r="E31" s="139">
        <v>7</v>
      </c>
      <c r="F31" s="203">
        <f t="shared" si="0"/>
        <v>1396</v>
      </c>
      <c r="G31" s="203">
        <f t="shared" si="0"/>
        <v>153</v>
      </c>
      <c r="I31" s="139">
        <v>7</v>
      </c>
      <c r="J31" s="203">
        <f t="shared" si="1"/>
        <v>20940</v>
      </c>
      <c r="K31" s="203">
        <f t="shared" si="1"/>
        <v>2295</v>
      </c>
    </row>
    <row r="32" spans="1:11" x14ac:dyDescent="0.2">
      <c r="A32" s="139">
        <v>11</v>
      </c>
      <c r="B32" s="168">
        <v>108</v>
      </c>
      <c r="C32" s="165"/>
      <c r="E32" s="139">
        <v>11</v>
      </c>
      <c r="F32" s="203">
        <f t="shared" si="0"/>
        <v>766</v>
      </c>
      <c r="G32" s="204">
        <f t="shared" si="0"/>
        <v>0</v>
      </c>
      <c r="I32" s="139">
        <v>11</v>
      </c>
      <c r="J32" s="203">
        <f>F32*15</f>
        <v>11490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5" t="s">
        <v>224</v>
      </c>
      <c r="H35" s="245"/>
      <c r="I35" s="225">
        <v>397</v>
      </c>
    </row>
    <row r="36" spans="1:9" x14ac:dyDescent="0.2">
      <c r="A36" s="172" t="s">
        <v>107</v>
      </c>
      <c r="B36" s="201">
        <f>B37+B38</f>
        <v>0.48799999999999999</v>
      </c>
      <c r="C36" s="201">
        <f>C37+C38</f>
        <v>0.25</v>
      </c>
      <c r="D36" s="201">
        <f>D37+D38</f>
        <v>0.28999999999999998</v>
      </c>
      <c r="E36" s="201">
        <f>E37+E38</f>
        <v>0.38100000000000001</v>
      </c>
      <c r="G36" s="245" t="s">
        <v>225</v>
      </c>
      <c r="H36" s="245"/>
      <c r="I36" s="225">
        <v>23</v>
      </c>
    </row>
    <row r="37" spans="1:9" x14ac:dyDescent="0.2">
      <c r="A37" s="172" t="s">
        <v>200</v>
      </c>
      <c r="B37" s="173">
        <v>9.9000000000000005E-2</v>
      </c>
      <c r="C37" s="236">
        <v>2.3E-2</v>
      </c>
      <c r="D37" s="173">
        <v>3.5999999999999997E-2</v>
      </c>
      <c r="E37" s="173">
        <v>5.1999999999999998E-2</v>
      </c>
      <c r="G37" s="245" t="s">
        <v>226</v>
      </c>
      <c r="H37" s="245"/>
      <c r="I37" s="225">
        <v>240</v>
      </c>
    </row>
    <row r="38" spans="1:9" x14ac:dyDescent="0.2">
      <c r="A38" s="172" t="s">
        <v>201</v>
      </c>
      <c r="B38" s="173">
        <v>0.38900000000000001</v>
      </c>
      <c r="C38" s="173">
        <v>0.22700000000000001</v>
      </c>
      <c r="D38" s="173">
        <v>0.254</v>
      </c>
      <c r="E38" s="173">
        <v>0.32900000000000001</v>
      </c>
      <c r="G38" s="245" t="s">
        <v>227</v>
      </c>
      <c r="H38" s="245"/>
      <c r="I38" s="225">
        <v>916</v>
      </c>
    </row>
    <row r="39" spans="1:9" x14ac:dyDescent="0.2">
      <c r="A39" s="172" t="s">
        <v>202</v>
      </c>
      <c r="B39" s="173">
        <v>0.47799999999999998</v>
      </c>
      <c r="C39" s="173">
        <v>0.68500000000000005</v>
      </c>
      <c r="D39" s="173">
        <v>0.6</v>
      </c>
      <c r="E39" s="173">
        <v>0.58299999999999996</v>
      </c>
      <c r="G39" s="245" t="s">
        <v>228</v>
      </c>
      <c r="H39" s="245"/>
      <c r="I39" s="225">
        <v>104</v>
      </c>
    </row>
    <row r="40" spans="1:9" x14ac:dyDescent="0.2">
      <c r="A40" s="172" t="s">
        <v>203</v>
      </c>
      <c r="B40" s="173">
        <v>2.5000000000000001E-2</v>
      </c>
      <c r="C40" s="173">
        <v>5.7000000000000002E-2</v>
      </c>
      <c r="D40" s="173">
        <v>9.9000000000000005E-2</v>
      </c>
      <c r="E40" s="173">
        <v>2.7E-2</v>
      </c>
      <c r="G40" s="245" t="s">
        <v>229</v>
      </c>
      <c r="H40" s="245"/>
      <c r="I40" s="225">
        <v>120</v>
      </c>
    </row>
    <row r="41" spans="1:9" x14ac:dyDescent="0.2">
      <c r="A41" s="172" t="s">
        <v>212</v>
      </c>
      <c r="B41" s="173">
        <v>0</v>
      </c>
      <c r="C41" s="173">
        <v>0</v>
      </c>
      <c r="D41" s="173">
        <v>0</v>
      </c>
      <c r="E41" s="173">
        <v>0</v>
      </c>
      <c r="G41" s="245" t="s">
        <v>231</v>
      </c>
      <c r="H41" s="245"/>
      <c r="I41" s="225">
        <v>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9.0000000000000011E-3</v>
      </c>
      <c r="C43" s="202">
        <f>SUM(C47:C50)</f>
        <v>8.0000000000000002E-3</v>
      </c>
      <c r="D43" s="202">
        <f>SUM(D47:D50)</f>
        <v>1.0999999999999999E-2</v>
      </c>
      <c r="E43" s="202">
        <f>SUM(E47:E50)</f>
        <v>9.0000000000000011E-3</v>
      </c>
    </row>
    <row r="44" spans="1:9" x14ac:dyDescent="0.2">
      <c r="A44" s="233" t="s">
        <v>232</v>
      </c>
      <c r="B44" s="232">
        <v>62.97</v>
      </c>
      <c r="C44" s="232">
        <v>63.04</v>
      </c>
      <c r="D44" s="232">
        <v>62.63</v>
      </c>
      <c r="E44" s="232">
        <v>64.38</v>
      </c>
    </row>
    <row r="45" spans="1:9" x14ac:dyDescent="0.2">
      <c r="A45" s="233" t="s">
        <v>234</v>
      </c>
      <c r="B45" s="231">
        <f>J29+K29</f>
        <v>12285</v>
      </c>
      <c r="C45" s="231">
        <f>J30</f>
        <v>22800</v>
      </c>
      <c r="D45" s="231">
        <f>J31</f>
        <v>20940</v>
      </c>
      <c r="E45" s="231">
        <f>J32</f>
        <v>11490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2E-3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205</v>
      </c>
      <c r="B48" s="173">
        <v>1E-3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2E-3</v>
      </c>
      <c r="C49" s="173">
        <v>2E-3</v>
      </c>
      <c r="D49" s="173">
        <v>3.0000000000000001E-3</v>
      </c>
      <c r="E49" s="173">
        <v>2E-3</v>
      </c>
    </row>
    <row r="50" spans="1:5" x14ac:dyDescent="0.2">
      <c r="A50" s="172" t="s">
        <v>207</v>
      </c>
      <c r="B50" s="173">
        <v>4.0000000000000001E-3</v>
      </c>
      <c r="C50" s="173">
        <v>3.0000000000000001E-3</v>
      </c>
      <c r="D50" s="173">
        <v>4.0000000000000001E-3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0.99999999999999989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2025-04-22T12:54:54Z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