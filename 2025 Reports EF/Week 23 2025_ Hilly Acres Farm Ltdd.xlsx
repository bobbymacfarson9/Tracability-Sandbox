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D2799C8A-DDF6-45DF-9A81-5BBA472A5F4E}" xr6:coauthVersionLast="47" xr6:coauthVersionMax="47" xr10:uidLastSave="{00000000-0000-0000-0000-000000000000}"/>
  <bookViews>
    <workbookView xWindow="-120" yWindow="-120" windowWidth="29040" windowHeight="15720" tabRatio="500" firstSheet="2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<sst xmlns="http://schemas.openxmlformats.org/spreadsheetml/2006/main" count="503" uniqueCount="240">
  <si>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</si>
  <si>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</si>
  <si>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</si>
  <si>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</si>
  <si>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</si>
  <si>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</si>
  <si>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</si>
  <si>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</si>
  <si>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</si>
  <si>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</si>
  <si>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</si>
  <si>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</si>
  <si>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</si>
  <si>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</si>
  <si>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</si>
  <si>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</si>
  <si>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</si>
  <si>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</si>
  <si>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</si>
  <si>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</si>
  <si>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</si>
  <si>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</si>
  <si>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</si>
  <si>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</si>
  <si>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</si>
  <si>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</si>
  <si>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</si>
  <si>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</si>
  <si>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</si>
  <si>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</si>
  <si>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</si>
  <si>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</si>
  <si>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</si>
  <si>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</si>
  <si>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</si>
  <si>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</si>
  <si>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</si>
  <si>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</si>
  <si>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</si>
  <si>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</si>
  <si>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</si>
  <si>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</si>
  <si>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</si>
  <si>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</si>
  <si>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</si>
  <si>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</si>
  <si>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</si>
  <si>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</si>
  <si>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</si>
  <si>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</si>
  <si>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</si>
  <si>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</si>
  <si>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</si>
  <si>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</si>
  <si>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</si>
  <si>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</si>
  <si>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</si>
  <si>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</si>
  <si>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</si>
  <si>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</si>
  <si>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</si>
  <si>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</si>
  <si>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</si>
  <si>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</si>
  <si>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</si>
  <si>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</si>
  <si>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</si>
  <si>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</si>
  <si>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</si>
  <si>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</si>
  <si>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</si>
  <si>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</si>
  <si>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</si>
  <si>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</si>
  <si>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</si>
  <si>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</si>
  <si>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</si>
  <si>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</si>
  <si>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</si>
  <si>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</si>
  <si>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</si>
  <si>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</si>
  <si>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</si>
  <si>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</si>
  <si>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</si>
  <si>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</si>
  <si>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</si>
  <si>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</si>
  <si>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</si>
  <si>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</si>
  <si>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</si>
  <si>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</si>
  <si>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</si>
  <si>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</si>
  <si>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</si>
  <si>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</si>
  <si>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</si>
  <si>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</si>
  <si>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</si>
  <si>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</si>
  <si>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</si>
  <si>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</si>
  <si>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</si>
  <si>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</si>
  <si>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</si>
  <si>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</si>
  <si>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</si>
  <si>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</si>
  <si>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</si>
  <si>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</si>
  <si>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</si>
  <si>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</si>
  <si>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</si>
  <si>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</si>
  <si>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</si>
  <si>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</si>
  <si>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</si>
  <si>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</si>
  <si>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</si>
  <si>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</si>
  <si>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</si>
  <si>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</si>
  <si>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</si>
  <si>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</si>
  <si>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</si>
  <si>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</si>
  <si>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</si>
  <si>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</si>
  <si>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</si>
  <si>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</si>
  <si>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</si>
  <si>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</si>
  <si>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</si>
  <si>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</si>
  <si>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</si>
  <si>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</si>
  <si>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</si>
  <si>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</si>
  <si>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</si>
  <si>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</si>
  <si>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</si>
  <si>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</si>
  <si>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</si>
  <si>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</si>
  <si>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</si>
  <si>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</si>
  <si>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</si>
  <si>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</si>
  <si>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</si>
  <si>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</si>
  <si>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</si>
  <si>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</si>
  <si>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</si>
  <si>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</si>
  <si>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</si>
  <si>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</si>
  <si>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</si>
  <si>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</si>
  <si>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</si>
  <si>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</si>
  <si>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</si>
  <si>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</si>
  <si>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</si>
  <si>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</si>
  <si>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</si>
  <si>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</si>
  <si>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</si>
  <si>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</si>
  <si>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</si>
  <si>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</si>
  <si>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</si>
  <si>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</si>
  <si>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</si>
  <si>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</si>
  <si>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</si>
  <si>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</si>
  <si>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</si>
  <si>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</si>
  <si>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</si>
  <si>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</si>
  <si>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</si>
  <si>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</si>
  <si>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</si>
  <si>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</si>
  <si>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</si>
  <si>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</si>
  <si>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</si>
  <si>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</si>
  <si>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</si>
  <si>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</si>
  <si>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</si>
  <si>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</si>
  <si>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</si>
  <si>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</si>
  <si>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</si>
  <si>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</si>
  <si>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</si>
  <si>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</si>
  <si>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</si>
  <si>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</si>
  <si>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</si>
  <si>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</si>
  <si>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</si>
  <si>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</si>
  <si>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</si>
  <si>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</si>
  <si>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</si>
  <si>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</si>
  <si>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</si>
  <si>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</si>
  <si>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</si>
  <si>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</si>
  <si>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</si>
  <si>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</si>
  <si>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</si>
  <si>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</si>
  <si>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</si>
  <si>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</si>
  <si>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</si>
  <si>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</si>
  <si>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</si>
  <si>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</si>
  <si>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</si>
  <si>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</si>
  <si>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</si>
  <si>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</si>
  <si>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</si>
  <si>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</si>
  <si>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</si>
  <si>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</si>
  <si>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</si>
  <si>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</si>
  <si>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</si>
  <si>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</si>
  <si>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</si>
  <si>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</si>
  <si>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</si>
  <si>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</si>
  <si>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</si>
  <si>
    <t>June 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</si>
</sst>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23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45816.25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22515</v>
      </c>
      <c r="I10" s="27">
        <v>0</v>
      </c>
      <c r="J10" s="26">
        <f>IFERROR(H10-I10,"")</f>
        <v>22515</v>
      </c>
      <c r="K10" s="26">
        <f>IFERROR(($E$30/($H$31+$H$32)*$H$31)*R32,"")</f>
        <v>90.06</v>
      </c>
      <c r="L10" s="26">
        <f>IFERROR(($E$30/($H$31+$H$32)*$H$31)*S32,"")</f>
        <v>22.515000000000001</v>
      </c>
      <c r="M10" s="28">
        <f>IFERROR(K10+L10,"")</f>
        <v>112.575</v>
      </c>
      <c r="N10" s="29">
        <f>IFERROR(O10+P10+Q10+R10+S10+T10+U10+V10,"")</f>
        <v>22402.424999999999</v>
      </c>
      <c r="O10" s="26">
        <f t="shared" ref="O10:V10" si="2">IFERROR(($E$30/($H$31+$H$32)*$H$31)*J32,"")</f>
        <v>788.02500000000009</v>
      </c>
      <c r="P10" s="26">
        <f t="shared" si="2"/>
        <v>7204.8</v>
      </c>
      <c r="Q10" s="26">
        <f t="shared" si="2"/>
        <v>13351.394999999999</v>
      </c>
      <c r="R10" s="26">
        <f t="shared" si="2"/>
        <v>1013.175</v>
      </c>
      <c r="S10" s="26">
        <f t="shared" si="2"/>
        <v>0</v>
      </c>
      <c r="T10" s="26">
        <f t="shared" si="2"/>
        <v>0</v>
      </c>
      <c r="U10" s="26">
        <f t="shared" si="2"/>
        <v>45.03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20893.786936236393</v>
      </c>
      <c r="I13" s="27">
        <v>0</v>
      </c>
      <c r="J13" s="26">
        <f>IFERROR(H13-I13,"")</f>
        <v>20893.786936236393</v>
      </c>
      <c r="K13" s="26">
        <f>IFERROR(($E$34/($H$35+$H$36)*$H$35)*R36,"")</f>
        <v>41.787573872472784</v>
      </c>
      <c r="L13" s="26">
        <f>IFERROR(($E$34/($H$35+$H$36)*$H$35)*S36,"")</f>
        <v>41.787573872472784</v>
      </c>
      <c r="M13" s="28">
        <f>IFERROR(K13+L13,"")</f>
        <v>83.575147744945568</v>
      </c>
      <c r="N13" s="29">
        <f>IFERROR(O13+P13+Q13+R13+S13+T13+U13+V13,"")</f>
        <v>20810.211788491448</v>
      </c>
      <c r="O13" s="26">
        <f t="shared" ref="O13:V13" si="4">IFERROR(($E$34/($H$35+$H$36)*$H$35)*J36,"")</f>
        <v>83.575147744945568</v>
      </c>
      <c r="P13" s="26">
        <f t="shared" si="4"/>
        <v>1316.3085769828926</v>
      </c>
      <c r="Q13" s="26">
        <f t="shared" si="4"/>
        <v>15315.145824261275</v>
      </c>
      <c r="R13" s="26">
        <f t="shared" si="4"/>
        <v>4053.3946656298604</v>
      </c>
      <c r="S13" s="26">
        <f t="shared" si="4"/>
        <v>0</v>
      </c>
      <c r="T13" s="26">
        <f t="shared" si="4"/>
        <v>0</v>
      </c>
      <c r="U13" s="26">
        <f t="shared" si="4"/>
        <v>41.787573872472784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2326.2130637636083</v>
      </c>
      <c r="I14" s="27">
        <v>0</v>
      </c>
      <c r="J14" s="26">
        <f>IFERROR(H14-I14,"")</f>
        <v>2326.2130637636083</v>
      </c>
      <c r="K14" s="26">
        <f>IFERROR(($E$34/($H$35+$H$36)*$H$36)*R36,"")</f>
        <v>4.6524261275272165</v>
      </c>
      <c r="L14" s="26">
        <f>IFERROR(($E$34/($H$35+$H$36)*$H$36)*S36,"")</f>
        <v>4.6524261275272165</v>
      </c>
      <c r="M14" s="28">
        <f>IFERROR(K14+L14,"")</f>
        <v>9.304852255054433</v>
      </c>
      <c r="N14" s="29">
        <f>IFERROR(O14+P14+Q14+R14+S14+T14+U14+V14,"")</f>
        <v>2316.9082115085539</v>
      </c>
      <c r="O14" s="26">
        <f t="shared" ref="O14:V14" si="5">IFERROR(($E$34/($H$35+$H$36)*$H$36)*J36,"")</f>
        <v>9.304852255054433</v>
      </c>
      <c r="P14" s="26">
        <f t="shared" si="5"/>
        <v>146.55142301710731</v>
      </c>
      <c r="Q14" s="26">
        <f t="shared" si="5"/>
        <v>1705.1141757387247</v>
      </c>
      <c r="R14" s="26">
        <f t="shared" si="5"/>
        <v>451.28533437013999</v>
      </c>
      <c r="S14" s="26">
        <f t="shared" si="5"/>
        <v>0</v>
      </c>
      <c r="T14" s="26">
        <f t="shared" si="5"/>
        <v>0</v>
      </c>
      <c r="U14" s="26">
        <f t="shared" si="5"/>
        <v>4.6524261275272165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11400</v>
      </c>
      <c r="I16" s="27">
        <v>0</v>
      </c>
      <c r="J16" s="26">
        <f>IFERROR(H16-I16,"")</f>
        <v>11400</v>
      </c>
      <c r="K16" s="26">
        <f>IFERROR(($E$38/($H$39)*$H$39)*R40,"")</f>
        <v>68.400000000000006</v>
      </c>
      <c r="L16" s="26">
        <f>IFERROR(($E$38/($H$39)*$H$39)*S40,"")</f>
        <v>11.4</v>
      </c>
      <c r="M16" s="28">
        <f>IFERROR(K16+L16,"")</f>
        <v>79.800000000000011</v>
      </c>
      <c r="N16" s="29">
        <f>IFERROR(O16+P16+Q16+R16+S16+T16+U16+V16,"")</f>
        <v>11320.2</v>
      </c>
      <c r="O16" s="26">
        <f t="shared" ref="O16:V16" si="6">IFERROR(($E$38/($H$39)*$H$39)*J40,"")</f>
        <v>684</v>
      </c>
      <c r="P16" s="26">
        <f t="shared" si="6"/>
        <v>4218</v>
      </c>
      <c r="Q16" s="26">
        <f t="shared" si="6"/>
        <v>5939.4000000000005</v>
      </c>
      <c r="R16" s="26">
        <f t="shared" si="6"/>
        <v>456</v>
      </c>
      <c r="S16" s="26">
        <f t="shared" si="6"/>
        <v>0</v>
      </c>
      <c r="T16" s="26">
        <f t="shared" si="6"/>
        <v>0</v>
      </c>
      <c r="U16" s="26">
        <f t="shared" si="6"/>
        <v>22.8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57135</v>
      </c>
      <c r="I19" s="37">
        <f t="shared" si="7"/>
        <v>0</v>
      </c>
      <c r="J19" s="37">
        <f t="shared" si="7"/>
        <v>57135</v>
      </c>
      <c r="K19" s="37">
        <f t="shared" si="7"/>
        <v>204.9</v>
      </c>
      <c r="L19" s="37">
        <f t="shared" si="7"/>
        <v>80.355000000000004</v>
      </c>
      <c r="M19" s="37">
        <f t="shared" si="7"/>
        <v>285.255</v>
      </c>
      <c r="N19" s="37">
        <f t="shared" si="7"/>
        <v>56849.74500000001</v>
      </c>
      <c r="O19" s="37">
        <f t="shared" si="7"/>
        <v>1564.9050000000002</v>
      </c>
      <c r="P19" s="37">
        <f t="shared" si="7"/>
        <v>12885.66</v>
      </c>
      <c r="Q19" s="37">
        <f t="shared" si="7"/>
        <v>36311.055</v>
      </c>
      <c r="R19" s="37">
        <f t="shared" si="7"/>
        <v>5973.8550000000005</v>
      </c>
      <c r="S19" s="37">
        <f t="shared" si="7"/>
        <v>0</v>
      </c>
      <c r="T19" s="37">
        <f t="shared" si="7"/>
        <v>0</v>
      </c>
      <c r="U19" s="37">
        <f t="shared" si="7"/>
        <v>114.27000000000001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57135.000000000007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14295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237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29858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237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2024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22515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38806</v>
      </c>
      <c r="I31" s="26"/>
      <c r="J31" s="198">
        <f>$E30*J32</f>
        <v>788.02500000000009</v>
      </c>
      <c r="K31" s="198">
        <f t="shared" ref="K31:S31" si="9">$E30*K32</f>
        <v>7204.8</v>
      </c>
      <c r="L31" s="198">
        <f t="shared" si="9"/>
        <v>13351.394999999999</v>
      </c>
      <c r="M31" s="198">
        <f t="shared" si="9"/>
        <v>1013.175</v>
      </c>
      <c r="N31" s="198">
        <f t="shared" si="9"/>
        <v>0</v>
      </c>
      <c r="O31" s="198">
        <f t="shared" si="9"/>
        <v>0</v>
      </c>
      <c r="P31" s="198">
        <f t="shared" si="9"/>
        <v>45.03</v>
      </c>
      <c r="Q31" s="198">
        <f t="shared" si="9"/>
        <v>0</v>
      </c>
      <c r="R31" s="198">
        <f t="shared" si="9"/>
        <v>90.06</v>
      </c>
      <c r="S31" s="198">
        <f t="shared" si="9"/>
        <v>22.515000000000001</v>
      </c>
      <c r="T31" s="199">
        <f>SUM(J31:S31)</f>
        <v>22515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23220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34715</v>
      </c>
      <c r="I35" s="30"/>
      <c r="J35" s="198">
        <f>$E34*J36</f>
        <v>92.88</v>
      </c>
      <c r="K35" s="198">
        <f t="shared" ref="K35:S35" si="10">$E34*K36</f>
        <v>1462.86</v>
      </c>
      <c r="L35" s="198">
        <f t="shared" si="10"/>
        <v>17020.259999999998</v>
      </c>
      <c r="M35" s="198">
        <f t="shared" si="10"/>
        <v>4504.68</v>
      </c>
      <c r="N35" s="198">
        <f t="shared" si="10"/>
        <v>0</v>
      </c>
      <c r="O35" s="198">
        <f t="shared" si="10"/>
        <v>0</v>
      </c>
      <c r="P35" s="198">
        <f t="shared" si="10"/>
        <v>46.44</v>
      </c>
      <c r="Q35" s="198">
        <f t="shared" si="10"/>
        <v>0</v>
      </c>
      <c r="R35" s="198">
        <f t="shared" si="10"/>
        <v>46.44</v>
      </c>
      <c r="S35" s="198">
        <f t="shared" si="10"/>
        <v>46.44</v>
      </c>
      <c r="T35" s="199">
        <f>SUM(J35:S35)</f>
        <v>23219.999999999996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0.73299999999999998</v>
      </c>
      <c r="M36" s="197">
        <f>Inputs!D40</f>
        <v>0.19400000000000001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2E-3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11400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18796</v>
      </c>
      <c r="I39" s="30"/>
      <c r="J39" s="198">
        <f>$E38*J40</f>
        <v>684</v>
      </c>
      <c r="K39" s="198">
        <f t="shared" ref="K39:S39" si="11">$E38*K40</f>
        <v>4218</v>
      </c>
      <c r="L39" s="198">
        <f t="shared" si="11"/>
        <v>5939.4000000000005</v>
      </c>
      <c r="M39" s="198">
        <f t="shared" si="11"/>
        <v>456</v>
      </c>
      <c r="N39" s="198">
        <f t="shared" si="11"/>
        <v>0</v>
      </c>
      <c r="O39" s="198">
        <f t="shared" si="11"/>
        <v>0</v>
      </c>
      <c r="P39" s="198">
        <f t="shared" si="11"/>
        <v>22.8</v>
      </c>
      <c r="Q39" s="198">
        <f t="shared" si="11"/>
        <v>0</v>
      </c>
      <c r="R39" s="198">
        <f t="shared" si="11"/>
        <v>68.400000000000006</v>
      </c>
      <c r="S39" s="198">
        <f t="shared" si="11"/>
        <v>11.4</v>
      </c>
      <c r="T39" s="199">
        <f>SUM(J39:S39)</f>
        <v>11400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45816.25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840</v>
      </c>
      <c r="C13" s="220">
        <f>'Grade out Information'!X26</f>
        <v>12600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840</v>
      </c>
      <c r="C27" s="222">
        <f>SUM(C13:C26)</f>
        <v>12600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E36" sqref="E3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23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235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4725</v>
      </c>
      <c r="Y15" s="209">
        <f>K15+M15+O15+Q15+S15+U15+W15</f>
        <v>0</v>
      </c>
      <c r="Z15" s="226">
        <f>Inputs!I35</f>
        <v>315</v>
      </c>
      <c r="AA15" s="3"/>
      <c r="AB15" s="133"/>
      <c r="AC15" s="3"/>
      <c r="AD15" s="133"/>
    </row>
    <row r="16" spans="1:30" ht="15" x14ac:dyDescent="0.25">
      <c r="A16" s="133"/>
      <c r="B16" s="133" t="s">
        <v>236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675</v>
      </c>
      <c r="Y16" s="209">
        <f>K16+M16+O16+Q16+S16+U16+W16</f>
        <v>0</v>
      </c>
      <c r="Z16" s="226">
        <f>Inputs!I36</f>
        <v>45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958.5</v>
      </c>
      <c r="K18" s="184">
        <f>Inputs!C36</f>
        <v>0.35499999999999998</v>
      </c>
      <c r="L18" s="133">
        <f t="shared" si="0"/>
        <v>1601.1</v>
      </c>
      <c r="M18" s="184">
        <f>Inputs!C39</f>
        <v>0.59299999999999997</v>
      </c>
      <c r="N18" s="133">
        <f t="shared" si="1"/>
        <v>121.5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18.900000000000002</v>
      </c>
      <c r="W18" s="185">
        <f>Inputs!C43</f>
        <v>7.0000000000000001E-3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2700</v>
      </c>
      <c r="J20" s="133">
        <f>X20*K20</f>
        <v>180.9</v>
      </c>
      <c r="K20" s="184">
        <f>Inputs!D36</f>
        <v>6.7000000000000004E-2</v>
      </c>
      <c r="L20" s="133">
        <f t="shared" si="0"/>
        <v>1979.1</v>
      </c>
      <c r="M20" s="184">
        <f>Inputs!D39</f>
        <v>0.73299999999999998</v>
      </c>
      <c r="N20" s="133">
        <f t="shared" si="1"/>
        <v>523.80000000000007</v>
      </c>
      <c r="O20" s="184">
        <f>Inputs!D40</f>
        <v>0.19400000000000001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16.2</v>
      </c>
      <c r="W20" s="185">
        <f>Inputs!D43</f>
        <v>6.0000000000000001E-3</v>
      </c>
      <c r="X20" s="213">
        <f t="shared" si="6"/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6.7000000000000004E-2</v>
      </c>
      <c r="L21" s="133">
        <f t="shared" si="0"/>
        <v>0</v>
      </c>
      <c r="M21" s="184">
        <f>M20</f>
        <v>0.73299999999999998</v>
      </c>
      <c r="N21" s="133">
        <f t="shared" si="1"/>
        <v>0</v>
      </c>
      <c r="O21" s="184">
        <f>O20</f>
        <v>0.19400000000000001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6.0000000000000001E-3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1800.0000000000002</v>
      </c>
      <c r="J23" s="133">
        <f>X23*K23</f>
        <v>774</v>
      </c>
      <c r="K23" s="184">
        <f>Inputs!E36</f>
        <v>0.43</v>
      </c>
      <c r="L23" s="133">
        <f t="shared" si="0"/>
        <v>937.80000000000007</v>
      </c>
      <c r="M23" s="184">
        <f>Inputs!E39</f>
        <v>0.52100000000000002</v>
      </c>
      <c r="N23" s="133">
        <f>X23*O23</f>
        <v>72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1913.4</v>
      </c>
      <c r="K26" s="139"/>
      <c r="L26" s="139">
        <f>SUM(L15:L25)</f>
        <v>4518</v>
      </c>
      <c r="M26" s="139"/>
      <c r="N26" s="139">
        <f>SUM(N15:N25)</f>
        <v>717.30000000000007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51.300000000000004</v>
      </c>
      <c r="W26" s="139"/>
      <c r="X26" s="139">
        <f>SUM(X15:X25)</f>
        <v>12600</v>
      </c>
      <c r="Y26" s="139"/>
      <c r="Z26" s="139">
        <f>SUM(Z15:Z25)</f>
        <v>840</v>
      </c>
      <c r="AA26" s="141">
        <f>IF(Z33=0,0,Z33/(H33+Z33))</f>
        <v>0</v>
      </c>
      <c r="AB26" s="139">
        <f>G26+X26</f>
        <v>12600</v>
      </c>
      <c r="AC26" s="139">
        <f>H26+Z26</f>
        <v>840</v>
      </c>
      <c r="AD26" s="141">
        <f>I26+AA26</f>
        <v>0</v>
      </c>
    </row>
    <row r="30" spans="1:30" x14ac:dyDescent="0.2">
      <c r="A30" s="3" t="s">
        <v>106</v>
      </c>
      <c r="B30">
        <f>J26</f>
        <v>1913.4</v>
      </c>
    </row>
    <row r="31" spans="1:30" x14ac:dyDescent="0.2">
      <c r="A31" s="3" t="s">
        <v>107</v>
      </c>
      <c r="B31">
        <f>L26</f>
        <v>4518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717.30000000000007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51.300000000000004</v>
      </c>
    </row>
    <row r="38" spans="1:13" x14ac:dyDescent="0.2">
      <c r="A38" s="3" t="s">
        <v>127</v>
      </c>
      <c r="B38">
        <f>SUM(B30:B36)</f>
        <v>7200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I14" sqref="I1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237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29858</v>
      </c>
      <c r="I3" s="25"/>
    </row>
    <row r="4" spans="1:9" x14ac:dyDescent="0.2">
      <c r="A4" s="3" t="s">
        <v>237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2024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34715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2" sqref="N2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23</v>
      </c>
      <c r="C7" s="151">
        <v>940766</v>
      </c>
      <c r="D7" s="188" t="s">
        <v>178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1463</v>
      </c>
      <c r="J7" s="189">
        <f>IF(H7="NEW",203, IF(H7="OLD",192,0))</f>
        <v>203</v>
      </c>
      <c r="K7" s="151">
        <v>1666</v>
      </c>
      <c r="L7" s="211">
        <f>IF(K7&gt;0,I7/E7,"NA")</f>
        <v>24.383333333333333</v>
      </c>
      <c r="M7" s="151">
        <v>944362</v>
      </c>
      <c r="N7" s="152" t="s">
        <v>239</v>
      </c>
      <c r="O7" s="157" t="s">
        <v>50</v>
      </c>
      <c r="P7" s="187">
        <f>IF(D7=Inputs!F$2,Inputs!I$2,IF(D7=Inputs!F$3,Inputs!I$3,IF(D7=Inputs!F$4,Inputs!I$4,IF(D7=Inputs!F$5,Inputs!I$5,"NA"))))</f>
        <v>34.892857142857146</v>
      </c>
    </row>
    <row r="8" spans="1:16" x14ac:dyDescent="0.25">
      <c r="A8" s="148">
        <v>2</v>
      </c>
      <c r="B8" s="189">
        <f>Inputs!C$2</f>
        <v>23</v>
      </c>
      <c r="C8" s="151">
        <v>940767</v>
      </c>
      <c r="D8" s="188" t="s">
        <v>178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1243</v>
      </c>
      <c r="J8" s="189">
        <f>IF(H8="NEW",203, IF(H8="OLD",192,0))</f>
        <v>203</v>
      </c>
      <c r="K8" s="151">
        <v>1446</v>
      </c>
      <c r="L8" s="211">
        <f>IF(K8&gt;0,I8/E8,"NA")</f>
        <v>20.716666666666665</v>
      </c>
      <c r="M8" s="151">
        <v>944362</v>
      </c>
      <c r="N8" s="152" t="s">
        <v>239</v>
      </c>
      <c r="O8" s="157" t="s">
        <v>50</v>
      </c>
      <c r="P8" s="187">
        <f>IF(D8=Inputs!F$2,Inputs!I$2,IF(D8=Inputs!F$3,Inputs!I$3,IF(D8=Inputs!F$4,Inputs!I$4,IF(D8=Inputs!F$5,Inputs!I$5,"NA"))))</f>
        <v>34.892857142857146</v>
      </c>
    </row>
    <row r="9" spans="1:16" x14ac:dyDescent="0.25">
      <c r="A9" s="148">
        <v>3</v>
      </c>
      <c r="B9" s="189">
        <f>Inputs!C$2</f>
        <v>23</v>
      </c>
      <c r="C9" s="151">
        <v>940768</v>
      </c>
      <c r="D9" s="188" t="s">
        <v>178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1243</v>
      </c>
      <c r="J9" s="189">
        <f>IF(H9="NEW",203, IF(H9="OLD",192,0))</f>
        <v>203</v>
      </c>
      <c r="K9" s="151">
        <v>1446</v>
      </c>
      <c r="L9" s="211">
        <f t="shared" ref="L9:L72" si="1">IF(K9&gt;0,I9/E9,"NA")</f>
        <v>20.716666666666665</v>
      </c>
      <c r="M9" s="151">
        <v>944362</v>
      </c>
      <c r="N9" s="152" t="s">
        <v>239</v>
      </c>
      <c r="O9" s="157" t="s">
        <v>50</v>
      </c>
      <c r="P9" s="187">
        <f>IF(D9=Inputs!F$2,Inputs!I$2,IF(D9=Inputs!F$3,Inputs!I$3,IF(D9=Inputs!F$4,Inputs!I$4,IF(D9=Inputs!F$5,Inputs!I$5,"NA"))))</f>
        <v>34.892857142857146</v>
      </c>
    </row>
    <row r="10" spans="1:16" x14ac:dyDescent="0.25">
      <c r="A10" s="148">
        <v>4</v>
      </c>
      <c r="B10" s="189">
        <f>Inputs!C$2</f>
        <v>23</v>
      </c>
      <c r="C10" s="151">
        <v>940769</v>
      </c>
      <c r="D10" s="188" t="s">
        <v>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1533</v>
      </c>
      <c r="J10" s="189">
        <f>IF(H10="NEW",203, IF(H10="OLD",192,0))</f>
        <v>203</v>
      </c>
      <c r="K10" s="151">
        <v>1736</v>
      </c>
      <c r="L10" s="211">
        <f t="shared" si="1"/>
        <v>25.55</v>
      </c>
      <c r="M10" s="151">
        <v>944362</v>
      </c>
      <c r="N10" s="152" t="s">
        <v>239</v>
      </c>
      <c r="O10" s="157" t="s">
        <v>50</v>
      </c>
      <c r="P10" s="187">
        <f>IF(D10=Inputs!F$2,Inputs!I$2,IF(D10=Inputs!F$3,Inputs!I$3,IF(D10=Inputs!F$4,Inputs!I$4,IF(D10=Inputs!F$5,Inputs!I$5,"NA"))))</f>
        <v>52.464285714285715</v>
      </c>
    </row>
    <row r="11" spans="1:16" x14ac:dyDescent="0.25">
      <c r="A11" s="148">
        <v>5</v>
      </c>
      <c r="B11" s="189">
        <f>Inputs!C$2</f>
        <v>23</v>
      </c>
      <c r="C11" s="151">
        <v>940770</v>
      </c>
      <c r="D11" s="188" t="s">
        <v>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1509</v>
      </c>
      <c r="J11" s="189">
        <f t="shared" ref="J11:J72" si="2">IF(H11="NEW",203, IF(H11="OLD",192,0))</f>
        <v>203</v>
      </c>
      <c r="K11" s="151">
        <v>1712</v>
      </c>
      <c r="L11" s="211">
        <f>IF(K11&gt;0,I11/E11,"NA")</f>
        <v>25.15</v>
      </c>
      <c r="M11" s="151">
        <v>944362</v>
      </c>
      <c r="N11" s="152" t="s">
        <v>239</v>
      </c>
      <c r="O11" s="157" t="s">
        <v>50</v>
      </c>
      <c r="P11" s="187">
        <f>IF(D11=Inputs!F$2,Inputs!I$2,IF(D11=Inputs!F$3,Inputs!I$3,IF(D11=Inputs!F$4,Inputs!I$4,IF(D11=Inputs!F$5,Inputs!I$5,"NA"))))</f>
        <v>52.464285714285715</v>
      </c>
    </row>
    <row r="12" spans="1:16" x14ac:dyDescent="0.25">
      <c r="A12" s="148">
        <v>6</v>
      </c>
      <c r="B12" s="189">
        <f>Inputs!C$2</f>
        <v>23</v>
      </c>
      <c r="C12" s="151">
        <v>940771</v>
      </c>
      <c r="D12" s="188" t="s">
        <v>234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1133</v>
      </c>
      <c r="J12" s="189">
        <f t="shared" si="2"/>
        <v>203</v>
      </c>
      <c r="K12" s="151">
        <v>1336</v>
      </c>
      <c r="L12" s="211">
        <f t="shared" si="1"/>
        <v>18.883333333333333</v>
      </c>
      <c r="M12" s="151">
        <v>944362</v>
      </c>
      <c r="N12" s="152" t="s">
        <v>239</v>
      </c>
      <c r="O12" s="157" t="s">
        <v>230</v>
      </c>
      <c r="P12" s="187">
        <f>IF(D12=Inputs!F$2,Inputs!I$2,IF(D12=Inputs!F$3,Inputs!I$3,IF(D12=Inputs!F$4,Inputs!I$4,IF(D12=Inputs!F$5,Inputs!I$5,"NA"))))</f>
        <v>21.892857142857142</v>
      </c>
    </row>
    <row r="13" spans="1:16" x14ac:dyDescent="0.25">
      <c r="A13" s="148">
        <v>7</v>
      </c>
      <c r="B13" s="189">
        <f>Inputs!C$2</f>
        <v>23</v>
      </c>
      <c r="C13" s="151">
        <v>940772</v>
      </c>
      <c r="D13" s="188" t="s">
        <v>234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1117</v>
      </c>
      <c r="J13" s="189">
        <f t="shared" si="2"/>
        <v>203</v>
      </c>
      <c r="K13" s="151">
        <v>1320</v>
      </c>
      <c r="L13" s="211">
        <f t="shared" si="1"/>
        <v>18.616666666666667</v>
      </c>
      <c r="M13" s="151">
        <v>944362</v>
      </c>
      <c r="N13" s="152" t="s">
        <v>239</v>
      </c>
      <c r="O13" s="157" t="s">
        <v>50</v>
      </c>
      <c r="P13" s="187">
        <f>IF(D13=Inputs!F$2,Inputs!I$2,IF(D13=Inputs!F$3,Inputs!I$3,IF(D13=Inputs!F$4,Inputs!I$4,IF(D13=Inputs!F$5,Inputs!I$5,"NA"))))</f>
        <v>21.892857142857142</v>
      </c>
    </row>
    <row r="14" spans="1:16" x14ac:dyDescent="0.25">
      <c r="A14" s="148">
        <v>8</v>
      </c>
      <c r="B14" s="189">
        <f>Inputs!C$2</f>
        <v>23</v>
      </c>
      <c r="C14" s="151">
        <v>940773</v>
      </c>
      <c r="D14" s="188" t="s">
        <v>6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1495</v>
      </c>
      <c r="J14" s="189">
        <f t="shared" si="2"/>
        <v>203</v>
      </c>
      <c r="K14" s="151">
        <v>1698</v>
      </c>
      <c r="L14" s="211">
        <f t="shared" si="1"/>
        <v>24.916666666666668</v>
      </c>
      <c r="M14" s="151">
        <v>944362</v>
      </c>
      <c r="N14" s="152" t="s">
        <v>239</v>
      </c>
      <c r="O14" s="157" t="s">
        <v>50</v>
      </c>
      <c r="P14" s="187">
        <f>IF(D14=Inputs!F$2,Inputs!I$2,IF(D14=Inputs!F$3,Inputs!I$3,IF(D14=Inputs!F$4,Inputs!I$4,IF(D14=Inputs!F$5,Inputs!I$5,"NA"))))</f>
        <v>60.892857142857146</v>
      </c>
    </row>
    <row r="15" spans="1:16" x14ac:dyDescent="0.25">
      <c r="A15" s="148">
        <v>9</v>
      </c>
      <c r="B15" s="189">
        <f>Inputs!C$2</f>
        <v>23</v>
      </c>
      <c r="C15" s="151">
        <v>940774</v>
      </c>
      <c r="D15" s="188" t="s">
        <v>6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1489</v>
      </c>
      <c r="J15" s="189">
        <f t="shared" si="2"/>
        <v>203</v>
      </c>
      <c r="K15" s="151">
        <v>1692</v>
      </c>
      <c r="L15" s="211">
        <f t="shared" si="1"/>
        <v>24.816666666666666</v>
      </c>
      <c r="M15" s="151">
        <v>944362</v>
      </c>
      <c r="N15" s="152" t="s">
        <v>239</v>
      </c>
      <c r="O15" s="157" t="s">
        <v>50</v>
      </c>
      <c r="P15" s="187">
        <f>IF(D15=Inputs!F$2,Inputs!I$2,IF(D15=Inputs!F$3,Inputs!I$3,IF(D15=Inputs!F$4,Inputs!I$4,IF(D15=Inputs!F$5,Inputs!I$5,"NA"))))</f>
        <v>60.892857142857146</v>
      </c>
    </row>
    <row r="16" spans="1:16" x14ac:dyDescent="0.25">
      <c r="A16" s="148">
        <v>10</v>
      </c>
      <c r="B16" s="189">
        <f>Inputs!C$2</f>
        <v>23</v>
      </c>
      <c r="C16" s="151">
        <v>940775</v>
      </c>
      <c r="D16" s="188" t="s">
        <v>6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1479</v>
      </c>
      <c r="J16" s="189">
        <f t="shared" si="2"/>
        <v>203</v>
      </c>
      <c r="K16" s="151">
        <v>1682</v>
      </c>
      <c r="L16" s="211">
        <f t="shared" si="1"/>
        <v>24.65</v>
      </c>
      <c r="M16" s="151">
        <v>944362</v>
      </c>
      <c r="N16" s="152" t="s">
        <v>239</v>
      </c>
      <c r="O16" s="157" t="s">
        <v>50</v>
      </c>
      <c r="P16" s="187">
        <f>IF(D16=Inputs!F$2,Inputs!I$2,IF(D16=Inputs!F$3,Inputs!I$3,IF(D16=Inputs!F$4,Inputs!I$4,IF(D16=Inputs!F$5,Inputs!I$5,"NA"))))</f>
        <v>60.892857142857146</v>
      </c>
    </row>
    <row r="17" spans="1:16" x14ac:dyDescent="0.25">
      <c r="A17" s="148">
        <v>11</v>
      </c>
      <c r="B17" s="189">
        <f>Inputs!C$2</f>
        <v>23</v>
      </c>
      <c r="C17" s="151">
        <v>940782</v>
      </c>
      <c r="D17" s="188" t="s">
        <v>234</v>
      </c>
      <c r="E17" s="148">
        <v>60</v>
      </c>
      <c r="F17" s="188" t="s">
        <v>119</v>
      </c>
      <c r="G17" s="188"/>
      <c r="H17" s="191" t="s">
        <v>215</v>
      </c>
      <c r="I17" s="210">
        <f t="shared" si="0"/>
        <v>1137</v>
      </c>
      <c r="J17" s="189">
        <f t="shared" si="2"/>
        <v>203</v>
      </c>
      <c r="K17" s="151">
        <v>1340</v>
      </c>
      <c r="L17" s="211">
        <f t="shared" si="1"/>
        <v>18.95</v>
      </c>
      <c r="M17" s="151">
        <v>944362</v>
      </c>
      <c r="N17" s="152" t="s">
        <v>239</v>
      </c>
      <c r="O17" s="157" t="s">
        <v>50</v>
      </c>
      <c r="P17" s="187">
        <f>IF(D17=Inputs!F$2,Inputs!I$2,IF(D17=Inputs!F$3,Inputs!I$3,IF(D17=Inputs!F$4,Inputs!I$4,IF(D17=Inputs!F$5,Inputs!I$5,"NA"))))</f>
        <v>21.892857142857142</v>
      </c>
    </row>
    <row r="18" spans="1:16" x14ac:dyDescent="0.25">
      <c r="A18" s="148">
        <v>12</v>
      </c>
      <c r="B18" s="189">
        <f>Inputs!C$2</f>
        <v>23</v>
      </c>
      <c r="C18" s="151">
        <v>940783</v>
      </c>
      <c r="D18" s="188" t="s">
        <v>234</v>
      </c>
      <c r="E18" s="148">
        <v>60</v>
      </c>
      <c r="F18" s="188" t="s">
        <v>119</v>
      </c>
      <c r="G18" s="188"/>
      <c r="H18" s="191" t="s">
        <v>215</v>
      </c>
      <c r="I18" s="210">
        <f t="shared" si="0"/>
        <v>1139</v>
      </c>
      <c r="J18" s="189">
        <f t="shared" si="2"/>
        <v>203</v>
      </c>
      <c r="K18" s="151">
        <v>1342</v>
      </c>
      <c r="L18" s="211">
        <f t="shared" si="1"/>
        <v>18.983333333333334</v>
      </c>
      <c r="M18" s="151">
        <v>944362</v>
      </c>
      <c r="N18" s="152" t="s">
        <v>239</v>
      </c>
      <c r="O18" s="157" t="s">
        <v>50</v>
      </c>
      <c r="P18" s="187">
        <f>IF(D18=Inputs!F$2,Inputs!I$2,IF(D18=Inputs!F$3,Inputs!I$3,IF(D18=Inputs!F$4,Inputs!I$4,IF(D18=Inputs!F$5,Inputs!I$5,"NA"))))</f>
        <v>21.892857142857142</v>
      </c>
    </row>
    <row r="19" spans="1:16" x14ac:dyDescent="0.25">
      <c r="A19" s="148">
        <v>13</v>
      </c>
      <c r="B19" s="189">
        <f>Inputs!C$2</f>
        <v>23</v>
      </c>
      <c r="C19" s="151">
        <v>940784</v>
      </c>
      <c r="D19" s="188" t="s">
        <v>234</v>
      </c>
      <c r="E19" s="148">
        <v>60</v>
      </c>
      <c r="F19" s="188" t="s">
        <v>119</v>
      </c>
      <c r="G19" s="188"/>
      <c r="H19" s="191" t="s">
        <v>215</v>
      </c>
      <c r="I19" s="210">
        <f t="shared" si="0"/>
        <v>1135</v>
      </c>
      <c r="J19" s="189">
        <f t="shared" si="2"/>
        <v>203</v>
      </c>
      <c r="K19" s="151">
        <v>1338</v>
      </c>
      <c r="L19" s="211">
        <f t="shared" si="1"/>
        <v>18.916666666666668</v>
      </c>
      <c r="M19" s="151">
        <v>944362</v>
      </c>
      <c r="N19" s="152" t="s">
        <v>239</v>
      </c>
      <c r="O19" s="157" t="s">
        <v>230</v>
      </c>
      <c r="P19" s="187">
        <f>IF(D19=Inputs!F$2,Inputs!I$2,IF(D19=Inputs!F$3,Inputs!I$3,IF(D19=Inputs!F$4,Inputs!I$4,IF(D19=Inputs!F$5,Inputs!I$5,"NA"))))</f>
        <v>21.892857142857142</v>
      </c>
    </row>
    <row r="20" spans="1:16" x14ac:dyDescent="0.25">
      <c r="A20" s="148">
        <v>14</v>
      </c>
      <c r="B20" s="189">
        <f>Inputs!C$2</f>
        <v>23</v>
      </c>
      <c r="C20" s="151">
        <v>940789</v>
      </c>
      <c r="D20" s="188" t="s">
        <v>234</v>
      </c>
      <c r="E20" s="148">
        <v>60</v>
      </c>
      <c r="F20" s="188" t="s">
        <v>119</v>
      </c>
      <c r="G20" s="188"/>
      <c r="H20" s="191" t="s">
        <v>215</v>
      </c>
      <c r="I20" s="210">
        <f t="shared" si="0"/>
        <v>1137</v>
      </c>
      <c r="J20" s="189">
        <f t="shared" si="2"/>
        <v>203</v>
      </c>
      <c r="K20" s="151">
        <v>1340</v>
      </c>
      <c r="L20" s="211">
        <f t="shared" si="1"/>
        <v>18.95</v>
      </c>
      <c r="M20" s="151">
        <v>944362</v>
      </c>
      <c r="N20" s="152" t="s">
        <v>239</v>
      </c>
      <c r="O20" s="157" t="s">
        <v>230</v>
      </c>
      <c r="P20" s="187">
        <f>IF(D20=Inputs!F$2,Inputs!I$2,IF(D20=Inputs!F$3,Inputs!I$3,IF(D20=Inputs!F$4,Inputs!I$4,IF(D20=Inputs!F$5,Inputs!I$5,"NA"))))</f>
        <v>21.892857142857142</v>
      </c>
    </row>
    <row r="21" spans="1:16" x14ac:dyDescent="0.25">
      <c r="A21" s="148">
        <v>15</v>
      </c>
      <c r="B21" s="189">
        <f>Inputs!C$2</f>
        <v>23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23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23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23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23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23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23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23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23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23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23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23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23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23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23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23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23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23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I18" sqref="I18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23</v>
      </c>
      <c r="F2" s="166" t="s">
        <v>234</v>
      </c>
      <c r="G2" s="186">
        <v>45663</v>
      </c>
      <c r="I2" s="205">
        <f>(C$3-G2)/7</f>
        <v>21.892857142857142</v>
      </c>
      <c r="J2" s="230">
        <f>I2-19</f>
        <v>2.8928571428571423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45816.25</v>
      </c>
      <c r="D3" s="247"/>
      <c r="F3" s="166" t="s">
        <v>6</v>
      </c>
      <c r="G3" s="186">
        <v>45390</v>
      </c>
      <c r="I3" s="205">
        <f>(C$3-G3)/7</f>
        <v>60.892857142857146</v>
      </c>
      <c r="J3" s="230">
        <f>I3-19</f>
        <v>41.892857142857146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34.892857142857146</v>
      </c>
      <c r="J4" s="230">
        <f>I4-19</f>
        <v>15.892857142857146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52.464285714285715</v>
      </c>
      <c r="J5" s="230">
        <f>I5-19</f>
        <v>33.464285714285715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96</v>
      </c>
      <c r="C10" s="168">
        <v>10</v>
      </c>
      <c r="E10" s="139">
        <v>10</v>
      </c>
      <c r="F10" s="168">
        <v>105</v>
      </c>
      <c r="G10" s="168">
        <v>15</v>
      </c>
    </row>
    <row r="11" spans="1:12" x14ac:dyDescent="0.2">
      <c r="A11" s="139">
        <v>6</v>
      </c>
      <c r="B11" s="168">
        <v>205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189</v>
      </c>
      <c r="C12" s="168">
        <v>21</v>
      </c>
      <c r="E12" s="139">
        <v>7</v>
      </c>
      <c r="F12" s="168">
        <v>200</v>
      </c>
      <c r="G12" s="168">
        <v>23</v>
      </c>
    </row>
    <row r="13" spans="1:12" x14ac:dyDescent="0.2">
      <c r="A13" s="139">
        <v>11</v>
      </c>
      <c r="B13" s="168">
        <v>95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169</v>
      </c>
      <c r="C16" s="168">
        <v>15</v>
      </c>
      <c r="E16" s="139">
        <v>10</v>
      </c>
      <c r="F16" s="168">
        <v>128</v>
      </c>
      <c r="G16" s="168">
        <v>14</v>
      </c>
    </row>
    <row r="17" spans="1:11" x14ac:dyDescent="0.2">
      <c r="A17" s="139">
        <v>6</v>
      </c>
      <c r="B17" s="168">
        <v>216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203</v>
      </c>
      <c r="C18" s="168">
        <v>25</v>
      </c>
      <c r="E18" s="139">
        <v>7</v>
      </c>
      <c r="F18" s="168">
        <v>204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130</v>
      </c>
      <c r="C23" s="168">
        <v>15</v>
      </c>
      <c r="E23" s="139">
        <v>10</v>
      </c>
      <c r="F23" s="168">
        <v>104</v>
      </c>
      <c r="G23" s="168">
        <v>10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198</v>
      </c>
      <c r="C25" s="168">
        <v>22</v>
      </c>
      <c r="E25" s="139">
        <v>7</v>
      </c>
      <c r="F25" s="168">
        <v>196</v>
      </c>
      <c r="G25" s="168">
        <v>22</v>
      </c>
    </row>
    <row r="26" spans="1:11" x14ac:dyDescent="0.2">
      <c r="A26" s="139">
        <v>11</v>
      </c>
      <c r="B26" s="168">
        <v>111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130</v>
      </c>
      <c r="C29" s="168">
        <v>12</v>
      </c>
      <c r="E29" s="139">
        <v>10</v>
      </c>
      <c r="F29" s="203">
        <f t="shared" ref="F29:G32" si="0">B10+F10+B16+F16+B23+F23+B29</f>
        <v>862</v>
      </c>
      <c r="G29" s="203">
        <f t="shared" si="0"/>
        <v>91</v>
      </c>
      <c r="I29" s="139">
        <v>10</v>
      </c>
      <c r="J29" s="203">
        <f t="shared" ref="J29:K31" si="1">F29*15</f>
        <v>12930</v>
      </c>
      <c r="K29" s="203">
        <f t="shared" si="1"/>
        <v>1365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1501</v>
      </c>
      <c r="G30" s="204">
        <f t="shared" si="0"/>
        <v>0</v>
      </c>
      <c r="I30" s="139">
        <v>6</v>
      </c>
      <c r="J30" s="203">
        <f t="shared" si="1"/>
        <v>22515</v>
      </c>
      <c r="K30" s="204">
        <f t="shared" si="1"/>
        <v>0</v>
      </c>
    </row>
    <row r="31" spans="1:11" x14ac:dyDescent="0.2">
      <c r="A31" s="139">
        <v>7</v>
      </c>
      <c r="B31" s="168">
        <v>201</v>
      </c>
      <c r="C31" s="168">
        <v>22</v>
      </c>
      <c r="E31" s="139">
        <v>7</v>
      </c>
      <c r="F31" s="203">
        <f t="shared" si="0"/>
        <v>1391</v>
      </c>
      <c r="G31" s="203">
        <f t="shared" si="0"/>
        <v>157</v>
      </c>
      <c r="I31" s="139">
        <v>7</v>
      </c>
      <c r="J31" s="203">
        <f t="shared" si="1"/>
        <v>20865</v>
      </c>
      <c r="K31" s="203">
        <f t="shared" si="1"/>
        <v>2355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760</v>
      </c>
      <c r="G32" s="204">
        <f t="shared" si="0"/>
        <v>0</v>
      </c>
      <c r="I32" s="139">
        <v>11</v>
      </c>
      <c r="J32" s="203">
        <f>F32*15</f>
        <v>11400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233</v>
      </c>
      <c r="C35" s="172" t="s">
        <v>181</v>
      </c>
      <c r="D35" s="172" t="s">
        <v>182</v>
      </c>
      <c r="E35" s="172" t="s">
        <v>180</v>
      </c>
      <c r="G35" s="245" t="s">
        <v>231</v>
      </c>
      <c r="H35" s="245"/>
      <c r="I35" s="225">
        <v>315</v>
      </c>
    </row>
    <row r="36" spans="1:9" x14ac:dyDescent="0.2">
      <c r="A36" s="172" t="s">
        <v>106</v>
      </c>
      <c r="B36" s="201">
        <f>B37+B38</f>
        <v>0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232</v>
      </c>
      <c r="H36" s="245"/>
      <c r="I36" s="225">
        <v>45</v>
      </c>
    </row>
    <row r="37" spans="1:9" x14ac:dyDescent="0.2">
      <c r="A37" s="172" t="s">
        <v>195</v>
      </c>
      <c r="B37" s="173">
        <v>0</v>
      </c>
      <c r="C37" s="236">
        <v>3.5000000000000003E-2</v>
      </c>
      <c r="D37" s="173">
        <v>4.0000000000000001E-3</v>
      </c>
      <c r="E37" s="173">
        <v>0.06</v>
      </c>
      <c r="G37" s="245" t="s">
        <v>219</v>
      </c>
      <c r="H37" s="245"/>
      <c r="I37" s="225">
        <v>180</v>
      </c>
    </row>
    <row r="38" spans="1:9" x14ac:dyDescent="0.2">
      <c r="A38" s="172" t="s">
        <v>196</v>
      </c>
      <c r="B38" s="173">
        <v>0</v>
      </c>
      <c r="C38" s="173">
        <v>0.32</v>
      </c>
      <c r="D38" s="173">
        <v>6.3E-2</v>
      </c>
      <c r="E38" s="173">
        <v>0.37</v>
      </c>
      <c r="G38" s="245" t="s">
        <v>220</v>
      </c>
      <c r="H38" s="245"/>
      <c r="I38" s="225">
        <v>180</v>
      </c>
    </row>
    <row r="39" spans="1:9" x14ac:dyDescent="0.2">
      <c r="A39" s="172" t="s">
        <v>197</v>
      </c>
      <c r="B39" s="173">
        <v>0</v>
      </c>
      <c r="C39" s="173">
        <v>0.59299999999999997</v>
      </c>
      <c r="D39" s="173">
        <v>0.73299999999999998</v>
      </c>
      <c r="E39" s="173">
        <v>0.52100000000000002</v>
      </c>
      <c r="G39" s="245" t="s">
        <v>221</v>
      </c>
      <c r="H39" s="245"/>
      <c r="I39" s="225">
        <v>0</v>
      </c>
    </row>
    <row r="40" spans="1:9" x14ac:dyDescent="0.2">
      <c r="A40" s="172" t="s">
        <v>198</v>
      </c>
      <c r="B40" s="173">
        <v>0</v>
      </c>
      <c r="C40" s="173">
        <v>4.4999999999999998E-2</v>
      </c>
      <c r="D40" s="173">
        <v>0.19400000000000001</v>
      </c>
      <c r="E40" s="173">
        <v>0.04</v>
      </c>
      <c r="G40" s="245" t="s">
        <v>222</v>
      </c>
      <c r="H40" s="245"/>
      <c r="I40" s="225">
        <v>120</v>
      </c>
    </row>
    <row r="41" spans="1:9" x14ac:dyDescent="0.2">
      <c r="A41" s="172" t="s">
        <v>207</v>
      </c>
      <c r="B41" s="173">
        <v>0</v>
      </c>
      <c r="C41" s="173">
        <v>0</v>
      </c>
      <c r="D41" s="173">
        <v>0</v>
      </c>
      <c r="E41" s="173">
        <v>0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0</v>
      </c>
      <c r="C43" s="202">
        <f>SUM(C47:C50)</f>
        <v>7.0000000000000001E-3</v>
      </c>
      <c r="D43" s="202">
        <f>SUM(D47:D50)</f>
        <v>6.0000000000000001E-3</v>
      </c>
      <c r="E43" s="202">
        <f>SUM(E47:E50)</f>
        <v>9.0000000000000011E-3</v>
      </c>
    </row>
    <row r="44" spans="1:9" x14ac:dyDescent="0.2">
      <c r="A44" s="233" t="s">
        <v>225</v>
      </c>
      <c r="B44" s="232">
        <v>0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227</v>
      </c>
      <c r="B45" s="231">
        <f>J29+K29</f>
        <v>14295</v>
      </c>
      <c r="C45" s="231">
        <f>J30</f>
        <v>22515</v>
      </c>
      <c r="D45" s="231">
        <f>J31</f>
        <v>20865</v>
      </c>
      <c r="E45" s="231">
        <f>J32</f>
        <v>11400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200</v>
      </c>
      <c r="B48" s="173">
        <v>0</v>
      </c>
      <c r="C48" s="173">
        <v>2E-3</v>
      </c>
      <c r="D48" s="173">
        <v>1E-3</v>
      </c>
      <c r="E48" s="173">
        <v>2E-3</v>
      </c>
    </row>
    <row r="49" spans="1:5" x14ac:dyDescent="0.2">
      <c r="A49" s="172" t="s">
        <v>201</v>
      </c>
      <c r="B49" s="173">
        <v>0</v>
      </c>
      <c r="C49" s="173">
        <v>2E-3</v>
      </c>
      <c r="D49" s="173">
        <v>2E-3</v>
      </c>
      <c r="E49" s="173">
        <v>2E-3</v>
      </c>
    </row>
    <row r="50" spans="1:5" x14ac:dyDescent="0.2">
      <c r="A50" s="172" t="s">
        <v>202</v>
      </c>
      <c r="B50" s="173">
        <v>0</v>
      </c>
      <c r="C50" s="173">
        <v>2E-3</v>
      </c>
      <c r="D50" s="173">
        <v>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234</v>
      </c>
      <c r="B4" s="3" t="s">
        <v>238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2025-06-10T17:59:52Z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