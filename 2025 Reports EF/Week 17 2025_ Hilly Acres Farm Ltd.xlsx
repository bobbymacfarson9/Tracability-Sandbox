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15F9BBFB-C954-4ADC-9EC1-50517A460EF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I71" i="6" l="1"/>
  <c r="I30" i="6"/>
  <c r="I33" i="6"/>
  <c r="L33" i="6" s="1"/>
  <c r="I34" i="6"/>
  <c r="L34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J34" i="6"/>
  <c r="J35" i="6"/>
  <c r="I35" i="6" s="1"/>
  <c r="L35" i="6" s="1"/>
  <c r="J36" i="6"/>
  <c r="I36" i="6" s="1"/>
  <c r="L36" i="6" s="1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I7" i="6" s="1"/>
  <c r="L7" i="6" s="1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6" i="6" l="1"/>
  <c r="I18" i="6"/>
  <c r="L18" i="6" s="1"/>
  <c r="L25" i="6"/>
  <c r="P37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3" i="6" l="1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<sst xmlns="http://schemas.openxmlformats.org/spreadsheetml/2006/main" count="513" uniqueCount="239">
  <si>
    <t>Producer Number</t>
  </si>
  <si>
    <t>Producer Name</t>
  </si>
  <si>
    <t>7168-C3</t>
  </si>
  <si>
    <t>Chris Eyking Barn 3 - Conventional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</si>
  <si>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</si>
  <si>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</si>
  <si>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</si>
  <si>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</si>
  <si>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</si>
  <si>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</si>
  <si>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</si>
  <si>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</si>
  <si>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</si>
  <si>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</si>
  <si>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</si>
  <si>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</si>
  <si>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</si>
  <si>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</si>
  <si>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</si>
  <si>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</si>
  <si>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</si>
  <si>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</si>
  <si>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</si>
  <si>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</si>
  <si>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</si>
  <si>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</si>
  <si>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</si>
  <si>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</si>
  <si>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</si>
  <si>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</si>
  <si>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</si>
  <si>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</si>
  <si>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</si>
  <si>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</si>
  <si>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</si>
  <si>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</si>
  <si>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</si>
  <si>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</si>
  <si>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</si>
  <si>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</si>
  <si>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</si>
  <si>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</si>
  <si>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</si>
  <si>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</si>
  <si>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</si>
  <si>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</si>
  <si>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</si>
  <si>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</si>
  <si>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</si>
  <si>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</si>
  <si>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</si>
  <si>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</si>
  <si>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</si>
  <si>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</si>
  <si>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</si>
  <si>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</si>
  <si>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</si>
  <si>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</si>
  <si>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</si>
  <si>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</si>
  <si>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</si>
  <si>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</si>
  <si>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</si>
  <si>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</si>
  <si>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</si>
  <si>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</si>
  <si>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</si>
  <si>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</si>
  <si>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</si>
  <si>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</si>
  <si>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</si>
  <si>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</si>
  <si>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</si>
  <si>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</si>
  <si>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</si>
  <si>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</si>
  <si>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</si>
  <si>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</si>
  <si>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</si>
  <si>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</si>
  <si>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</si>
  <si>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</si>
  <si>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</si>
  <si>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</si>
  <si>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</si>
  <si>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</si>
  <si>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</si>
  <si>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</si>
  <si>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</si>
  <si>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</si>
  <si>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</si>
  <si>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</si>
  <si>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</si>
  <si>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</si>
  <si>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</si>
  <si>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</si>
  <si>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</si>
  <si>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</si>
  <si>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</si>
  <si>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</si>
  <si>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</si>
  <si>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</si>
  <si>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</si>
  <si>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</si>
  <si>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</si>
  <si>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</si>
  <si>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</si>
  <si>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</si>
  <si>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</si>
  <si>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</si>
  <si>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</si>
  <si>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</si>
  <si>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</si>
  <si>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</si>
  <si>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</si>
  <si>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</si>
  <si>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</si>
  <si>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</si>
  <si>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</si>
  <si>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</si>
  <si>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</si>
  <si>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</si>
  <si>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</si>
  <si>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</si>
  <si>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</si>
  <si>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</si>
  <si>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</si>
  <si>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</si>
  <si>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</si>
  <si>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</si>
  <si>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</si>
  <si>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</si>
  <si>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</si>
  <si>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</si>
  <si>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</si>
  <si>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</si>
  <si>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</si>
  <si>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</si>
  <si>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</si>
  <si>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</si>
  <si>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</si>
  <si>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</si>
  <si>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</si>
  <si>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</si>
  <si>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</si>
  <si>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</si>
  <si>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</si>
  <si>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</si>
  <si>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</si>
  <si>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</si>
  <si>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</si>
  <si>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</si>
  <si>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</si>
  <si>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</si>
  <si>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</si>
  <si>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</si>
  <si>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</si>
  <si>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</si>
  <si>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</si>
  <si>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</si>
  <si>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</si>
  <si>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</si>
  <si>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</si>
  <si>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</si>
  <si>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</si>
  <si>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</si>
  <si>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</si>
  <si>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</si>
  <si>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</si>
  <si>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</si>
  <si>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</si>
  <si>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</si>
  <si>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</si>
  <si>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</si>
  <si>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</si>
  <si>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</si>
  <si>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</si>
  <si>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</si>
  <si>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</si>
  <si>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Theodore &amp; John Eyking Sr. Barn 3 - White</t>
  </si>
  <si>
    <t>Theodore &amp; John Eyking Sr. Barn 3- Brown</t>
  </si>
  <si>
    <t>7168-E7</t>
  </si>
  <si>
    <t>Chris Eyking New Barn 7 - Enriched</t>
  </si>
  <si>
    <t>7169-C3</t>
  </si>
  <si>
    <t>Barn 11</t>
  </si>
  <si>
    <t>Barn 3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</si>
  <si>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</si>
  <si>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</si>
  <si>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</si>
  <si>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</si>
  <si>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</si>
  <si>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</si>
  <si>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</si>
  <si>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</si>
  <si>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</si>
  <si>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</si>
  <si>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</si>
  <si>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</si>
  <si>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</si>
  <si>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</si>
  <si>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</si>
  <si>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</si>
  <si>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</si>
  <si>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</si>
  <si>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</si>
  <si>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</si>
  <si>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</si>
  <si>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</si>
  <si>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</si>
  <si>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</si>
  <si>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</si>
  <si>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</si>
  <si>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</si>
  <si>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</si>
  <si>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</si>
  <si>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</si>
  <si>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</si>
  <si>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</si>
  <si>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</si>
  <si>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</si>
  <si>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</si>
  <si>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</si>
  <si>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</si>
  <si>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</si>
  <si>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3 White</t>
  </si>
  <si>
    <t>Barn 3 Brown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</si>
  <si>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</si>
  <si>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</si>
  <si>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</si>
  <si>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</si>
  <si>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</si>
  <si>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</si>
  <si>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</si>
  <si>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</si>
  <si>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</si>
  <si>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</si>
  <si>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</si>
  <si>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Mix</t>
  </si>
  <si>
    <t>April 25/25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</si>
</sst>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tabSelected="1" zoomScale="70" zoomScaleNormal="70" workbookViewId="0">
      <selection activeCell="E51" sqref="E51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18</v>
      </c>
      <c r="B1" s="6"/>
      <c r="C1" s="7"/>
      <c r="D1" s="7"/>
      <c r="E1" s="7"/>
      <c r="F1" s="8" t="s">
        <v>19</v>
      </c>
      <c r="G1" s="171">
        <f>Inputs!C2</f>
        <v>17</v>
      </c>
      <c r="H1" s="7"/>
      <c r="I1" s="7"/>
      <c r="J1" s="7"/>
      <c r="L1" s="9"/>
      <c r="M1" s="6"/>
      <c r="N1" s="6"/>
    </row>
    <row r="2" spans="1:22" ht="14.25" x14ac:dyDescent="0.2">
      <c r="A2" s="6" t="s">
        <v>20</v>
      </c>
      <c r="B2" s="6"/>
      <c r="C2" s="7"/>
      <c r="D2" s="7"/>
      <c r="E2" s="7"/>
      <c r="F2" s="8" t="s">
        <v>21</v>
      </c>
      <c r="G2" s="238">
        <f>Inputs!C3</f>
        <v>45774.25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22</v>
      </c>
      <c r="P3" s="11"/>
    </row>
    <row r="4" spans="1:22" x14ac:dyDescent="0.2">
      <c r="C4" s="13" t="s">
        <v>23</v>
      </c>
      <c r="D4" s="13" t="s">
        <v>24</v>
      </c>
      <c r="E4" s="13" t="s">
        <v>25</v>
      </c>
      <c r="F4" s="13" t="s">
        <v>26</v>
      </c>
      <c r="G4" s="13"/>
      <c r="H4" s="13" t="s">
        <v>27</v>
      </c>
      <c r="I4" s="14" t="s">
        <v>28</v>
      </c>
      <c r="J4" s="13" t="s">
        <v>27</v>
      </c>
      <c r="K4" s="13"/>
      <c r="L4" s="13"/>
      <c r="M4" s="15" t="s">
        <v>27</v>
      </c>
      <c r="N4" s="12" t="s">
        <v>29</v>
      </c>
    </row>
    <row r="5" spans="1:22" x14ac:dyDescent="0.2">
      <c r="A5" s="16" t="s">
        <v>30</v>
      </c>
      <c r="C5" s="17" t="s">
        <v>31</v>
      </c>
      <c r="D5" s="18" t="s">
        <v>32</v>
      </c>
      <c r="E5" s="18" t="s">
        <v>32</v>
      </c>
      <c r="F5" s="18" t="s">
        <v>33</v>
      </c>
      <c r="G5" s="18" t="s">
        <v>34</v>
      </c>
      <c r="H5" s="19" t="s">
        <v>35</v>
      </c>
      <c r="I5" s="20" t="s">
        <v>36</v>
      </c>
      <c r="J5" s="18" t="s">
        <v>37</v>
      </c>
      <c r="K5" s="18" t="s">
        <v>38</v>
      </c>
      <c r="L5" s="18" t="s">
        <v>39</v>
      </c>
      <c r="M5" s="21" t="s">
        <v>40</v>
      </c>
      <c r="N5" s="22" t="s">
        <v>41</v>
      </c>
      <c r="O5" s="18" t="s">
        <v>42</v>
      </c>
      <c r="P5" s="18" t="s">
        <v>43</v>
      </c>
      <c r="Q5" s="18" t="s">
        <v>12</v>
      </c>
      <c r="R5" s="18" t="s">
        <v>44</v>
      </c>
      <c r="S5" s="18" t="s">
        <v>14</v>
      </c>
      <c r="T5" s="18" t="s">
        <v>45</v>
      </c>
      <c r="U5" s="18" t="s">
        <v>46</v>
      </c>
      <c r="V5" s="18" t="s">
        <v>47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177</v>
      </c>
      <c r="C7" s="24">
        <v>7169</v>
      </c>
      <c r="D7" s="25" t="s">
        <v>48</v>
      </c>
      <c r="E7" s="25" t="s">
        <v>49</v>
      </c>
      <c r="F7" s="25" t="s">
        <v>50</v>
      </c>
      <c r="G7" s="25" t="s">
        <v>51</v>
      </c>
      <c r="H7" s="26">
        <f>IFERROR(M7+N7,"")</f>
        <v>11094.457926967567</v>
      </c>
      <c r="I7" s="27">
        <v>0</v>
      </c>
      <c r="J7" s="26">
        <f>IFERROR(H7-I7,"")</f>
        <v>11094.457926967567</v>
      </c>
      <c r="K7" s="26">
        <f>IFERROR(($E$26/($H$27+$H$28)*$H$27)*R28,"")</f>
        <v>55.472289634837836</v>
      </c>
      <c r="L7" s="26">
        <f>IFERROR(($E$26/($H$27+$H$28)*$H$27)*S28,"")</f>
        <v>22.188915853935136</v>
      </c>
      <c r="M7" s="28">
        <f>IFERROR(K7+L7,"")</f>
        <v>77.661205488772964</v>
      </c>
      <c r="N7" s="29">
        <f>IFERROR(O7+P7+Q7+R7+S7+T7+U7+V7,"")</f>
        <v>11016.796721478793</v>
      </c>
      <c r="O7" s="26">
        <f t="shared" ref="O7:V7" si="0">IFERROR(($E$26/($H$27+$H$28)*$H$27)*J28,"")</f>
        <v>1098.3513347697892</v>
      </c>
      <c r="P7" s="26">
        <f>IFERROR(($E$26/($H$27+$H$28)*$H$27)*K28,"")</f>
        <v>4315.7441335903841</v>
      </c>
      <c r="Q7" s="26">
        <f t="shared" si="0"/>
        <v>5303.150889090497</v>
      </c>
      <c r="R7" s="26">
        <f t="shared" si="0"/>
        <v>277.36144817418921</v>
      </c>
      <c r="S7" s="26">
        <f t="shared" si="0"/>
        <v>0</v>
      </c>
      <c r="T7" s="26">
        <f t="shared" si="0"/>
        <v>0</v>
      </c>
      <c r="U7" s="26">
        <f t="shared" si="0"/>
        <v>22.188915853935136</v>
      </c>
      <c r="V7" s="26">
        <f t="shared" si="0"/>
        <v>0</v>
      </c>
    </row>
    <row r="8" spans="1:22" x14ac:dyDescent="0.2">
      <c r="A8" s="3" t="s">
        <v>177</v>
      </c>
      <c r="C8" s="24">
        <v>7169</v>
      </c>
      <c r="D8" s="25" t="s">
        <v>48</v>
      </c>
      <c r="E8" s="25" t="s">
        <v>49</v>
      </c>
      <c r="F8" s="25" t="s">
        <v>50</v>
      </c>
      <c r="G8" s="25" t="s">
        <v>52</v>
      </c>
      <c r="H8" s="26">
        <f>IFERROR(M8+N8,"")</f>
        <v>1070.5420730324333</v>
      </c>
      <c r="I8" s="27">
        <v>0</v>
      </c>
      <c r="J8" s="26">
        <f>IFERROR(H8-I8,"")</f>
        <v>1070.5420730324333</v>
      </c>
      <c r="K8" s="26">
        <f>IFERROR(($E$26/($H$27+$H$28)*$H$28)*R28,"")</f>
        <v>5.3527103651621681</v>
      </c>
      <c r="L8" s="26">
        <f>IFERROR(($E$26/($H$27+$H$28)*$H$28)*S28,"")</f>
        <v>2.1410841460648671</v>
      </c>
      <c r="M8" s="28">
        <f>IFERROR(K8+L8,"")</f>
        <v>7.4937945112270352</v>
      </c>
      <c r="N8" s="29">
        <f>IFERROR(O8+P8+Q8+R8+S8+T8+U8+V8,"")</f>
        <v>1063.0482785212064</v>
      </c>
      <c r="O8" s="26">
        <f t="shared" ref="O8:V8" si="1">IFERROR(($E$26/($H$27+$H$28)*$H$28)*J28,"")</f>
        <v>105.98366523021093</v>
      </c>
      <c r="P8" s="26">
        <f t="shared" si="1"/>
        <v>416.44086640961666</v>
      </c>
      <c r="Q8" s="26">
        <f t="shared" si="1"/>
        <v>511.71911090950323</v>
      </c>
      <c r="R8" s="26">
        <f t="shared" si="1"/>
        <v>26.76355182581084</v>
      </c>
      <c r="S8" s="26">
        <f t="shared" si="1"/>
        <v>0</v>
      </c>
      <c r="T8" s="26">
        <f t="shared" si="1"/>
        <v>0</v>
      </c>
      <c r="U8" s="26">
        <f t="shared" si="1"/>
        <v>2.1410841460648671</v>
      </c>
      <c r="V8" s="26">
        <f t="shared" si="1"/>
        <v>0</v>
      </c>
    </row>
    <row r="10" spans="1:22" x14ac:dyDescent="0.2">
      <c r="A10" s="3" t="s">
        <v>55</v>
      </c>
      <c r="B10" s="3"/>
      <c r="C10" s="34">
        <v>7169</v>
      </c>
      <c r="D10" s="25" t="s">
        <v>48</v>
      </c>
      <c r="E10" s="25" t="s">
        <v>54</v>
      </c>
      <c r="F10" s="25" t="s">
        <v>50</v>
      </c>
      <c r="G10" s="25" t="s">
        <v>51</v>
      </c>
      <c r="H10" s="26">
        <f>IFERROR(M10+N10,"")</f>
        <v>21255</v>
      </c>
      <c r="I10" s="27">
        <v>0</v>
      </c>
      <c r="J10" s="26">
        <f>IFERROR(H10-I10,"")</f>
        <v>21255</v>
      </c>
      <c r="K10" s="26">
        <f>IFERROR(($E$30/($H$31+$H$32)*$H$31)*R32,"")</f>
        <v>106.27500000000001</v>
      </c>
      <c r="L10" s="26">
        <f>IFERROR(($E$30/($H$31+$H$32)*$H$31)*S32,"")</f>
        <v>21.254999999999999</v>
      </c>
      <c r="M10" s="28">
        <f>IFERROR(K10+L10,"")</f>
        <v>127.53</v>
      </c>
      <c r="N10" s="29">
        <f>IFERROR(O10+P10+Q10+R10+S10+T10+U10+V10,"")</f>
        <v>21127.47</v>
      </c>
      <c r="O10" s="26">
        <f t="shared" ref="O10:V10" si="2">IFERROR(($E$30/($H$31+$H$32)*$H$31)*J32,"")</f>
        <v>488.86500000000001</v>
      </c>
      <c r="P10" s="26">
        <f t="shared" si="2"/>
        <v>4824.8850000000002</v>
      </c>
      <c r="Q10" s="26">
        <f t="shared" si="2"/>
        <v>14559.675000000001</v>
      </c>
      <c r="R10" s="26">
        <f t="shared" si="2"/>
        <v>1211.5350000000001</v>
      </c>
      <c r="S10" s="26">
        <f t="shared" si="2"/>
        <v>0</v>
      </c>
      <c r="T10" s="26">
        <f t="shared" si="2"/>
        <v>0</v>
      </c>
      <c r="U10" s="26">
        <f t="shared" si="2"/>
        <v>42.51</v>
      </c>
      <c r="V10" s="26">
        <f t="shared" si="2"/>
        <v>0</v>
      </c>
    </row>
    <row r="11" spans="1:22" x14ac:dyDescent="0.2">
      <c r="A11" s="3" t="s">
        <v>55</v>
      </c>
      <c r="B11" s="3"/>
      <c r="C11" s="34">
        <v>7169</v>
      </c>
      <c r="D11" s="25" t="s">
        <v>48</v>
      </c>
      <c r="E11" s="25" t="s">
        <v>54</v>
      </c>
      <c r="F11" s="25" t="s">
        <v>50</v>
      </c>
      <c r="G11" s="25" t="s">
        <v>52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x14ac:dyDescent="0.2">
      <c r="A13" s="3" t="s">
        <v>178</v>
      </c>
      <c r="C13" s="24">
        <v>7168</v>
      </c>
      <c r="D13" s="25" t="s">
        <v>48</v>
      </c>
      <c r="E13" s="25" t="s">
        <v>54</v>
      </c>
      <c r="F13" s="25" t="s">
        <v>50</v>
      </c>
      <c r="G13" s="25" t="s">
        <v>51</v>
      </c>
      <c r="H13" s="26">
        <f>IFERROR(M13+N13,"")</f>
        <v>21013.395144801885</v>
      </c>
      <c r="I13" s="27">
        <v>0</v>
      </c>
      <c r="J13" s="26">
        <f>IFERROR(H13-I13,"")</f>
        <v>21013.395144801885</v>
      </c>
      <c r="K13" s="26">
        <f>IFERROR(($E$34/($H$35+$H$36)*$H$35)*R36,"")</f>
        <v>126.08037086881131</v>
      </c>
      <c r="L13" s="26">
        <f>IFERROR(($E$34/($H$35+$H$36)*$H$35)*S36,"")</f>
        <v>42.026790289603774</v>
      </c>
      <c r="M13" s="28">
        <f>IFERROR(K13+L13,"")</f>
        <v>168.1071611584151</v>
      </c>
      <c r="N13" s="29">
        <f>IFERROR(O13+P13+Q13+R13+S13+T13+U13+V13,"")</f>
        <v>20845.287983643469</v>
      </c>
      <c r="O13" s="26">
        <f t="shared" ref="O13:V13" si="4">IFERROR(($E$34/($H$35+$H$36)*$H$35)*J36,"")</f>
        <v>756.48222521286777</v>
      </c>
      <c r="P13" s="26">
        <f t="shared" si="4"/>
        <v>5337.4023667796791</v>
      </c>
      <c r="Q13" s="26">
        <f t="shared" si="4"/>
        <v>12608.037086881131</v>
      </c>
      <c r="R13" s="26">
        <f t="shared" si="4"/>
        <v>2080.3261193353869</v>
      </c>
      <c r="S13" s="26">
        <f t="shared" si="4"/>
        <v>0</v>
      </c>
      <c r="T13" s="26">
        <f t="shared" si="4"/>
        <v>0</v>
      </c>
      <c r="U13" s="26">
        <f t="shared" si="4"/>
        <v>63.040185434405657</v>
      </c>
      <c r="V13" s="26">
        <f t="shared" si="4"/>
        <v>0</v>
      </c>
    </row>
    <row r="14" spans="1:22" x14ac:dyDescent="0.2">
      <c r="A14" s="3" t="s">
        <v>178</v>
      </c>
      <c r="C14" s="24">
        <v>7168</v>
      </c>
      <c r="D14" s="25" t="s">
        <v>48</v>
      </c>
      <c r="E14" s="25" t="s">
        <v>54</v>
      </c>
      <c r="F14" s="25" t="s">
        <v>50</v>
      </c>
      <c r="G14" s="25" t="s">
        <v>52</v>
      </c>
      <c r="H14" s="26">
        <f>IFERROR(M14+N14,"")</f>
        <v>2341.6048551981157</v>
      </c>
      <c r="I14" s="27">
        <v>0</v>
      </c>
      <c r="J14" s="26">
        <f>IFERROR(H14-I14,"")</f>
        <v>2341.6048551981157</v>
      </c>
      <c r="K14" s="26">
        <f>IFERROR(($E$34/($H$35+$H$36)*$H$36)*R36,"")</f>
        <v>14.049629131188695</v>
      </c>
      <c r="L14" s="26">
        <f>IFERROR(($E$34/($H$35+$H$36)*$H$36)*S36,"")</f>
        <v>4.6832097103962314</v>
      </c>
      <c r="M14" s="28">
        <f>IFERROR(K14+L14,"")</f>
        <v>18.732838841584925</v>
      </c>
      <c r="N14" s="29">
        <f>IFERROR(O14+P14+Q14+R14+S14+T14+U14+V14,"")</f>
        <v>2322.8720163565308</v>
      </c>
      <c r="O14" s="26">
        <f t="shared" ref="O14:V14" si="5">IFERROR(($E$34/($H$35+$H$36)*$H$36)*J36,"")</f>
        <v>84.297774787132155</v>
      </c>
      <c r="P14" s="26">
        <f t="shared" si="5"/>
        <v>594.76763322032139</v>
      </c>
      <c r="Q14" s="26">
        <f t="shared" si="5"/>
        <v>1404.9629131188694</v>
      </c>
      <c r="R14" s="26">
        <f t="shared" si="5"/>
        <v>231.81888066461346</v>
      </c>
      <c r="S14" s="26">
        <f t="shared" si="5"/>
        <v>0</v>
      </c>
      <c r="T14" s="26">
        <f t="shared" si="5"/>
        <v>0</v>
      </c>
      <c r="U14" s="26">
        <f t="shared" si="5"/>
        <v>7.0248145655943475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53</v>
      </c>
      <c r="C16" s="24">
        <v>7168</v>
      </c>
      <c r="D16" s="25" t="s">
        <v>48</v>
      </c>
      <c r="E16" s="25" t="s">
        <v>54</v>
      </c>
      <c r="F16" s="25" t="s">
        <v>50</v>
      </c>
      <c r="G16" s="25" t="s">
        <v>51</v>
      </c>
      <c r="H16" s="26">
        <f>IFERROR(M16+N16,"")</f>
        <v>11295.000000000002</v>
      </c>
      <c r="I16" s="27">
        <v>0</v>
      </c>
      <c r="J16" s="26">
        <f>IFERROR(H16-I16,"")</f>
        <v>11295.000000000002</v>
      </c>
      <c r="K16" s="26">
        <f>IFERROR(($E$38/($H$39)*$H$39)*R40,"")</f>
        <v>67.77</v>
      </c>
      <c r="L16" s="26">
        <f>IFERROR(($E$38/($H$39)*$H$39)*S40,"")</f>
        <v>11.295</v>
      </c>
      <c r="M16" s="28">
        <f>IFERROR(K16+L16,"")</f>
        <v>79.064999999999998</v>
      </c>
      <c r="N16" s="29">
        <f>IFERROR(O16+P16+Q16+R16+S16+T16+U16+V16,"")</f>
        <v>11215.935000000001</v>
      </c>
      <c r="O16" s="26">
        <f t="shared" ref="O16:V16" si="6">IFERROR(($E$38/($H$39)*$H$39)*J40,"")</f>
        <v>587.33999999999992</v>
      </c>
      <c r="P16" s="26">
        <f t="shared" si="6"/>
        <v>3716.0550000000003</v>
      </c>
      <c r="Q16" s="26">
        <f t="shared" si="6"/>
        <v>6584.9849999999997</v>
      </c>
      <c r="R16" s="26">
        <f t="shared" si="6"/>
        <v>304.96499999999997</v>
      </c>
      <c r="S16" s="26">
        <f t="shared" si="6"/>
        <v>0</v>
      </c>
      <c r="T16" s="26">
        <f t="shared" si="6"/>
        <v>0</v>
      </c>
      <c r="U16" s="26">
        <f t="shared" si="6"/>
        <v>22.59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56</v>
      </c>
      <c r="B19" s="36"/>
      <c r="C19" s="36"/>
      <c r="D19" s="36"/>
      <c r="E19" s="36"/>
      <c r="F19" s="36"/>
      <c r="G19" s="36"/>
      <c r="H19" s="37">
        <f t="shared" ref="H19:V19" si="7">SUM(H7:H18)</f>
        <v>68070</v>
      </c>
      <c r="I19" s="37">
        <f t="shared" si="7"/>
        <v>0</v>
      </c>
      <c r="J19" s="37">
        <f t="shared" si="7"/>
        <v>68070</v>
      </c>
      <c r="K19" s="37">
        <f t="shared" si="7"/>
        <v>375</v>
      </c>
      <c r="L19" s="37">
        <f t="shared" si="7"/>
        <v>103.59</v>
      </c>
      <c r="M19" s="37">
        <f t="shared" si="7"/>
        <v>478.59</v>
      </c>
      <c r="N19" s="37">
        <f t="shared" si="7"/>
        <v>67591.41</v>
      </c>
      <c r="O19" s="37">
        <f t="shared" si="7"/>
        <v>3121.3199999999997</v>
      </c>
      <c r="P19" s="37">
        <f t="shared" si="7"/>
        <v>19205.294999999998</v>
      </c>
      <c r="Q19" s="37">
        <f t="shared" si="7"/>
        <v>40972.530000000006</v>
      </c>
      <c r="R19" s="37">
        <f t="shared" si="7"/>
        <v>4132.7700000000004</v>
      </c>
      <c r="S19" s="37">
        <f t="shared" si="7"/>
        <v>0</v>
      </c>
      <c r="T19" s="37">
        <f t="shared" si="7"/>
        <v>0</v>
      </c>
      <c r="U19" s="37">
        <f t="shared" si="7"/>
        <v>159.495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68070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57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58</v>
      </c>
      <c r="I24" s="49"/>
      <c r="J24" s="18" t="s">
        <v>42</v>
      </c>
      <c r="K24" s="18" t="s">
        <v>43</v>
      </c>
      <c r="L24" s="18" t="s">
        <v>12</v>
      </c>
      <c r="M24" s="18" t="s">
        <v>44</v>
      </c>
      <c r="N24" s="18" t="s">
        <v>14</v>
      </c>
      <c r="O24" s="18" t="s">
        <v>45</v>
      </c>
      <c r="P24" s="18" t="s">
        <v>46</v>
      </c>
      <c r="Q24" s="18" t="s">
        <v>47</v>
      </c>
      <c r="R24" s="18" t="s">
        <v>38</v>
      </c>
      <c r="S24" s="18" t="s">
        <v>39</v>
      </c>
      <c r="T24" s="48" t="s">
        <v>59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60</v>
      </c>
      <c r="B26" s="51"/>
      <c r="C26" s="51"/>
      <c r="D26" s="51"/>
      <c r="E26" s="208">
        <f>Inputs!J29+Inputs!K29</f>
        <v>12165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2">
      <c r="A27" s="3" t="s">
        <v>177</v>
      </c>
      <c r="B27" s="5"/>
      <c r="C27" s="24">
        <v>7169</v>
      </c>
      <c r="D27" s="25" t="s">
        <v>48</v>
      </c>
      <c r="E27" s="25" t="s">
        <v>49</v>
      </c>
      <c r="F27" s="25" t="s">
        <v>50</v>
      </c>
      <c r="G27" s="25" t="s">
        <v>51</v>
      </c>
      <c r="H27" s="55">
        <f>'Bird Inventory'!H3</f>
        <v>20105</v>
      </c>
      <c r="I27" s="30"/>
      <c r="J27" s="198">
        <f>$E$26*J28</f>
        <v>1204.335</v>
      </c>
      <c r="K27" s="198">
        <f t="shared" ref="K27:S27" si="8">$E$26*K28</f>
        <v>4732.1850000000004</v>
      </c>
      <c r="L27" s="198">
        <f t="shared" si="8"/>
        <v>5814.87</v>
      </c>
      <c r="M27" s="198">
        <f t="shared" si="8"/>
        <v>304.125</v>
      </c>
      <c r="N27" s="198">
        <f t="shared" si="8"/>
        <v>0</v>
      </c>
      <c r="O27" s="198">
        <f t="shared" si="8"/>
        <v>0</v>
      </c>
      <c r="P27" s="198">
        <f t="shared" si="8"/>
        <v>24.330000000000002</v>
      </c>
      <c r="Q27" s="198">
        <f t="shared" si="8"/>
        <v>0</v>
      </c>
      <c r="R27" s="198">
        <f t="shared" si="8"/>
        <v>60.825000000000003</v>
      </c>
      <c r="S27" s="198">
        <f t="shared" si="8"/>
        <v>24.330000000000002</v>
      </c>
      <c r="T27" s="199">
        <f>SUM(J27:S27)</f>
        <v>12165</v>
      </c>
    </row>
    <row r="28" spans="1:22" x14ac:dyDescent="0.2">
      <c r="A28" s="3" t="s">
        <v>177</v>
      </c>
      <c r="C28" s="24">
        <v>7169</v>
      </c>
      <c r="D28" s="25" t="s">
        <v>48</v>
      </c>
      <c r="E28" s="25" t="s">
        <v>49</v>
      </c>
      <c r="F28" s="25" t="s">
        <v>50</v>
      </c>
      <c r="G28" s="25" t="s">
        <v>52</v>
      </c>
      <c r="H28" s="55">
        <f>'Bird Inventory'!H4</f>
        <v>1940</v>
      </c>
      <c r="I28" s="30"/>
      <c r="J28" s="197">
        <f>Inputs!B37</f>
        <v>9.9000000000000005E-2</v>
      </c>
      <c r="K28" s="197">
        <f>Inputs!B38</f>
        <v>0.38900000000000001</v>
      </c>
      <c r="L28" s="197">
        <f>Inputs!B39</f>
        <v>0.47799999999999998</v>
      </c>
      <c r="M28" s="197">
        <f>Inputs!B40</f>
        <v>2.5000000000000001E-2</v>
      </c>
      <c r="N28" s="197">
        <f>Inputs!B41</f>
        <v>0</v>
      </c>
      <c r="O28" s="197">
        <v>0</v>
      </c>
      <c r="P28" s="197">
        <f>Inputs!B49</f>
        <v>2E-3</v>
      </c>
      <c r="Q28" s="197">
        <f>Inputs!B42</f>
        <v>0</v>
      </c>
      <c r="R28" s="197">
        <f>Inputs!B50+Inputs!B48</f>
        <v>5.0000000000000001E-3</v>
      </c>
      <c r="S28" s="197">
        <f>Inputs!B47</f>
        <v>2E-3</v>
      </c>
      <c r="T28" s="200">
        <f>SUM(J28:S28)</f>
        <v>1</v>
      </c>
    </row>
    <row r="30" spans="1:22" ht="15.75" x14ac:dyDescent="0.25">
      <c r="A30" s="50" t="s">
        <v>62</v>
      </c>
      <c r="B30" s="51"/>
      <c r="C30" s="51"/>
      <c r="D30" s="51"/>
      <c r="E30" s="208">
        <f>Inputs!J30</f>
        <v>21255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2">
      <c r="A31" s="3" t="s">
        <v>55</v>
      </c>
      <c r="B31" s="3"/>
      <c r="C31" s="34">
        <v>7169</v>
      </c>
      <c r="D31" s="25" t="s">
        <v>48</v>
      </c>
      <c r="E31" s="25" t="s">
        <v>54</v>
      </c>
      <c r="F31" s="25" t="s">
        <v>50</v>
      </c>
      <c r="G31" s="25" t="s">
        <v>51</v>
      </c>
      <c r="H31" s="55">
        <f>'Bird Inventory'!H6</f>
        <v>38898</v>
      </c>
      <c r="I31" s="26"/>
      <c r="J31" s="198">
        <f>$E30*J32</f>
        <v>488.86500000000001</v>
      </c>
      <c r="K31" s="198">
        <f t="shared" ref="K31:S31" si="9">$E30*K32</f>
        <v>4824.8850000000002</v>
      </c>
      <c r="L31" s="198">
        <f t="shared" si="9"/>
        <v>14559.675000000001</v>
      </c>
      <c r="M31" s="198">
        <f t="shared" si="9"/>
        <v>1211.5350000000001</v>
      </c>
      <c r="N31" s="198">
        <f t="shared" si="9"/>
        <v>0</v>
      </c>
      <c r="O31" s="198">
        <f t="shared" si="9"/>
        <v>0</v>
      </c>
      <c r="P31" s="198">
        <f t="shared" si="9"/>
        <v>42.51</v>
      </c>
      <c r="Q31" s="198">
        <f t="shared" si="9"/>
        <v>0</v>
      </c>
      <c r="R31" s="198">
        <f t="shared" si="9"/>
        <v>106.27500000000001</v>
      </c>
      <c r="S31" s="198">
        <f t="shared" si="9"/>
        <v>21.254999999999999</v>
      </c>
      <c r="T31" s="199">
        <f>SUM(J31:S31)</f>
        <v>21255.000000000004</v>
      </c>
    </row>
    <row r="32" spans="1:22" x14ac:dyDescent="0.2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2.3E-2</v>
      </c>
      <c r="K32" s="197">
        <f>Inputs!C38</f>
        <v>0.22700000000000001</v>
      </c>
      <c r="L32" s="197">
        <f>Inputs!C39</f>
        <v>0.68500000000000005</v>
      </c>
      <c r="M32" s="197">
        <f>Inputs!C40</f>
        <v>5.7000000000000002E-2</v>
      </c>
      <c r="N32" s="197">
        <f>Inputs!C41</f>
        <v>0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5.0000000000000001E-3</v>
      </c>
      <c r="S32" s="197">
        <f>Inputs!C47</f>
        <v>1E-3</v>
      </c>
      <c r="T32" s="200">
        <f>SUM(J32:S32)</f>
        <v>1</v>
      </c>
    </row>
    <row r="34" spans="1:20" s="54" customFormat="1" ht="18" customHeight="1" x14ac:dyDescent="0.25">
      <c r="A34" s="50" t="s">
        <v>208</v>
      </c>
      <c r="B34" s="51"/>
      <c r="C34" s="51"/>
      <c r="D34" s="51"/>
      <c r="E34" s="208">
        <f>Inputs!J31+Inputs!K31</f>
        <v>23355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">
      <c r="A35" s="3" t="s">
        <v>209</v>
      </c>
      <c r="C35" s="24">
        <v>7168</v>
      </c>
      <c r="D35" s="25" t="s">
        <v>48</v>
      </c>
      <c r="E35" s="25" t="s">
        <v>54</v>
      </c>
      <c r="F35" s="25" t="s">
        <v>50</v>
      </c>
      <c r="G35" s="25" t="s">
        <v>51</v>
      </c>
      <c r="H35" s="55">
        <f>'Bird Inventory'!H8</f>
        <v>34765</v>
      </c>
      <c r="I35" s="30"/>
      <c r="J35" s="198">
        <f>$E34*J36</f>
        <v>840.78</v>
      </c>
      <c r="K35" s="198">
        <f t="shared" ref="K35:S35" si="10">$E34*K36</f>
        <v>5932.17</v>
      </c>
      <c r="L35" s="198">
        <f t="shared" si="10"/>
        <v>14013</v>
      </c>
      <c r="M35" s="198">
        <f t="shared" si="10"/>
        <v>2312.145</v>
      </c>
      <c r="N35" s="198">
        <f t="shared" si="10"/>
        <v>0</v>
      </c>
      <c r="O35" s="198">
        <f t="shared" si="10"/>
        <v>0</v>
      </c>
      <c r="P35" s="198">
        <f t="shared" si="10"/>
        <v>70.064999999999998</v>
      </c>
      <c r="Q35" s="198">
        <f t="shared" si="10"/>
        <v>0</v>
      </c>
      <c r="R35" s="198">
        <f t="shared" si="10"/>
        <v>140.13</v>
      </c>
      <c r="S35" s="198">
        <f t="shared" si="10"/>
        <v>46.71</v>
      </c>
      <c r="T35" s="199">
        <f>SUM(J35:S35)</f>
        <v>23355</v>
      </c>
    </row>
    <row r="36" spans="1:20" x14ac:dyDescent="0.2">
      <c r="A36" s="3" t="s">
        <v>209</v>
      </c>
      <c r="C36" s="24">
        <v>7168</v>
      </c>
      <c r="D36" s="25" t="s">
        <v>48</v>
      </c>
      <c r="E36" s="25" t="s">
        <v>54</v>
      </c>
      <c r="F36" s="25" t="s">
        <v>50</v>
      </c>
      <c r="G36" s="25" t="s">
        <v>52</v>
      </c>
      <c r="H36" s="55">
        <f>'Bird Inventory'!H9</f>
        <v>3874</v>
      </c>
      <c r="I36" s="30"/>
      <c r="J36" s="197">
        <f>Inputs!D37</f>
        <v>3.5999999999999997E-2</v>
      </c>
      <c r="K36" s="197">
        <f>Inputs!D38</f>
        <v>0.254</v>
      </c>
      <c r="L36" s="197">
        <f>Inputs!D39</f>
        <v>0.6</v>
      </c>
      <c r="M36" s="197">
        <f>Inputs!D40</f>
        <v>9.9000000000000005E-2</v>
      </c>
      <c r="N36" s="197">
        <f>Inputs!D41</f>
        <v>0</v>
      </c>
      <c r="O36" s="197">
        <v>0</v>
      </c>
      <c r="P36" s="197">
        <f>Inputs!D49</f>
        <v>3.0000000000000001E-3</v>
      </c>
      <c r="Q36" s="197">
        <f>Inputs!D42</f>
        <v>0</v>
      </c>
      <c r="R36" s="197">
        <f>Inputs!D48+Inputs!D50</f>
        <v>6.0000000000000001E-3</v>
      </c>
      <c r="S36" s="197">
        <f>Inputs!D47</f>
        <v>2E-3</v>
      </c>
      <c r="T36" s="200">
        <f>SUM(J36:S36)</f>
        <v>0.99999999999999989</v>
      </c>
    </row>
    <row r="37" spans="1:20" x14ac:dyDescent="0.2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25">
      <c r="A38" s="50" t="s">
        <v>61</v>
      </c>
      <c r="B38" s="51"/>
      <c r="C38" s="51"/>
      <c r="D38" s="51"/>
      <c r="E38" s="196">
        <f>Inputs!J32</f>
        <v>11295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53</v>
      </c>
      <c r="C39" s="24">
        <v>7168</v>
      </c>
      <c r="D39" s="25" t="s">
        <v>48</v>
      </c>
      <c r="E39" s="25" t="s">
        <v>54</v>
      </c>
      <c r="F39" s="25" t="s">
        <v>50</v>
      </c>
      <c r="G39" s="25" t="s">
        <v>51</v>
      </c>
      <c r="H39" s="55">
        <f>'Bird Inventory'!H11</f>
        <v>18857</v>
      </c>
      <c r="I39" s="30"/>
      <c r="J39" s="198">
        <f>$E38*J40</f>
        <v>587.33999999999992</v>
      </c>
      <c r="K39" s="198">
        <f t="shared" ref="K39:S39" si="11">$E38*K40</f>
        <v>3716.0550000000003</v>
      </c>
      <c r="L39" s="198">
        <f t="shared" si="11"/>
        <v>6584.9849999999997</v>
      </c>
      <c r="M39" s="198">
        <f t="shared" si="11"/>
        <v>304.96499999999997</v>
      </c>
      <c r="N39" s="198">
        <f t="shared" si="11"/>
        <v>0</v>
      </c>
      <c r="O39" s="198">
        <f t="shared" si="11"/>
        <v>0</v>
      </c>
      <c r="P39" s="198">
        <f t="shared" si="11"/>
        <v>22.59</v>
      </c>
      <c r="Q39" s="198">
        <f t="shared" si="11"/>
        <v>0</v>
      </c>
      <c r="R39" s="198">
        <f t="shared" si="11"/>
        <v>67.77</v>
      </c>
      <c r="S39" s="198">
        <f t="shared" si="11"/>
        <v>11.295</v>
      </c>
      <c r="T39" s="199">
        <f>SUM(J39:S39)</f>
        <v>11295.000000000002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5.1999999999999998E-2</v>
      </c>
      <c r="K40" s="197">
        <f>Inputs!E38</f>
        <v>0.32900000000000001</v>
      </c>
      <c r="L40" s="197">
        <f>Inputs!E39</f>
        <v>0.58299999999999996</v>
      </c>
      <c r="M40" s="197">
        <f>Inputs!E40</f>
        <v>2.7E-2</v>
      </c>
      <c r="N40" s="197">
        <f>Inputs!E41</f>
        <v>0</v>
      </c>
      <c r="O40" s="197">
        <v>0</v>
      </c>
      <c r="P40" s="197">
        <f>Inputs!E49</f>
        <v>2E-3</v>
      </c>
      <c r="Q40" s="197">
        <f>Inputs!E42</f>
        <v>0</v>
      </c>
      <c r="R40" s="197">
        <f>Inputs!E48+Inputs!E50</f>
        <v>6.0000000000000001E-3</v>
      </c>
      <c r="S40" s="197">
        <f>Inputs!E47</f>
        <v>1E-3</v>
      </c>
      <c r="T40" s="200">
        <f>SUM(J40:S40)</f>
        <v>1</v>
      </c>
    </row>
    <row r="43" spans="1:20" s="54" customFormat="1" ht="18" customHeight="1" x14ac:dyDescent="0.2"/>
    <row r="45" spans="1:20" x14ac:dyDescent="0.2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">
      <c r="A49" s="60"/>
      <c r="B49" s="3"/>
      <c r="C49" s="34"/>
      <c r="D49" s="25"/>
      <c r="E49" s="25"/>
      <c r="F49" s="25"/>
      <c r="G49" s="25"/>
      <c r="I49" s="25" t="s">
        <v>26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zoomScaleNormal="100" workbookViewId="0">
      <selection activeCell="D19" sqref="D19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64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65</v>
      </c>
      <c r="B3" s="207">
        <f>Inputs!C3</f>
        <v>45774.25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66</v>
      </c>
      <c r="B5" s="69" t="s">
        <v>67</v>
      </c>
      <c r="C5" s="64"/>
      <c r="D5" s="64"/>
      <c r="E5" s="64"/>
      <c r="F5" s="64" t="s">
        <v>68</v>
      </c>
      <c r="G5" s="64"/>
    </row>
    <row r="6" spans="1:12" ht="15.6" customHeight="1" x14ac:dyDescent="0.25">
      <c r="A6" s="68"/>
      <c r="B6" s="70" t="s">
        <v>69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70</v>
      </c>
      <c r="B7" s="69" t="s">
        <v>18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71</v>
      </c>
      <c r="B9" s="71" t="s">
        <v>72</v>
      </c>
      <c r="C9" s="68"/>
      <c r="D9" s="68"/>
      <c r="E9" s="206">
        <f>Inputs!C2</f>
        <v>17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73</v>
      </c>
      <c r="C12" s="78" t="s">
        <v>74</v>
      </c>
      <c r="D12" s="79"/>
      <c r="E12" s="80"/>
      <c r="F12" s="80"/>
      <c r="G12" s="81"/>
      <c r="L12" s="64"/>
    </row>
    <row r="13" spans="1:12" x14ac:dyDescent="0.2">
      <c r="A13" s="82" t="s">
        <v>75</v>
      </c>
      <c r="B13" s="219">
        <f>C13/15</f>
        <v>780</v>
      </c>
      <c r="C13" s="220">
        <f>'Grade out Information'!X26</f>
        <v>11700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76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77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78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79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80</v>
      </c>
      <c r="B21" s="219">
        <f>C21/15</f>
        <v>180</v>
      </c>
      <c r="C21" s="220">
        <f>'Grade out Information'!E11</f>
        <v>2700</v>
      </c>
      <c r="D21" s="81"/>
      <c r="E21" s="86"/>
      <c r="F21" s="87"/>
      <c r="G21" s="81"/>
      <c r="L21" s="64"/>
    </row>
    <row r="22" spans="1:12" x14ac:dyDescent="0.2">
      <c r="A22" s="82" t="s">
        <v>81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82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83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84</v>
      </c>
      <c r="B27" s="221">
        <f>SUM(B13:B26)</f>
        <v>960</v>
      </c>
      <c r="C27" s="222">
        <f>SUM(C13:C26)</f>
        <v>14400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85</v>
      </c>
      <c r="C29" s="98" t="s">
        <v>85</v>
      </c>
      <c r="D29" s="98" t="s">
        <v>85</v>
      </c>
      <c r="E29" s="99" t="s">
        <v>86</v>
      </c>
      <c r="F29" s="100" t="s">
        <v>87</v>
      </c>
      <c r="G29" s="98" t="s">
        <v>88</v>
      </c>
      <c r="J29" s="92"/>
      <c r="K29" s="101"/>
    </row>
    <row r="30" spans="1:12" ht="15.6" customHeight="1" x14ac:dyDescent="0.2">
      <c r="A30" s="102" t="s">
        <v>89</v>
      </c>
      <c r="B30" s="103" t="s">
        <v>174</v>
      </c>
      <c r="C30" s="103" t="s">
        <v>174</v>
      </c>
      <c r="D30" s="103" t="s">
        <v>174</v>
      </c>
      <c r="E30" s="104" t="s">
        <v>175</v>
      </c>
      <c r="F30" s="105" t="s">
        <v>176</v>
      </c>
      <c r="G30" s="103" t="s">
        <v>90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91</v>
      </c>
    </row>
    <row r="32" spans="1:12" x14ac:dyDescent="0.2">
      <c r="A32" s="82" t="s">
        <v>75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92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93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94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95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96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97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98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99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84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topLeftCell="C1" zoomScale="90" zoomScaleNormal="90" workbookViewId="0">
      <selection activeCell="L34" sqref="L34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100</v>
      </c>
    </row>
    <row r="3" spans="1:30" x14ac:dyDescent="0.2">
      <c r="A3" t="s">
        <v>67</v>
      </c>
      <c r="N3" s="121"/>
      <c r="O3" s="121"/>
    </row>
    <row r="4" spans="1:30" x14ac:dyDescent="0.2">
      <c r="A4" s="3" t="s">
        <v>18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101</v>
      </c>
      <c r="B7" s="124" t="s">
        <v>102</v>
      </c>
      <c r="C7" s="241" t="s">
        <v>103</v>
      </c>
      <c r="D7" s="241"/>
      <c r="E7" s="241"/>
      <c r="F7" s="241"/>
      <c r="G7" s="124" t="s">
        <v>104</v>
      </c>
      <c r="H7" s="124" t="s">
        <v>105</v>
      </c>
      <c r="I7" s="124" t="s">
        <v>106</v>
      </c>
      <c r="J7" s="124" t="s">
        <v>75</v>
      </c>
      <c r="K7" s="124" t="s">
        <v>107</v>
      </c>
      <c r="L7" s="124"/>
      <c r="M7" s="124" t="s">
        <v>108</v>
      </c>
      <c r="N7" s="124"/>
      <c r="O7" s="124" t="s">
        <v>109</v>
      </c>
      <c r="P7" s="124"/>
      <c r="Q7" s="124" t="s">
        <v>110</v>
      </c>
      <c r="R7" s="124"/>
      <c r="S7" s="125" t="s">
        <v>111</v>
      </c>
      <c r="T7" s="125"/>
      <c r="U7" s="125" t="s">
        <v>112</v>
      </c>
      <c r="V7" s="124"/>
      <c r="W7" s="126" t="s">
        <v>113</v>
      </c>
      <c r="X7" s="125" t="s">
        <v>114</v>
      </c>
      <c r="Y7" s="124" t="s">
        <v>88</v>
      </c>
      <c r="Z7" s="124" t="s">
        <v>114</v>
      </c>
      <c r="AA7" s="125" t="s">
        <v>115</v>
      </c>
      <c r="AB7" s="124" t="s">
        <v>116</v>
      </c>
      <c r="AC7" s="125" t="s">
        <v>116</v>
      </c>
      <c r="AD7" s="124" t="s">
        <v>115</v>
      </c>
    </row>
    <row r="8" spans="1:30" x14ac:dyDescent="0.2">
      <c r="A8" s="183">
        <f>Inputs!C2</f>
        <v>17</v>
      </c>
      <c r="B8" s="127" t="s">
        <v>26</v>
      </c>
      <c r="C8" s="127" t="s">
        <v>117</v>
      </c>
      <c r="D8" s="127" t="s">
        <v>108</v>
      </c>
      <c r="E8" s="127" t="s">
        <v>109</v>
      </c>
      <c r="F8" s="127" t="s">
        <v>110</v>
      </c>
      <c r="G8" s="127" t="s">
        <v>74</v>
      </c>
      <c r="H8" s="127" t="s">
        <v>73</v>
      </c>
      <c r="I8" s="127" t="s">
        <v>118</v>
      </c>
      <c r="J8" s="127" t="s">
        <v>107</v>
      </c>
      <c r="K8" s="127" t="s">
        <v>119</v>
      </c>
      <c r="L8" s="127" t="s">
        <v>108</v>
      </c>
      <c r="M8" s="127" t="s">
        <v>119</v>
      </c>
      <c r="N8" s="127" t="s">
        <v>109</v>
      </c>
      <c r="O8" s="127" t="s">
        <v>119</v>
      </c>
      <c r="P8" s="127" t="s">
        <v>110</v>
      </c>
      <c r="Q8" s="127" t="s">
        <v>119</v>
      </c>
      <c r="R8" s="127" t="s">
        <v>111</v>
      </c>
      <c r="S8" s="128" t="s">
        <v>119</v>
      </c>
      <c r="T8" s="128" t="s">
        <v>112</v>
      </c>
      <c r="U8" s="128" t="s">
        <v>119</v>
      </c>
      <c r="V8" s="127" t="s">
        <v>113</v>
      </c>
      <c r="W8" s="129" t="s">
        <v>119</v>
      </c>
      <c r="X8" s="128" t="s">
        <v>74</v>
      </c>
      <c r="Y8" s="127" t="s">
        <v>119</v>
      </c>
      <c r="Z8" s="127" t="s">
        <v>73</v>
      </c>
      <c r="AA8" s="128" t="s">
        <v>120</v>
      </c>
      <c r="AB8" s="127" t="s">
        <v>74</v>
      </c>
      <c r="AC8" s="128" t="s">
        <v>73</v>
      </c>
      <c r="AD8" s="127" t="s">
        <v>121</v>
      </c>
    </row>
    <row r="9" spans="1:30" x14ac:dyDescent="0.2">
      <c r="A9" s="124"/>
      <c r="B9" s="182" t="s">
        <v>122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26</v>
      </c>
      <c r="B11" s="133" t="s">
        <v>123</v>
      </c>
      <c r="C11" s="217"/>
      <c r="D11" s="217"/>
      <c r="E11" s="227">
        <f>Inputs!I41*15</f>
        <v>2700</v>
      </c>
      <c r="F11" s="217"/>
      <c r="G11" s="228">
        <f>SUM(C11:F11)</f>
        <v>2700</v>
      </c>
      <c r="H11" s="229">
        <f>G11/15</f>
        <v>180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124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125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179</v>
      </c>
      <c r="C15" s="133"/>
      <c r="D15" s="133"/>
      <c r="E15" s="133"/>
      <c r="F15" s="133"/>
      <c r="G15" s="133"/>
      <c r="H15" s="133"/>
      <c r="I15" s="133">
        <f>J15+L15+N15+P15+R15+T15+V15</f>
        <v>6555</v>
      </c>
      <c r="J15" s="133">
        <f>X15*K15</f>
        <v>3198.84</v>
      </c>
      <c r="K15" s="184">
        <f>Inputs!B36</f>
        <v>0.48799999999999999</v>
      </c>
      <c r="L15" s="133">
        <f>X15*M15</f>
        <v>3133.29</v>
      </c>
      <c r="M15" s="184">
        <f>Inputs!B39</f>
        <v>0.47799999999999998</v>
      </c>
      <c r="N15" s="133">
        <f>X15*O15</f>
        <v>163.875</v>
      </c>
      <c r="O15" s="184">
        <f>Inputs!B40</f>
        <v>2.5000000000000001E-2</v>
      </c>
      <c r="P15" s="133">
        <f>X15*Q15</f>
        <v>0</v>
      </c>
      <c r="Q15" s="184">
        <f>Inputs!B41</f>
        <v>0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58.995000000000005</v>
      </c>
      <c r="W15" s="185">
        <f>Inputs!B43</f>
        <v>9.0000000000000011E-3</v>
      </c>
      <c r="X15" s="213">
        <f>Z15*15</f>
        <v>6555</v>
      </c>
      <c r="Y15" s="209">
        <f>K15+M15+O15+Q15+S15+U15+W15</f>
        <v>1</v>
      </c>
      <c r="Z15" s="226">
        <f>Inputs!I35</f>
        <v>437</v>
      </c>
      <c r="AA15" s="3"/>
      <c r="AB15" s="133"/>
      <c r="AC15" s="3"/>
      <c r="AD15" s="133"/>
    </row>
    <row r="16" spans="1:30" ht="15" x14ac:dyDescent="0.25">
      <c r="A16" s="133"/>
      <c r="B16" s="133" t="s">
        <v>180</v>
      </c>
      <c r="C16" s="133"/>
      <c r="D16" s="133"/>
      <c r="E16" s="133"/>
      <c r="F16" s="133"/>
      <c r="G16" s="133"/>
      <c r="H16" s="133"/>
      <c r="I16" s="133">
        <f>J16+L16+N16+P16+R16+T16+V16</f>
        <v>644.99999999999989</v>
      </c>
      <c r="J16" s="133">
        <f>X16*K16</f>
        <v>314.76</v>
      </c>
      <c r="K16" s="184">
        <f>K15</f>
        <v>0.48799999999999999</v>
      </c>
      <c r="L16" s="133">
        <f t="shared" ref="L16:L23" si="0">X16*M16</f>
        <v>308.31</v>
      </c>
      <c r="M16" s="184">
        <f>M15</f>
        <v>0.47799999999999998</v>
      </c>
      <c r="N16" s="133">
        <f t="shared" ref="N16:N21" si="1">X16*O16</f>
        <v>16.125</v>
      </c>
      <c r="O16" s="184">
        <f>O15</f>
        <v>2.5000000000000001E-2</v>
      </c>
      <c r="P16" s="133">
        <f t="shared" ref="P16:P23" si="2">X16*Q16</f>
        <v>0</v>
      </c>
      <c r="Q16" s="184">
        <f>Q15</f>
        <v>0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5.8050000000000006</v>
      </c>
      <c r="W16" s="185">
        <f>W15</f>
        <v>9.0000000000000011E-3</v>
      </c>
      <c r="X16" s="213">
        <f t="shared" ref="X16:X23" si="6">Z16*15</f>
        <v>645</v>
      </c>
      <c r="Y16" s="209">
        <f>K16+M16+O16+Q16+S16+U16+W16</f>
        <v>1</v>
      </c>
      <c r="Z16" s="226">
        <f>Inputs!I36</f>
        <v>43</v>
      </c>
      <c r="AA16" s="3"/>
      <c r="AB16" s="133"/>
      <c r="AC16" s="3"/>
      <c r="AD16" s="133"/>
    </row>
    <row r="17" spans="1:30" ht="15" x14ac:dyDescent="0.2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5" x14ac:dyDescent="0.25">
      <c r="A18" s="133"/>
      <c r="B18" s="133" t="s">
        <v>127</v>
      </c>
      <c r="C18" s="133"/>
      <c r="D18" s="133"/>
      <c r="E18" s="133"/>
      <c r="F18" s="133"/>
      <c r="G18" s="133"/>
      <c r="H18" s="133"/>
      <c r="I18" s="133">
        <f t="shared" si="7"/>
        <v>0</v>
      </c>
      <c r="J18" s="133">
        <f>X18*K18</f>
        <v>0</v>
      </c>
      <c r="K18" s="184">
        <f>Inputs!C36</f>
        <v>0.25</v>
      </c>
      <c r="L18" s="133">
        <f t="shared" si="0"/>
        <v>0</v>
      </c>
      <c r="M18" s="184">
        <f>Inputs!C39</f>
        <v>0.68500000000000005</v>
      </c>
      <c r="N18" s="133">
        <f t="shared" si="1"/>
        <v>0</v>
      </c>
      <c r="O18" s="184">
        <f>Inputs!C40</f>
        <v>5.7000000000000002E-2</v>
      </c>
      <c r="P18" s="133">
        <f t="shared" si="2"/>
        <v>0</v>
      </c>
      <c r="Q18" s="184">
        <f>Inputs!C41</f>
        <v>0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0</v>
      </c>
      <c r="W18" s="185">
        <f>Inputs!C43</f>
        <v>8.0000000000000002E-3</v>
      </c>
      <c r="X18" s="213">
        <f t="shared" si="6"/>
        <v>0</v>
      </c>
      <c r="Y18" s="209">
        <f>K18+M18+O18+Q18+S18+U18+W18</f>
        <v>1</v>
      </c>
      <c r="Z18" s="226">
        <f>Inputs!I37</f>
        <v>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216</v>
      </c>
      <c r="C20" s="133"/>
      <c r="D20" s="133"/>
      <c r="E20" s="133"/>
      <c r="F20" s="133"/>
      <c r="G20" s="133"/>
      <c r="H20" s="133"/>
      <c r="I20" s="133">
        <f t="shared" si="7"/>
        <v>4050</v>
      </c>
      <c r="J20" s="133">
        <f>X20*K20</f>
        <v>1174.5</v>
      </c>
      <c r="K20" s="184">
        <f>Inputs!D36</f>
        <v>0.28999999999999998</v>
      </c>
      <c r="L20" s="133">
        <f t="shared" si="0"/>
        <v>2430</v>
      </c>
      <c r="M20" s="184">
        <f>Inputs!D39</f>
        <v>0.6</v>
      </c>
      <c r="N20" s="133">
        <f t="shared" si="1"/>
        <v>400.95000000000005</v>
      </c>
      <c r="O20" s="184">
        <f>Inputs!D40</f>
        <v>9.9000000000000005E-2</v>
      </c>
      <c r="P20" s="133">
        <f t="shared" si="2"/>
        <v>0</v>
      </c>
      <c r="Q20" s="184">
        <f>Inputs!D41</f>
        <v>0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44.55</v>
      </c>
      <c r="W20" s="185">
        <f>Inputs!D43</f>
        <v>1.0999999999999999E-2</v>
      </c>
      <c r="X20" s="213">
        <f t="shared" si="6"/>
        <v>4050</v>
      </c>
      <c r="Y20" s="209">
        <f>K20+M20+O20+Q20+S20+U20+W20</f>
        <v>0.99999999999999989</v>
      </c>
      <c r="Z20" s="226">
        <f>Inputs!I38</f>
        <v>270</v>
      </c>
      <c r="AA20" s="3"/>
      <c r="AB20" s="133"/>
      <c r="AC20" s="3"/>
      <c r="AD20" s="133"/>
    </row>
    <row r="21" spans="1:30" ht="15" x14ac:dyDescent="0.25">
      <c r="A21" s="133"/>
      <c r="B21" s="133" t="s">
        <v>217</v>
      </c>
      <c r="C21" s="133"/>
      <c r="D21" s="133"/>
      <c r="E21" s="133"/>
      <c r="F21" s="133"/>
      <c r="G21" s="133"/>
      <c r="H21" s="133"/>
      <c r="I21" s="133">
        <f t="shared" si="7"/>
        <v>450</v>
      </c>
      <c r="J21" s="133">
        <f>X21*K21</f>
        <v>130.5</v>
      </c>
      <c r="K21" s="184">
        <f>K20</f>
        <v>0.28999999999999998</v>
      </c>
      <c r="L21" s="133">
        <f t="shared" si="0"/>
        <v>270</v>
      </c>
      <c r="M21" s="184">
        <f>M20</f>
        <v>0.6</v>
      </c>
      <c r="N21" s="133">
        <f t="shared" si="1"/>
        <v>44.550000000000004</v>
      </c>
      <c r="O21" s="184">
        <f>O20</f>
        <v>9.9000000000000005E-2</v>
      </c>
      <c r="P21" s="133">
        <f t="shared" si="2"/>
        <v>0</v>
      </c>
      <c r="Q21" s="184">
        <f>Q20</f>
        <v>0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4.9499999999999993</v>
      </c>
      <c r="W21" s="185">
        <f>W20</f>
        <v>1.0999999999999999E-2</v>
      </c>
      <c r="X21" s="213">
        <f t="shared" si="6"/>
        <v>450</v>
      </c>
      <c r="Y21" s="209">
        <f>K21+M21+O21+Q21+S21+U21+W21</f>
        <v>0.99999999999999989</v>
      </c>
      <c r="Z21" s="226">
        <f>Inputs!I39</f>
        <v>30</v>
      </c>
      <c r="AA21" s="3"/>
      <c r="AB21" s="133"/>
      <c r="AC21" s="3"/>
      <c r="AD21" s="133"/>
    </row>
    <row r="22" spans="1:30" ht="15" x14ac:dyDescent="0.2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126</v>
      </c>
      <c r="C23" s="133"/>
      <c r="D23" s="133"/>
      <c r="E23" s="133"/>
      <c r="F23" s="133"/>
      <c r="G23" s="133"/>
      <c r="H23" s="133"/>
      <c r="I23" s="133">
        <f t="shared" si="7"/>
        <v>0</v>
      </c>
      <c r="J23" s="133">
        <f>X23*K23</f>
        <v>0</v>
      </c>
      <c r="K23" s="184">
        <f>Inputs!E36</f>
        <v>0.38100000000000001</v>
      </c>
      <c r="L23" s="133">
        <f t="shared" si="0"/>
        <v>0</v>
      </c>
      <c r="M23" s="184">
        <f>Inputs!E39</f>
        <v>0.58299999999999996</v>
      </c>
      <c r="N23" s="133">
        <f>X23*O23</f>
        <v>0</v>
      </c>
      <c r="O23" s="184">
        <f>Inputs!E40</f>
        <v>2.7E-2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0</v>
      </c>
      <c r="W23" s="218">
        <f>Inputs!E43</f>
        <v>9.0000000000000011E-3</v>
      </c>
      <c r="X23" s="213">
        <f t="shared" si="6"/>
        <v>0</v>
      </c>
      <c r="Y23" s="209">
        <f>K23+M23+O23+Q23+S23+U23+W23</f>
        <v>1</v>
      </c>
      <c r="Z23" s="226">
        <f>Inputs!I40</f>
        <v>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56</v>
      </c>
      <c r="C26" s="139">
        <f>SUM(C11:C25)</f>
        <v>0</v>
      </c>
      <c r="D26" s="139">
        <f>SUM(D11:D25)</f>
        <v>0</v>
      </c>
      <c r="E26" s="139">
        <f>SUM(E11:E25)</f>
        <v>2700</v>
      </c>
      <c r="F26" s="139">
        <f>SUM(F11:F25)</f>
        <v>0</v>
      </c>
      <c r="G26" s="139">
        <f>G11+G12</f>
        <v>2700</v>
      </c>
      <c r="H26" s="139">
        <f>SUM(H11+H12)</f>
        <v>180</v>
      </c>
      <c r="I26" s="141"/>
      <c r="J26" s="139">
        <f>SUM(J15:J25)</f>
        <v>4818.6000000000004</v>
      </c>
      <c r="K26" s="139"/>
      <c r="L26" s="139">
        <f>SUM(L15:L25)</f>
        <v>6141.6</v>
      </c>
      <c r="M26" s="139"/>
      <c r="N26" s="139">
        <f>SUM(N15:N25)</f>
        <v>625.5</v>
      </c>
      <c r="O26" s="139"/>
      <c r="P26" s="139">
        <f>SUM(P15:P25)</f>
        <v>0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114.30000000000001</v>
      </c>
      <c r="W26" s="139"/>
      <c r="X26" s="139">
        <f>SUM(X15:X25)</f>
        <v>11700</v>
      </c>
      <c r="Y26" s="139"/>
      <c r="Z26" s="139">
        <f>SUM(Z15:Z25)</f>
        <v>780</v>
      </c>
      <c r="AA26" s="141">
        <f>IF(Z33=0,0,Z33/(H33+Z33))</f>
        <v>0</v>
      </c>
      <c r="AB26" s="139">
        <f>G26+X26</f>
        <v>14400</v>
      </c>
      <c r="AC26" s="139">
        <f>H26+Z26</f>
        <v>960</v>
      </c>
      <c r="AD26" s="141">
        <f>I26+AA26</f>
        <v>0</v>
      </c>
    </row>
    <row r="30" spans="1:30" x14ac:dyDescent="0.2">
      <c r="A30" s="3" t="s">
        <v>107</v>
      </c>
      <c r="B30">
        <f>J26</f>
        <v>4818.6000000000004</v>
      </c>
    </row>
    <row r="31" spans="1:30" x14ac:dyDescent="0.2">
      <c r="A31" s="3" t="s">
        <v>108</v>
      </c>
      <c r="B31">
        <f>L26</f>
        <v>6141.6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109</v>
      </c>
      <c r="B32">
        <f>N26</f>
        <v>625.5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110</v>
      </c>
      <c r="B33">
        <f>P26</f>
        <v>0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111</v>
      </c>
      <c r="B34">
        <f>R26</f>
        <v>0</v>
      </c>
    </row>
    <row r="35" spans="1:13" x14ac:dyDescent="0.2">
      <c r="A35" s="3" t="s">
        <v>112</v>
      </c>
      <c r="B35">
        <f>T26</f>
        <v>0</v>
      </c>
    </row>
    <row r="36" spans="1:13" x14ac:dyDescent="0.2">
      <c r="A36" s="3" t="s">
        <v>113</v>
      </c>
      <c r="B36">
        <f>V26</f>
        <v>114.30000000000001</v>
      </c>
    </row>
    <row r="38" spans="1:13" x14ac:dyDescent="0.2">
      <c r="A38" s="3" t="s">
        <v>128</v>
      </c>
      <c r="B38">
        <f>SUM(B30:B36)</f>
        <v>11700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I11" sqref="I11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63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177</v>
      </c>
      <c r="C3" s="24">
        <v>7168</v>
      </c>
      <c r="D3" s="25" t="s">
        <v>48</v>
      </c>
      <c r="E3" s="25" t="s">
        <v>49</v>
      </c>
      <c r="F3" s="25" t="s">
        <v>50</v>
      </c>
      <c r="G3" s="25" t="s">
        <v>51</v>
      </c>
      <c r="H3" s="194">
        <v>20105</v>
      </c>
      <c r="I3" s="25"/>
    </row>
    <row r="4" spans="1:9" x14ac:dyDescent="0.2">
      <c r="A4" s="3" t="s">
        <v>177</v>
      </c>
      <c r="C4" s="24">
        <v>7168</v>
      </c>
      <c r="D4" s="25" t="s">
        <v>48</v>
      </c>
      <c r="E4" s="25" t="s">
        <v>49</v>
      </c>
      <c r="F4" s="25" t="s">
        <v>50</v>
      </c>
      <c r="G4" s="25" t="s">
        <v>52</v>
      </c>
      <c r="H4" s="194">
        <v>1940</v>
      </c>
    </row>
    <row r="5" spans="1:9" x14ac:dyDescent="0.2">
      <c r="H5" s="195"/>
    </row>
    <row r="6" spans="1:9" x14ac:dyDescent="0.2">
      <c r="A6" s="3" t="s">
        <v>55</v>
      </c>
      <c r="B6" s="3"/>
      <c r="C6" s="34">
        <v>7169</v>
      </c>
      <c r="D6" s="25" t="s">
        <v>48</v>
      </c>
      <c r="E6" s="25" t="s">
        <v>54</v>
      </c>
      <c r="F6" s="25" t="s">
        <v>50</v>
      </c>
      <c r="G6" s="25" t="s">
        <v>51</v>
      </c>
      <c r="H6" s="194">
        <v>38898</v>
      </c>
      <c r="I6" s="30"/>
    </row>
    <row r="7" spans="1:9" ht="15" x14ac:dyDescent="0.2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">
      <c r="A8" s="3" t="s">
        <v>178</v>
      </c>
      <c r="C8" s="24">
        <v>7168</v>
      </c>
      <c r="D8" s="25" t="s">
        <v>48</v>
      </c>
      <c r="E8" s="25" t="s">
        <v>54</v>
      </c>
      <c r="F8" s="25" t="s">
        <v>50</v>
      </c>
      <c r="G8" s="25" t="s">
        <v>51</v>
      </c>
      <c r="H8" s="194">
        <v>34765</v>
      </c>
      <c r="I8" s="25"/>
    </row>
    <row r="9" spans="1:9" x14ac:dyDescent="0.2">
      <c r="A9" s="3" t="s">
        <v>178</v>
      </c>
      <c r="C9" s="24">
        <v>7168</v>
      </c>
      <c r="D9" s="25" t="s">
        <v>48</v>
      </c>
      <c r="E9" s="25" t="s">
        <v>54</v>
      </c>
      <c r="F9" s="25" t="s">
        <v>50</v>
      </c>
      <c r="G9" s="25" t="s">
        <v>52</v>
      </c>
      <c r="H9" s="194">
        <v>3874</v>
      </c>
    </row>
    <row r="10" spans="1:9" x14ac:dyDescent="0.2">
      <c r="H10" s="195"/>
      <c r="I10" s="30"/>
    </row>
    <row r="11" spans="1:9" ht="15" x14ac:dyDescent="0.2">
      <c r="A11" s="3" t="s">
        <v>53</v>
      </c>
      <c r="C11" s="24">
        <v>7168</v>
      </c>
      <c r="D11" s="25" t="s">
        <v>48</v>
      </c>
      <c r="E11" s="25" t="s">
        <v>54</v>
      </c>
      <c r="F11" s="25" t="s">
        <v>50</v>
      </c>
      <c r="G11" s="25" t="s">
        <v>51</v>
      </c>
      <c r="H11" s="194">
        <v>18857</v>
      </c>
      <c r="I11" s="58"/>
    </row>
    <row r="13" spans="1:9" x14ac:dyDescent="0.2">
      <c r="I13" s="25"/>
    </row>
    <row r="14" spans="1:9" x14ac:dyDescent="0.2">
      <c r="A14" s="3"/>
      <c r="C14" s="24"/>
      <c r="D14" s="25"/>
      <c r="E14" s="25"/>
      <c r="F14" s="25"/>
      <c r="G14" s="25"/>
      <c r="H14" s="30"/>
      <c r="I14" s="2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G28" sqref="G28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129</v>
      </c>
      <c r="B1" s="146" t="s">
        <v>130</v>
      </c>
      <c r="C1" s="146" t="s">
        <v>131</v>
      </c>
      <c r="D1" s="146" t="s">
        <v>30</v>
      </c>
      <c r="E1" s="146" t="s">
        <v>132</v>
      </c>
      <c r="F1" s="146" t="s">
        <v>120</v>
      </c>
      <c r="G1" s="146" t="s">
        <v>133</v>
      </c>
      <c r="H1" s="146" t="s">
        <v>134</v>
      </c>
      <c r="I1" s="146" t="s">
        <v>135</v>
      </c>
      <c r="J1" s="146" t="s">
        <v>15</v>
      </c>
      <c r="K1" s="146" t="s">
        <v>136</v>
      </c>
      <c r="L1" s="147" t="s">
        <v>137</v>
      </c>
      <c r="M1" s="146" t="s">
        <v>138</v>
      </c>
      <c r="N1" s="146" t="s">
        <v>139</v>
      </c>
      <c r="O1" s="146" t="s">
        <v>140</v>
      </c>
      <c r="P1" s="146" t="s">
        <v>141</v>
      </c>
    </row>
    <row r="2" spans="1:16" x14ac:dyDescent="0.25">
      <c r="A2" s="243" t="s">
        <v>142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120</v>
      </c>
      <c r="G3" s="148"/>
      <c r="H3" s="148" t="s">
        <v>221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51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7</v>
      </c>
      <c r="E4" s="148">
        <v>60</v>
      </c>
      <c r="F4" s="192"/>
      <c r="G4" s="148" t="s">
        <v>11</v>
      </c>
      <c r="H4" s="148" t="s">
        <v>221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51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4</v>
      </c>
      <c r="E5" s="148">
        <v>60</v>
      </c>
      <c r="F5" s="192"/>
      <c r="G5" s="148" t="s">
        <v>12</v>
      </c>
      <c r="H5" s="148" t="s">
        <v>220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52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17</v>
      </c>
      <c r="C7" s="151">
        <v>940626</v>
      </c>
      <c r="D7" s="188" t="s">
        <v>181</v>
      </c>
      <c r="E7" s="148">
        <v>60</v>
      </c>
      <c r="F7" s="188" t="s">
        <v>120</v>
      </c>
      <c r="G7" s="188"/>
      <c r="H7" s="191" t="s">
        <v>220</v>
      </c>
      <c r="I7" s="210">
        <f>IF(K7&gt;0,K7-J7,"NA")</f>
        <v>1375</v>
      </c>
      <c r="J7" s="189">
        <f>IF(H7="NEW",203, IF(H7="OLD",192,0))</f>
        <v>203</v>
      </c>
      <c r="K7" s="151">
        <v>1578</v>
      </c>
      <c r="L7" s="211">
        <f>IF(K7&gt;0,I7/E7,"NA")</f>
        <v>22.916666666666668</v>
      </c>
      <c r="M7" s="151">
        <v>129076</v>
      </c>
      <c r="N7" s="152" t="s">
        <v>238</v>
      </c>
      <c r="O7" s="157" t="s">
        <v>51</v>
      </c>
      <c r="P7" s="187">
        <f>IF(D7=Inputs!F$2,Inputs!I$2,IF(D7=Inputs!F$3,Inputs!I$3,IF(D7=Inputs!F$4,Inputs!I$4,IF(D7=Inputs!F$5,Inputs!I$5,"NA"))))</f>
        <v>28.892857142857142</v>
      </c>
    </row>
    <row r="8" spans="1:16" x14ac:dyDescent="0.25">
      <c r="A8" s="148">
        <v>2</v>
      </c>
      <c r="B8" s="189">
        <f>Inputs!C$2</f>
        <v>17</v>
      </c>
      <c r="C8" s="151">
        <v>940627</v>
      </c>
      <c r="D8" s="188" t="s">
        <v>181</v>
      </c>
      <c r="E8" s="148">
        <v>60</v>
      </c>
      <c r="F8" s="188" t="s">
        <v>120</v>
      </c>
      <c r="G8" s="188"/>
      <c r="H8" s="191" t="s">
        <v>220</v>
      </c>
      <c r="I8" s="210">
        <f t="shared" ref="I8:I70" si="0">IF(K8&gt;0,K8-J8,"NA")</f>
        <v>1349</v>
      </c>
      <c r="J8" s="189">
        <f>IF(H8="NEW",203, IF(H8="OLD",192,0))</f>
        <v>203</v>
      </c>
      <c r="K8" s="151">
        <v>1552</v>
      </c>
      <c r="L8" s="211">
        <f>IF(K8&gt;0,I8/E8,"NA")</f>
        <v>22.483333333333334</v>
      </c>
      <c r="M8" s="151">
        <v>129076</v>
      </c>
      <c r="N8" s="152" t="s">
        <v>238</v>
      </c>
      <c r="O8" s="157" t="s">
        <v>51</v>
      </c>
      <c r="P8" s="187">
        <f>IF(D8=Inputs!F$2,Inputs!I$2,IF(D8=Inputs!F$3,Inputs!I$3,IF(D8=Inputs!F$4,Inputs!I$4,IF(D8=Inputs!F$5,Inputs!I$5,"NA"))))</f>
        <v>28.892857142857142</v>
      </c>
    </row>
    <row r="9" spans="1:16" x14ac:dyDescent="0.25">
      <c r="A9" s="148">
        <v>3</v>
      </c>
      <c r="B9" s="189">
        <f>Inputs!C$2</f>
        <v>17</v>
      </c>
      <c r="C9" s="151">
        <v>940628</v>
      </c>
      <c r="D9" s="188" t="s">
        <v>181</v>
      </c>
      <c r="E9" s="148">
        <v>60</v>
      </c>
      <c r="F9" s="188" t="s">
        <v>120</v>
      </c>
      <c r="G9" s="188"/>
      <c r="H9" s="191" t="s">
        <v>220</v>
      </c>
      <c r="I9" s="210">
        <f t="shared" si="0"/>
        <v>1355</v>
      </c>
      <c r="J9" s="189">
        <f>IF(H9="NEW",203, IF(H9="OLD",192,0))</f>
        <v>203</v>
      </c>
      <c r="K9" s="151">
        <v>1558</v>
      </c>
      <c r="L9" s="211">
        <f t="shared" ref="L9:L72" si="1">IF(K9&gt;0,I9/E9,"NA")</f>
        <v>22.583333333333332</v>
      </c>
      <c r="M9" s="151">
        <v>129076</v>
      </c>
      <c r="N9" s="152" t="s">
        <v>238</v>
      </c>
      <c r="O9" s="157" t="s">
        <v>51</v>
      </c>
      <c r="P9" s="187">
        <f>IF(D9=Inputs!F$2,Inputs!I$2,IF(D9=Inputs!F$3,Inputs!I$3,IF(D9=Inputs!F$4,Inputs!I$4,IF(D9=Inputs!F$5,Inputs!I$5,"NA"))))</f>
        <v>28.892857142857142</v>
      </c>
    </row>
    <row r="10" spans="1:16" x14ac:dyDescent="0.25">
      <c r="A10" s="148">
        <v>4</v>
      </c>
      <c r="B10" s="189">
        <f>Inputs!C$2</f>
        <v>17</v>
      </c>
      <c r="C10" s="151">
        <v>940629</v>
      </c>
      <c r="D10" s="188" t="s">
        <v>9</v>
      </c>
      <c r="E10" s="148">
        <v>60</v>
      </c>
      <c r="F10" s="188"/>
      <c r="G10" s="188" t="s">
        <v>13</v>
      </c>
      <c r="H10" s="191" t="s">
        <v>220</v>
      </c>
      <c r="I10" s="210" t="str">
        <f t="shared" si="0"/>
        <v>NA</v>
      </c>
      <c r="J10" s="189">
        <f>IF(H10="NEW",203, IF(H10="OLD",192,0))</f>
        <v>203</v>
      </c>
      <c r="K10" s="151"/>
      <c r="L10" s="211" t="str">
        <f t="shared" si="1"/>
        <v>NA</v>
      </c>
      <c r="M10" s="151">
        <v>129076</v>
      </c>
      <c r="N10" s="152" t="s">
        <v>238</v>
      </c>
      <c r="O10" s="157" t="s">
        <v>13</v>
      </c>
      <c r="P10" s="187" t="str">
        <f>IF(D10=Inputs!F$2,Inputs!I$2,IF(D10=Inputs!F$3,Inputs!I$3,IF(D10=Inputs!F$4,Inputs!I$4,IF(D10=Inputs!F$5,Inputs!I$5,"NA"))))</f>
        <v>NA</v>
      </c>
    </row>
    <row r="11" spans="1:16" x14ac:dyDescent="0.25">
      <c r="A11" s="148">
        <v>5</v>
      </c>
      <c r="B11" s="189">
        <f>Inputs!C$2</f>
        <v>17</v>
      </c>
      <c r="C11" s="151">
        <v>940630</v>
      </c>
      <c r="D11" s="188" t="s">
        <v>181</v>
      </c>
      <c r="E11" s="148">
        <v>60</v>
      </c>
      <c r="F11" s="188" t="s">
        <v>120</v>
      </c>
      <c r="G11" s="188"/>
      <c r="H11" s="191" t="s">
        <v>220</v>
      </c>
      <c r="I11" s="210">
        <f t="shared" si="0"/>
        <v>1393</v>
      </c>
      <c r="J11" s="189">
        <f t="shared" ref="J11:J72" si="2">IF(H11="NEW",203, IF(H11="OLD",192,0))</f>
        <v>203</v>
      </c>
      <c r="K11" s="151">
        <v>1596</v>
      </c>
      <c r="L11" s="211">
        <f>IF(K11&gt;0,I11/E11,"NA")</f>
        <v>23.216666666666665</v>
      </c>
      <c r="M11" s="151">
        <v>129076</v>
      </c>
      <c r="N11" s="152" t="s">
        <v>238</v>
      </c>
      <c r="O11" s="157" t="s">
        <v>237</v>
      </c>
      <c r="P11" s="187">
        <f>IF(D11=Inputs!F$2,Inputs!I$2,IF(D11=Inputs!F$3,Inputs!I$3,IF(D11=Inputs!F$4,Inputs!I$4,IF(D11=Inputs!F$5,Inputs!I$5,"NA"))))</f>
        <v>28.892857142857142</v>
      </c>
    </row>
    <row r="12" spans="1:16" x14ac:dyDescent="0.25">
      <c r="A12" s="148">
        <v>6</v>
      </c>
      <c r="B12" s="189">
        <f>Inputs!C$2</f>
        <v>17</v>
      </c>
      <c r="C12" s="151">
        <v>940631</v>
      </c>
      <c r="D12" s="188" t="s">
        <v>183</v>
      </c>
      <c r="E12" s="148">
        <v>60</v>
      </c>
      <c r="F12" s="188" t="s">
        <v>120</v>
      </c>
      <c r="G12" s="188"/>
      <c r="H12" s="191" t="s">
        <v>220</v>
      </c>
      <c r="I12" s="210">
        <f t="shared" si="0"/>
        <v>1555</v>
      </c>
      <c r="J12" s="189">
        <f t="shared" si="2"/>
        <v>203</v>
      </c>
      <c r="K12" s="151">
        <v>1758</v>
      </c>
      <c r="L12" s="211">
        <f t="shared" si="1"/>
        <v>25.916666666666668</v>
      </c>
      <c r="M12" s="151">
        <v>129076</v>
      </c>
      <c r="N12" s="152" t="s">
        <v>238</v>
      </c>
      <c r="O12" s="157" t="s">
        <v>51</v>
      </c>
      <c r="P12" s="187">
        <f>IF(D12=Inputs!F$2,Inputs!I$2,IF(D12=Inputs!F$3,Inputs!I$3,IF(D12=Inputs!F$4,Inputs!I$4,IF(D12=Inputs!F$5,Inputs!I$5,"NA"))))</f>
        <v>72.892857142857139</v>
      </c>
    </row>
    <row r="13" spans="1:16" x14ac:dyDescent="0.25">
      <c r="A13" s="148">
        <v>7</v>
      </c>
      <c r="B13" s="189">
        <f>Inputs!C$2</f>
        <v>17</v>
      </c>
      <c r="C13" s="151">
        <v>940632</v>
      </c>
      <c r="D13" s="188" t="s">
        <v>183</v>
      </c>
      <c r="E13" s="148">
        <v>60</v>
      </c>
      <c r="F13" s="188" t="s">
        <v>120</v>
      </c>
      <c r="G13" s="188"/>
      <c r="H13" s="191" t="s">
        <v>220</v>
      </c>
      <c r="I13" s="210">
        <f t="shared" si="0"/>
        <v>1531</v>
      </c>
      <c r="J13" s="189">
        <f t="shared" si="2"/>
        <v>203</v>
      </c>
      <c r="K13" s="151">
        <v>1734</v>
      </c>
      <c r="L13" s="211">
        <f t="shared" si="1"/>
        <v>25.516666666666666</v>
      </c>
      <c r="M13" s="151">
        <v>129076</v>
      </c>
      <c r="N13" s="152" t="s">
        <v>238</v>
      </c>
      <c r="O13" s="157" t="s">
        <v>237</v>
      </c>
      <c r="P13" s="187">
        <f>IF(D13=Inputs!F$2,Inputs!I$2,IF(D13=Inputs!F$3,Inputs!I$3,IF(D13=Inputs!F$4,Inputs!I$4,IF(D13=Inputs!F$5,Inputs!I$5,"NA"))))</f>
        <v>72.892857142857139</v>
      </c>
    </row>
    <row r="14" spans="1:16" x14ac:dyDescent="0.25">
      <c r="A14" s="148">
        <v>8</v>
      </c>
      <c r="B14" s="189">
        <f>Inputs!C$2</f>
        <v>17</v>
      </c>
      <c r="C14" s="151">
        <v>940633</v>
      </c>
      <c r="D14" s="188" t="s">
        <v>183</v>
      </c>
      <c r="E14" s="148">
        <v>60</v>
      </c>
      <c r="F14" s="188" t="s">
        <v>120</v>
      </c>
      <c r="G14" s="188"/>
      <c r="H14" s="191" t="s">
        <v>220</v>
      </c>
      <c r="I14" s="210">
        <f t="shared" si="0"/>
        <v>1563</v>
      </c>
      <c r="J14" s="189">
        <f t="shared" si="2"/>
        <v>203</v>
      </c>
      <c r="K14" s="151">
        <v>1766</v>
      </c>
      <c r="L14" s="211">
        <f t="shared" si="1"/>
        <v>26.05</v>
      </c>
      <c r="M14" s="151">
        <v>129076</v>
      </c>
      <c r="N14" s="152" t="s">
        <v>238</v>
      </c>
      <c r="O14" s="157" t="s">
        <v>237</v>
      </c>
      <c r="P14" s="187">
        <f>IF(D14=Inputs!F$2,Inputs!I$2,IF(D14=Inputs!F$3,Inputs!I$3,IF(D14=Inputs!F$4,Inputs!I$4,IF(D14=Inputs!F$5,Inputs!I$5,"NA"))))</f>
        <v>72.892857142857139</v>
      </c>
    </row>
    <row r="15" spans="1:16" x14ac:dyDescent="0.25">
      <c r="A15" s="148">
        <v>9</v>
      </c>
      <c r="B15" s="189">
        <f>Inputs!C$2</f>
        <v>17</v>
      </c>
      <c r="C15" s="151">
        <v>940634</v>
      </c>
      <c r="D15" s="188" t="s">
        <v>183</v>
      </c>
      <c r="E15" s="148">
        <v>60</v>
      </c>
      <c r="F15" s="188" t="s">
        <v>120</v>
      </c>
      <c r="G15" s="188"/>
      <c r="H15" s="191" t="s">
        <v>220</v>
      </c>
      <c r="I15" s="210">
        <f t="shared" si="0"/>
        <v>1553</v>
      </c>
      <c r="J15" s="189">
        <f t="shared" si="2"/>
        <v>203</v>
      </c>
      <c r="K15" s="151">
        <v>1756</v>
      </c>
      <c r="L15" s="211">
        <f t="shared" si="1"/>
        <v>25.883333333333333</v>
      </c>
      <c r="M15" s="151">
        <v>129076</v>
      </c>
      <c r="N15" s="152" t="s">
        <v>238</v>
      </c>
      <c r="O15" s="157" t="s">
        <v>51</v>
      </c>
      <c r="P15" s="187">
        <f>IF(D15=Inputs!F$2,Inputs!I$2,IF(D15=Inputs!F$3,Inputs!I$3,IF(D15=Inputs!F$4,Inputs!I$4,IF(D15=Inputs!F$5,Inputs!I$5,"NA"))))</f>
        <v>72.892857142857139</v>
      </c>
    </row>
    <row r="16" spans="1:16" x14ac:dyDescent="0.25">
      <c r="A16" s="148">
        <v>10</v>
      </c>
      <c r="B16" s="189">
        <f>Inputs!C$2</f>
        <v>17</v>
      </c>
      <c r="C16" s="151">
        <v>940635</v>
      </c>
      <c r="D16" s="188" t="s">
        <v>183</v>
      </c>
      <c r="E16" s="148">
        <v>60</v>
      </c>
      <c r="F16" s="188" t="s">
        <v>120</v>
      </c>
      <c r="G16" s="188"/>
      <c r="H16" s="191" t="s">
        <v>220</v>
      </c>
      <c r="I16" s="210">
        <f t="shared" si="0"/>
        <v>1543</v>
      </c>
      <c r="J16" s="189">
        <f t="shared" si="2"/>
        <v>203</v>
      </c>
      <c r="K16" s="151">
        <v>1746</v>
      </c>
      <c r="L16" s="211">
        <f t="shared" si="1"/>
        <v>25.716666666666665</v>
      </c>
      <c r="M16" s="151">
        <v>129076</v>
      </c>
      <c r="N16" s="152" t="s">
        <v>238</v>
      </c>
      <c r="O16" s="157" t="s">
        <v>51</v>
      </c>
      <c r="P16" s="187">
        <f>IF(D16=Inputs!F$2,Inputs!I$2,IF(D16=Inputs!F$3,Inputs!I$3,IF(D16=Inputs!F$4,Inputs!I$4,IF(D16=Inputs!F$5,Inputs!I$5,"NA"))))</f>
        <v>72.892857142857139</v>
      </c>
    </row>
    <row r="17" spans="1:16" x14ac:dyDescent="0.25">
      <c r="A17" s="148">
        <v>11</v>
      </c>
      <c r="B17" s="189">
        <f>Inputs!C$2</f>
        <v>17</v>
      </c>
      <c r="C17" s="151">
        <v>940636</v>
      </c>
      <c r="D17" s="188" t="s">
        <v>183</v>
      </c>
      <c r="E17" s="148">
        <v>60</v>
      </c>
      <c r="F17" s="188" t="s">
        <v>120</v>
      </c>
      <c r="G17" s="188"/>
      <c r="H17" s="191" t="s">
        <v>220</v>
      </c>
      <c r="I17" s="210">
        <f t="shared" si="0"/>
        <v>1521</v>
      </c>
      <c r="J17" s="189">
        <f t="shared" si="2"/>
        <v>203</v>
      </c>
      <c r="K17" s="151">
        <v>1724</v>
      </c>
      <c r="L17" s="211">
        <f t="shared" si="1"/>
        <v>25.35</v>
      </c>
      <c r="M17" s="151">
        <v>129076</v>
      </c>
      <c r="N17" s="152" t="s">
        <v>238</v>
      </c>
      <c r="O17" s="157" t="s">
        <v>237</v>
      </c>
      <c r="P17" s="187">
        <f>IF(D17=Inputs!F$2,Inputs!I$2,IF(D17=Inputs!F$3,Inputs!I$3,IF(D17=Inputs!F$4,Inputs!I$4,IF(D17=Inputs!F$5,Inputs!I$5,"NA"))))</f>
        <v>72.892857142857139</v>
      </c>
    </row>
    <row r="18" spans="1:16" x14ac:dyDescent="0.25">
      <c r="A18" s="148">
        <v>12</v>
      </c>
      <c r="B18" s="189">
        <f>Inputs!C$2</f>
        <v>17</v>
      </c>
      <c r="C18" s="151">
        <v>940637</v>
      </c>
      <c r="D18" s="188" t="s">
        <v>9</v>
      </c>
      <c r="E18" s="148">
        <v>60</v>
      </c>
      <c r="F18" s="188"/>
      <c r="G18" s="188" t="s">
        <v>13</v>
      </c>
      <c r="H18" s="191" t="s">
        <v>220</v>
      </c>
      <c r="I18" s="210" t="str">
        <f t="shared" si="0"/>
        <v>NA</v>
      </c>
      <c r="J18" s="189">
        <f t="shared" si="2"/>
        <v>203</v>
      </c>
      <c r="K18" s="151"/>
      <c r="L18" s="211" t="str">
        <f t="shared" si="1"/>
        <v>NA</v>
      </c>
      <c r="M18" s="151">
        <v>129076</v>
      </c>
      <c r="N18" s="152" t="s">
        <v>238</v>
      </c>
      <c r="O18" s="157" t="s">
        <v>13</v>
      </c>
      <c r="P18" s="187" t="str">
        <f>IF(D18=Inputs!F$2,Inputs!I$2,IF(D18=Inputs!F$3,Inputs!I$3,IF(D18=Inputs!F$4,Inputs!I$4,IF(D18=Inputs!F$5,Inputs!I$5,"NA"))))</f>
        <v>NA</v>
      </c>
    </row>
    <row r="19" spans="1:16" x14ac:dyDescent="0.25">
      <c r="A19" s="148">
        <v>13</v>
      </c>
      <c r="B19" s="189">
        <f>Inputs!C$2</f>
        <v>17</v>
      </c>
      <c r="C19" s="151">
        <v>940638</v>
      </c>
      <c r="D19" s="188" t="s">
        <v>9</v>
      </c>
      <c r="E19" s="148">
        <v>60</v>
      </c>
      <c r="F19" s="188"/>
      <c r="G19" s="188" t="s">
        <v>13</v>
      </c>
      <c r="H19" s="191" t="s">
        <v>220</v>
      </c>
      <c r="I19" s="210" t="str">
        <f t="shared" si="0"/>
        <v>NA</v>
      </c>
      <c r="J19" s="189">
        <f t="shared" si="2"/>
        <v>203</v>
      </c>
      <c r="K19" s="151"/>
      <c r="L19" s="211" t="str">
        <f t="shared" si="1"/>
        <v>NA</v>
      </c>
      <c r="M19" s="151">
        <v>129076</v>
      </c>
      <c r="N19" s="152" t="s">
        <v>238</v>
      </c>
      <c r="O19" s="157" t="s">
        <v>13</v>
      </c>
      <c r="P19" s="187" t="str">
        <f>IF(D19=Inputs!F$2,Inputs!I$2,IF(D19=Inputs!F$3,Inputs!I$3,IF(D19=Inputs!F$4,Inputs!I$4,IF(D19=Inputs!F$5,Inputs!I$5,"NA"))))</f>
        <v>NA</v>
      </c>
    </row>
    <row r="20" spans="1:16" x14ac:dyDescent="0.25">
      <c r="A20" s="148">
        <v>14</v>
      </c>
      <c r="B20" s="189">
        <f>Inputs!C$2</f>
        <v>17</v>
      </c>
      <c r="C20" s="151">
        <v>940639</v>
      </c>
      <c r="D20" s="188" t="s">
        <v>181</v>
      </c>
      <c r="E20" s="148">
        <v>60</v>
      </c>
      <c r="F20" s="188" t="s">
        <v>120</v>
      </c>
      <c r="G20" s="188"/>
      <c r="H20" s="191" t="s">
        <v>220</v>
      </c>
      <c r="I20" s="210">
        <f t="shared" si="0"/>
        <v>1399</v>
      </c>
      <c r="J20" s="189">
        <f t="shared" si="2"/>
        <v>203</v>
      </c>
      <c r="K20" s="151">
        <v>1602</v>
      </c>
      <c r="L20" s="211">
        <f t="shared" si="1"/>
        <v>23.316666666666666</v>
      </c>
      <c r="M20" s="151">
        <v>129076</v>
      </c>
      <c r="N20" s="152" t="s">
        <v>238</v>
      </c>
      <c r="O20" s="157" t="s">
        <v>237</v>
      </c>
      <c r="P20" s="187">
        <f>IF(D20=Inputs!F$2,Inputs!I$2,IF(D20=Inputs!F$3,Inputs!I$3,IF(D20=Inputs!F$4,Inputs!I$4,IF(D20=Inputs!F$5,Inputs!I$5,"NA"))))</f>
        <v>28.892857142857142</v>
      </c>
    </row>
    <row r="21" spans="1:16" x14ac:dyDescent="0.25">
      <c r="A21" s="148">
        <v>15</v>
      </c>
      <c r="B21" s="189">
        <f>Inputs!C$2</f>
        <v>17</v>
      </c>
      <c r="C21" s="151">
        <v>940640</v>
      </c>
      <c r="D21" s="188" t="s">
        <v>183</v>
      </c>
      <c r="E21" s="148">
        <v>60</v>
      </c>
      <c r="F21" s="188" t="s">
        <v>120</v>
      </c>
      <c r="G21" s="188"/>
      <c r="H21" s="191" t="s">
        <v>220</v>
      </c>
      <c r="I21" s="210">
        <f t="shared" si="0"/>
        <v>1553</v>
      </c>
      <c r="J21" s="189">
        <f t="shared" si="2"/>
        <v>203</v>
      </c>
      <c r="K21" s="151">
        <v>1756</v>
      </c>
      <c r="L21" s="211">
        <f t="shared" si="1"/>
        <v>25.883333333333333</v>
      </c>
      <c r="M21" s="151">
        <v>129076</v>
      </c>
      <c r="N21" s="152" t="s">
        <v>238</v>
      </c>
      <c r="O21" s="157" t="s">
        <v>51</v>
      </c>
      <c r="P21" s="187">
        <f>IF(D21=Inputs!F$2,Inputs!I$2,IF(D21=Inputs!F$3,Inputs!I$3,IF(D21=Inputs!F$4,Inputs!I$4,IF(D21=Inputs!F$5,Inputs!I$5,"NA"))))</f>
        <v>72.892857142857139</v>
      </c>
    </row>
    <row r="22" spans="1:16" x14ac:dyDescent="0.25">
      <c r="A22" s="148">
        <v>16</v>
      </c>
      <c r="B22" s="189">
        <f>Inputs!C$2</f>
        <v>17</v>
      </c>
      <c r="C22" s="151">
        <v>940641</v>
      </c>
      <c r="D22" s="188" t="s">
        <v>183</v>
      </c>
      <c r="E22" s="148">
        <v>60</v>
      </c>
      <c r="F22" s="188" t="s">
        <v>120</v>
      </c>
      <c r="G22" s="188"/>
      <c r="H22" s="191" t="s">
        <v>220</v>
      </c>
      <c r="I22" s="210">
        <f t="shared" si="0"/>
        <v>1541</v>
      </c>
      <c r="J22" s="189">
        <f t="shared" si="2"/>
        <v>203</v>
      </c>
      <c r="K22" s="235">
        <v>1744</v>
      </c>
      <c r="L22" s="211">
        <f t="shared" si="1"/>
        <v>25.683333333333334</v>
      </c>
      <c r="M22" s="151">
        <v>129076</v>
      </c>
      <c r="N22" s="152" t="s">
        <v>238</v>
      </c>
      <c r="O22" s="157" t="s">
        <v>237</v>
      </c>
      <c r="P22" s="187">
        <f>IF(D22=Inputs!F$2,Inputs!I$2,IF(D22=Inputs!F$3,Inputs!I$3,IF(D22=Inputs!F$4,Inputs!I$4,IF(D22=Inputs!F$5,Inputs!I$5,"NA"))))</f>
        <v>72.892857142857139</v>
      </c>
    </row>
    <row r="23" spans="1:16" x14ac:dyDescent="0.25">
      <c r="A23" s="148">
        <v>17</v>
      </c>
      <c r="B23" s="189">
        <f>Inputs!C$2</f>
        <v>17</v>
      </c>
      <c r="C23" s="151"/>
      <c r="D23" s="188"/>
      <c r="E23" s="148">
        <v>60</v>
      </c>
      <c r="F23" s="188"/>
      <c r="G23" s="188"/>
      <c r="H23" s="191"/>
      <c r="I23" s="210" t="str">
        <f t="shared" si="0"/>
        <v>NA</v>
      </c>
      <c r="J23" s="189">
        <f t="shared" si="2"/>
        <v>0</v>
      </c>
      <c r="K23" s="151"/>
      <c r="L23" s="211" t="str">
        <f t="shared" si="1"/>
        <v>NA</v>
      </c>
      <c r="M23" s="151"/>
      <c r="N23" s="152"/>
      <c r="O23" s="157"/>
      <c r="P23" s="187" t="str">
        <f>IF(D23=Inputs!F$2,Inputs!I$2,IF(D23=Inputs!F$3,Inputs!I$3,IF(D23=Inputs!F$4,Inputs!I$4,IF(D23=Inputs!F$5,Inputs!I$5,"NA"))))</f>
        <v>NA</v>
      </c>
    </row>
    <row r="24" spans="1:16" x14ac:dyDescent="0.25">
      <c r="A24" s="148">
        <v>18</v>
      </c>
      <c r="B24" s="189">
        <f>Inputs!C$2</f>
        <v>17</v>
      </c>
      <c r="C24" s="151"/>
      <c r="D24" s="188"/>
      <c r="E24" s="148">
        <v>60</v>
      </c>
      <c r="F24" s="188"/>
      <c r="G24" s="188"/>
      <c r="H24" s="191"/>
      <c r="I24" s="210" t="str">
        <f t="shared" si="0"/>
        <v>NA</v>
      </c>
      <c r="J24" s="189">
        <f t="shared" si="2"/>
        <v>0</v>
      </c>
      <c r="K24" s="151"/>
      <c r="L24" s="211" t="str">
        <f t="shared" si="1"/>
        <v>NA</v>
      </c>
      <c r="M24" s="151"/>
      <c r="N24" s="152"/>
      <c r="O24" s="157"/>
      <c r="P24" s="187" t="str">
        <f>IF(D24=Inputs!F$2,Inputs!I$2,IF(D24=Inputs!F$3,Inputs!I$3,IF(D24=Inputs!F$4,Inputs!I$4,IF(D24=Inputs!F$5,Inputs!I$5,"NA"))))</f>
        <v>NA</v>
      </c>
    </row>
    <row r="25" spans="1:16" x14ac:dyDescent="0.25">
      <c r="A25" s="148">
        <v>19</v>
      </c>
      <c r="B25" s="189">
        <f>Inputs!C$2</f>
        <v>17</v>
      </c>
      <c r="C25" s="151"/>
      <c r="D25" s="188"/>
      <c r="E25" s="148">
        <v>60</v>
      </c>
      <c r="F25" s="188"/>
      <c r="G25" s="188"/>
      <c r="H25" s="191"/>
      <c r="I25" s="210" t="str">
        <f t="shared" si="0"/>
        <v>NA</v>
      </c>
      <c r="J25" s="189">
        <f t="shared" si="2"/>
        <v>0</v>
      </c>
      <c r="K25" s="151"/>
      <c r="L25" s="211" t="str">
        <f t="shared" si="1"/>
        <v>NA</v>
      </c>
      <c r="M25" s="151"/>
      <c r="N25" s="152"/>
      <c r="O25" s="157"/>
      <c r="P25" s="187" t="str">
        <f>IF(D25=Inputs!F$2,Inputs!I$2,IF(D25=Inputs!F$3,Inputs!I$3,IF(D25=Inputs!F$4,Inputs!I$4,IF(D25=Inputs!F$5,Inputs!I$5,"NA"))))</f>
        <v>NA</v>
      </c>
    </row>
    <row r="26" spans="1:16" x14ac:dyDescent="0.25">
      <c r="A26" s="148">
        <v>20</v>
      </c>
      <c r="B26" s="189">
        <f>Inputs!C$2</f>
        <v>17</v>
      </c>
      <c r="C26" s="151"/>
      <c r="D26" s="188"/>
      <c r="E26" s="148">
        <v>60</v>
      </c>
      <c r="F26" s="188"/>
      <c r="G26" s="188"/>
      <c r="H26" s="191"/>
      <c r="I26" s="210" t="str">
        <f t="shared" si="0"/>
        <v>NA</v>
      </c>
      <c r="J26" s="189">
        <f t="shared" si="2"/>
        <v>0</v>
      </c>
      <c r="K26" s="151"/>
      <c r="L26" s="211" t="str">
        <f t="shared" si="1"/>
        <v>NA</v>
      </c>
      <c r="M26" s="151"/>
      <c r="N26" s="152"/>
      <c r="O26" s="157"/>
      <c r="P26" s="187" t="str">
        <f>IF(D26=Inputs!F$2,Inputs!I$2,IF(D26=Inputs!F$3,Inputs!I$3,IF(D26=Inputs!F$4,Inputs!I$4,IF(D26=Inputs!F$5,Inputs!I$5,"NA"))))</f>
        <v>NA</v>
      </c>
    </row>
    <row r="27" spans="1:16" x14ac:dyDescent="0.25">
      <c r="A27" s="148">
        <v>21</v>
      </c>
      <c r="B27" s="189">
        <f>Inputs!C$2</f>
        <v>17</v>
      </c>
      <c r="C27" s="151"/>
      <c r="D27" s="188"/>
      <c r="E27" s="148">
        <v>60</v>
      </c>
      <c r="F27" s="188"/>
      <c r="G27" s="188"/>
      <c r="H27" s="191"/>
      <c r="I27" s="210" t="str">
        <f t="shared" si="0"/>
        <v>NA</v>
      </c>
      <c r="J27" s="189">
        <f t="shared" si="2"/>
        <v>0</v>
      </c>
      <c r="K27" s="151"/>
      <c r="L27" s="211" t="str">
        <f t="shared" si="1"/>
        <v>NA</v>
      </c>
      <c r="M27" s="151"/>
      <c r="N27" s="152"/>
      <c r="O27" s="157"/>
      <c r="P27" s="187" t="str">
        <f>IF(D27=Inputs!F$2,Inputs!I$2,IF(D27=Inputs!F$3,Inputs!I$3,IF(D27=Inputs!F$4,Inputs!I$4,IF(D27=Inputs!F$5,Inputs!I$5,"NA"))))</f>
        <v>NA</v>
      </c>
    </row>
    <row r="28" spans="1:16" x14ac:dyDescent="0.25">
      <c r="A28" s="148">
        <v>22</v>
      </c>
      <c r="B28" s="189">
        <f>Inputs!C$2</f>
        <v>17</v>
      </c>
      <c r="C28" s="151"/>
      <c r="D28" s="188"/>
      <c r="E28" s="148">
        <v>60</v>
      </c>
      <c r="F28" s="188"/>
      <c r="G28" s="188"/>
      <c r="H28" s="191"/>
      <c r="I28" s="210" t="str">
        <f t="shared" si="0"/>
        <v>NA</v>
      </c>
      <c r="J28" s="189">
        <f t="shared" si="2"/>
        <v>0</v>
      </c>
      <c r="K28" s="151"/>
      <c r="L28" s="211" t="str">
        <f t="shared" si="1"/>
        <v>NA</v>
      </c>
      <c r="M28" s="151"/>
      <c r="N28" s="152"/>
      <c r="O28" s="157"/>
      <c r="P28" s="187" t="str">
        <f>IF(D28=Inputs!F$2,Inputs!I$2,IF(D28=Inputs!F$3,Inputs!I$3,IF(D28=Inputs!F$4,Inputs!I$4,IF(D28=Inputs!F$5,Inputs!I$5,"NA"))))</f>
        <v>NA</v>
      </c>
    </row>
    <row r="29" spans="1:16" x14ac:dyDescent="0.25">
      <c r="A29" s="148">
        <v>23</v>
      </c>
      <c r="B29" s="189">
        <f>Inputs!C$2</f>
        <v>17</v>
      </c>
      <c r="C29" s="151"/>
      <c r="D29" s="188"/>
      <c r="E29" s="148">
        <v>60</v>
      </c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IF(D29=Inputs!F$2,Inputs!I$2,IF(D29=Inputs!F$3,Inputs!I$3,IF(D29=Inputs!F$4,Inputs!I$4,IF(D29=Inputs!F$5,Inputs!I$5,"NA"))))</f>
        <v>NA</v>
      </c>
    </row>
    <row r="30" spans="1:16" x14ac:dyDescent="0.25">
      <c r="A30" s="148">
        <v>24</v>
      </c>
      <c r="B30" s="189">
        <f>Inputs!C$2</f>
        <v>17</v>
      </c>
      <c r="C30" s="151"/>
      <c r="D30" s="188"/>
      <c r="E30" s="148">
        <v>60</v>
      </c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IF(D30=Inputs!F$2,Inputs!I$2,IF(D30=Inputs!F$3,Inputs!I$3,IF(D30=Inputs!F$4,Inputs!I$4,IF(D30=Inputs!F$5,Inputs!I$5,"NA"))))</f>
        <v>NA</v>
      </c>
    </row>
    <row r="31" spans="1:16" x14ac:dyDescent="0.25">
      <c r="A31" s="148">
        <v>25</v>
      </c>
      <c r="B31" s="189">
        <f>Inputs!C$2</f>
        <v>17</v>
      </c>
      <c r="C31" s="151"/>
      <c r="D31" s="188"/>
      <c r="E31" s="148">
        <v>60</v>
      </c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IF(D31=Inputs!F$2,Inputs!I$2,IF(D31=Inputs!F$3,Inputs!I$3,IF(D31=Inputs!F$4,Inputs!I$4,IF(D31=Inputs!F$5,Inputs!I$5,"NA"))))</f>
        <v>NA</v>
      </c>
    </row>
    <row r="32" spans="1:16" x14ac:dyDescent="0.25">
      <c r="A32" s="148">
        <v>26</v>
      </c>
      <c r="B32" s="189">
        <f>Inputs!C$2</f>
        <v>17</v>
      </c>
      <c r="C32" s="151"/>
      <c r="D32" s="188"/>
      <c r="E32" s="148">
        <v>60</v>
      </c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IF(D32=Inputs!F$2,Inputs!I$2,IF(D32=Inputs!F$3,Inputs!I$3,IF(D32=Inputs!F$4,Inputs!I$4,IF(D32=Inputs!F$5,Inputs!I$5,"NA"))))</f>
        <v>NA</v>
      </c>
    </row>
    <row r="33" spans="1:16" x14ac:dyDescent="0.25">
      <c r="A33" s="148">
        <v>27</v>
      </c>
      <c r="B33" s="189">
        <f>Inputs!C$2</f>
        <v>17</v>
      </c>
      <c r="C33" s="151"/>
      <c r="D33" s="188"/>
      <c r="E33" s="148">
        <v>60</v>
      </c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IF(D33=Inputs!F$2,Inputs!I$2,IF(D33=Inputs!F$3,Inputs!I$3,IF(D33=Inputs!F$4,Inputs!I$4,IF(D33=Inputs!F$5,Inputs!I$5,"NA"))))</f>
        <v>NA</v>
      </c>
    </row>
    <row r="34" spans="1:16" x14ac:dyDescent="0.25">
      <c r="A34" s="148">
        <v>28</v>
      </c>
      <c r="B34" s="189">
        <f>Inputs!C$2</f>
        <v>17</v>
      </c>
      <c r="C34" s="151"/>
      <c r="D34" s="188"/>
      <c r="E34" s="148">
        <v>60</v>
      </c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IF(D34=Inputs!F$2,Inputs!I$2,IF(D34=Inputs!F$3,Inputs!I$3,IF(D34=Inputs!F$4,Inputs!I$4,IF(D34=Inputs!F$5,Inputs!I$5,"NA"))))</f>
        <v>NA</v>
      </c>
    </row>
    <row r="35" spans="1:16" x14ac:dyDescent="0.25">
      <c r="A35" s="148">
        <v>29</v>
      </c>
      <c r="B35" s="189">
        <f>Inputs!C$2</f>
        <v>17</v>
      </c>
      <c r="C35" s="151"/>
      <c r="D35" s="188"/>
      <c r="E35" s="148">
        <v>60</v>
      </c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IF(D35=Inputs!F$2,Inputs!I$2,IF(D35=Inputs!F$3,Inputs!I$3,IF(D35=Inputs!F$4,Inputs!I$4,IF(D35=Inputs!F$5,Inputs!I$5,"NA"))))</f>
        <v>NA</v>
      </c>
    </row>
    <row r="36" spans="1:16" x14ac:dyDescent="0.25">
      <c r="A36" s="148">
        <v>30</v>
      </c>
      <c r="B36" s="189">
        <f>Inputs!C$2</f>
        <v>17</v>
      </c>
      <c r="C36" s="151"/>
      <c r="D36" s="188"/>
      <c r="E36" s="148">
        <v>60</v>
      </c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IF(D36=Inputs!F$2,Inputs!I$2,IF(D36=Inputs!F$3,Inputs!I$3,IF(D36=Inputs!F$4,Inputs!I$4,IF(D36=Inputs!F$5,Inputs!I$5,"NA"))))</f>
        <v>NA</v>
      </c>
    </row>
    <row r="37" spans="1:16" x14ac:dyDescent="0.25">
      <c r="A37" s="148">
        <v>31</v>
      </c>
      <c r="B37" s="189">
        <f>Inputs!C$2</f>
        <v>17</v>
      </c>
      <c r="C37" s="151"/>
      <c r="D37" s="188"/>
      <c r="E37" s="148"/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 x14ac:dyDescent="0.25">
      <c r="A38" s="148">
        <v>32</v>
      </c>
      <c r="B38" s="189">
        <f>Inputs!C$2</f>
        <v>17</v>
      </c>
      <c r="C38" s="151"/>
      <c r="D38" s="188"/>
      <c r="E38" s="148"/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 x14ac:dyDescent="0.25">
      <c r="A39" s="148">
        <v>33</v>
      </c>
      <c r="B39" s="189">
        <f>Inputs!C$2</f>
        <v>17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25">
      <c r="A40" s="148">
        <v>34</v>
      </c>
      <c r="B40" s="189">
        <f>Inputs!C$2</f>
        <v>17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25">
      <c r="A41" s="148">
        <v>35</v>
      </c>
      <c r="B41" s="189">
        <f>Inputs!C$2</f>
        <v>17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25">
      <c r="A42" s="148">
        <v>36</v>
      </c>
      <c r="B42" s="189">
        <f>Inputs!C$2</f>
        <v>17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25">
      <c r="A43" s="148">
        <v>37</v>
      </c>
      <c r="B43" s="189">
        <f>Inputs!C$2</f>
        <v>17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25">
      <c r="A44" s="148">
        <v>38</v>
      </c>
      <c r="B44" s="189">
        <f>Inputs!C$2</f>
        <v>17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25">
      <c r="A45" s="148">
        <v>39</v>
      </c>
      <c r="B45" s="189">
        <f>Inputs!C$2</f>
        <v>17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25">
      <c r="A46" s="148">
        <v>40</v>
      </c>
      <c r="B46" s="189">
        <f>Inputs!C$2</f>
        <v>17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25">
      <c r="A47" s="148">
        <v>41</v>
      </c>
      <c r="B47" s="189">
        <f>Inputs!C$2</f>
        <v>17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25">
      <c r="A48" s="148">
        <v>42</v>
      </c>
      <c r="B48" s="189">
        <f>Inputs!C$2</f>
        <v>17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25">
      <c r="A49" s="148">
        <v>43</v>
      </c>
      <c r="B49" s="189">
        <f>Inputs!C$2</f>
        <v>17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25">
      <c r="A50" s="148">
        <v>44</v>
      </c>
      <c r="B50" s="189">
        <f>Inputs!C$2</f>
        <v>17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25">
      <c r="A51" s="148">
        <v>45</v>
      </c>
      <c r="B51" s="189">
        <f>Inputs!C$2</f>
        <v>17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25">
      <c r="A52" s="148">
        <v>46</v>
      </c>
      <c r="B52" s="189">
        <f>Inputs!C$2</f>
        <v>17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25">
      <c r="A53" s="148">
        <v>47</v>
      </c>
      <c r="B53" s="189">
        <f>Inputs!C$2</f>
        <v>17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25">
      <c r="A54" s="148">
        <v>48</v>
      </c>
      <c r="B54" s="189">
        <f>Inputs!C$2</f>
        <v>17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25">
      <c r="A55" s="148">
        <v>49</v>
      </c>
      <c r="B55" s="189">
        <f>Inputs!C$2</f>
        <v>17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25">
      <c r="A56" s="148">
        <v>50</v>
      </c>
      <c r="B56" s="189">
        <f>Inputs!C$2</f>
        <v>17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25">
      <c r="A57" s="148">
        <v>51</v>
      </c>
      <c r="B57" s="189">
        <f>Inputs!C$2</f>
        <v>17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25">
      <c r="A58" s="148">
        <v>52</v>
      </c>
      <c r="B58" s="189">
        <f>Inputs!C$2</f>
        <v>17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25">
      <c r="A59" s="148">
        <v>53</v>
      </c>
      <c r="B59" s="189">
        <f>Inputs!C$2</f>
        <v>17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25">
      <c r="A60" s="148">
        <v>54</v>
      </c>
      <c r="B60" s="189">
        <f>Inputs!C$2</f>
        <v>17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25">
      <c r="A61" s="148">
        <v>55</v>
      </c>
      <c r="B61" s="189">
        <f>Inputs!C$2</f>
        <v>17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25">
      <c r="A62" s="148">
        <v>56</v>
      </c>
      <c r="B62" s="189">
        <f>Inputs!C$2</f>
        <v>17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25">
      <c r="A63" s="148">
        <v>57</v>
      </c>
      <c r="B63" s="189">
        <f>Inputs!C$2</f>
        <v>17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25">
      <c r="A64" s="148">
        <v>58</v>
      </c>
      <c r="B64" s="189">
        <f>Inputs!C$2</f>
        <v>17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25">
      <c r="A65" s="148">
        <v>59</v>
      </c>
      <c r="B65" s="189">
        <f>Inputs!C$2</f>
        <v>17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25">
      <c r="A66" s="148">
        <v>60</v>
      </c>
      <c r="B66" s="189">
        <f>Inputs!C$2</f>
        <v>17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25">
      <c r="A67" s="148">
        <v>61</v>
      </c>
      <c r="B67" s="189">
        <f>Inputs!C$2</f>
        <v>17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25">
      <c r="A68" s="148">
        <v>62</v>
      </c>
      <c r="B68" s="189">
        <f>Inputs!C$2</f>
        <v>17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25">
      <c r="A69" s="148">
        <v>63</v>
      </c>
      <c r="B69" s="189">
        <f>Inputs!C$2</f>
        <v>17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25">
      <c r="A70" s="148">
        <v>64</v>
      </c>
      <c r="B70" s="189">
        <f>Inputs!C$2</f>
        <v>17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25">
      <c r="A71" s="148">
        <v>65</v>
      </c>
      <c r="B71" s="189">
        <f>Inputs!C$2</f>
        <v>17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25">
      <c r="A72" s="148">
        <v>66</v>
      </c>
      <c r="B72" s="189">
        <f>Inputs!C$2</f>
        <v>17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25">
      <c r="A73" s="148">
        <v>67</v>
      </c>
      <c r="B73" s="189">
        <f>Inputs!C$2</f>
        <v>17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25">
      <c r="A74" s="148">
        <v>68</v>
      </c>
      <c r="B74" s="189">
        <f>Inputs!C$2</f>
        <v>17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25">
      <c r="A75" s="148">
        <v>69</v>
      </c>
      <c r="B75" s="189">
        <f>Inputs!C$2</f>
        <v>17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25">
      <c r="A76" s="148">
        <v>70</v>
      </c>
      <c r="B76" s="189">
        <f>Inputs!C$2</f>
        <v>17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25">
      <c r="A77" s="148">
        <v>71</v>
      </c>
      <c r="B77" s="189">
        <f>Inputs!C$2</f>
        <v>17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25">
      <c r="A78" s="148">
        <v>72</v>
      </c>
      <c r="B78" s="189">
        <f>Inputs!C$2</f>
        <v>17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25">
      <c r="A79" s="148">
        <v>73</v>
      </c>
      <c r="B79" s="189">
        <f>Inputs!C$2</f>
        <v>17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25">
      <c r="A80" s="148">
        <v>74</v>
      </c>
      <c r="B80" s="189">
        <f>Inputs!C$2</f>
        <v>17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25">
      <c r="A81" s="148">
        <v>75</v>
      </c>
      <c r="B81" s="189">
        <f>Inputs!C$2</f>
        <v>17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25">
      <c r="A82" s="148">
        <v>76</v>
      </c>
      <c r="B82" s="189">
        <f>Inputs!C$2</f>
        <v>17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view="pageLayout" zoomScaleNormal="100" workbookViewId="0">
      <selection activeCell="J16" sqref="J16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" customWidth="1"/>
    <col min="9" max="9" width="7.42578125" customWidth="1"/>
    <col min="10" max="11" width="7.140625" customWidth="1"/>
    <col min="12" max="12" width="7" customWidth="1"/>
  </cols>
  <sheetData>
    <row r="1" spans="1:12" x14ac:dyDescent="0.2">
      <c r="B1" s="170" t="s">
        <v>211</v>
      </c>
      <c r="C1" s="168">
        <v>2025</v>
      </c>
      <c r="G1" s="166" t="s">
        <v>218</v>
      </c>
      <c r="I1" s="166" t="s">
        <v>219</v>
      </c>
      <c r="J1" s="166" t="s">
        <v>235</v>
      </c>
      <c r="K1" s="166" t="s">
        <v>222</v>
      </c>
    </row>
    <row r="2" spans="1:12" x14ac:dyDescent="0.2">
      <c r="B2" s="24" t="s">
        <v>101</v>
      </c>
      <c r="C2" s="168">
        <v>17</v>
      </c>
      <c r="F2" s="166" t="s">
        <v>183</v>
      </c>
      <c r="G2" s="186">
        <v>45264</v>
      </c>
      <c r="I2" s="205">
        <f>(C$3-G2)/7</f>
        <v>72.892857142857139</v>
      </c>
      <c r="J2" s="230">
        <f>I2-19</f>
        <v>53.892857142857139</v>
      </c>
      <c r="K2" s="166" t="s">
        <v>220</v>
      </c>
      <c r="L2">
        <v>203</v>
      </c>
    </row>
    <row r="3" spans="1:12" x14ac:dyDescent="0.2">
      <c r="B3" s="170" t="s">
        <v>210</v>
      </c>
      <c r="C3" s="246">
        <f>C2*7+(C1-1900)*365.25-1</f>
        <v>45774.25</v>
      </c>
      <c r="D3" s="247"/>
      <c r="F3" s="166" t="s">
        <v>7</v>
      </c>
      <c r="G3" s="186">
        <v>45390</v>
      </c>
      <c r="I3" s="205">
        <f>(C$3-G3)/7</f>
        <v>54.892857142857146</v>
      </c>
      <c r="J3" s="230">
        <f>I3-19</f>
        <v>35.892857142857146</v>
      </c>
      <c r="K3" s="166" t="s">
        <v>221</v>
      </c>
      <c r="L3">
        <v>192</v>
      </c>
    </row>
    <row r="4" spans="1:12" x14ac:dyDescent="0.2">
      <c r="F4" s="166" t="s">
        <v>181</v>
      </c>
      <c r="G4" s="186">
        <v>45572</v>
      </c>
      <c r="I4" s="205">
        <f>(C$3-G4)/7</f>
        <v>28.892857142857142</v>
      </c>
      <c r="J4" s="230">
        <f>I4-19</f>
        <v>9.8928571428571423</v>
      </c>
    </row>
    <row r="5" spans="1:12" x14ac:dyDescent="0.2">
      <c r="A5" s="166" t="s">
        <v>223</v>
      </c>
      <c r="B5" s="248" t="s">
        <v>236</v>
      </c>
      <c r="C5" s="248"/>
      <c r="F5" s="166" t="s">
        <v>5</v>
      </c>
      <c r="G5" s="186">
        <v>45449</v>
      </c>
      <c r="I5" s="205">
        <f>(C$3-G5)/7</f>
        <v>46.464285714285715</v>
      </c>
      <c r="J5" s="230">
        <f>I5-19</f>
        <v>27.464285714285715</v>
      </c>
    </row>
    <row r="6" spans="1:12" ht="6.75" customHeight="1" x14ac:dyDescent="0.2"/>
    <row r="7" spans="1:12" x14ac:dyDescent="0.2">
      <c r="A7" s="169" t="s">
        <v>196</v>
      </c>
    </row>
    <row r="8" spans="1:12" x14ac:dyDescent="0.2">
      <c r="A8" s="167" t="s">
        <v>189</v>
      </c>
      <c r="E8" s="167" t="s">
        <v>190</v>
      </c>
    </row>
    <row r="9" spans="1:12" x14ac:dyDescent="0.2">
      <c r="A9" s="139" t="s">
        <v>188</v>
      </c>
      <c r="B9" s="139" t="s">
        <v>51</v>
      </c>
      <c r="C9" s="139" t="s">
        <v>52</v>
      </c>
      <c r="E9" s="139" t="s">
        <v>188</v>
      </c>
      <c r="F9" s="139" t="s">
        <v>51</v>
      </c>
      <c r="G9" s="139" t="s">
        <v>52</v>
      </c>
    </row>
    <row r="10" spans="1:12" x14ac:dyDescent="0.2">
      <c r="A10" s="139">
        <v>3</v>
      </c>
      <c r="B10" s="237">
        <v>90</v>
      </c>
      <c r="C10" s="168">
        <v>10</v>
      </c>
      <c r="E10" s="139">
        <v>3</v>
      </c>
      <c r="F10" s="168">
        <v>112</v>
      </c>
      <c r="G10" s="168">
        <v>13</v>
      </c>
    </row>
    <row r="11" spans="1:12" x14ac:dyDescent="0.2">
      <c r="A11" s="139">
        <v>6</v>
      </c>
      <c r="B11" s="168">
        <v>205</v>
      </c>
      <c r="C11" s="165"/>
      <c r="E11" s="139">
        <v>6</v>
      </c>
      <c r="F11" s="168">
        <v>221</v>
      </c>
      <c r="G11" s="165"/>
    </row>
    <row r="12" spans="1:12" x14ac:dyDescent="0.2">
      <c r="A12" s="139">
        <v>7</v>
      </c>
      <c r="B12" s="168">
        <v>180</v>
      </c>
      <c r="C12" s="168">
        <v>18</v>
      </c>
      <c r="E12" s="139">
        <v>7</v>
      </c>
      <c r="F12" s="168">
        <v>210</v>
      </c>
      <c r="G12" s="168">
        <v>22</v>
      </c>
    </row>
    <row r="13" spans="1:12" x14ac:dyDescent="0.2">
      <c r="A13" s="139">
        <v>11</v>
      </c>
      <c r="B13" s="168">
        <v>95</v>
      </c>
      <c r="C13" s="165"/>
      <c r="E13" s="139">
        <v>11</v>
      </c>
      <c r="F13" s="168">
        <v>108</v>
      </c>
      <c r="G13" s="165"/>
    </row>
    <row r="14" spans="1:12" x14ac:dyDescent="0.2">
      <c r="A14" s="167" t="s">
        <v>191</v>
      </c>
      <c r="E14" s="167" t="s">
        <v>192</v>
      </c>
    </row>
    <row r="15" spans="1:12" x14ac:dyDescent="0.2">
      <c r="A15" s="139" t="s">
        <v>188</v>
      </c>
      <c r="B15" s="139" t="s">
        <v>51</v>
      </c>
      <c r="C15" s="139" t="s">
        <v>52</v>
      </c>
      <c r="E15" s="139" t="s">
        <v>188</v>
      </c>
      <c r="F15" s="139" t="s">
        <v>51</v>
      </c>
      <c r="G15" s="139" t="s">
        <v>52</v>
      </c>
    </row>
    <row r="16" spans="1:12" x14ac:dyDescent="0.2">
      <c r="A16" s="139">
        <v>3</v>
      </c>
      <c r="B16" s="168">
        <v>106</v>
      </c>
      <c r="C16" s="168">
        <v>10</v>
      </c>
      <c r="E16" s="139">
        <v>3</v>
      </c>
      <c r="F16" s="168">
        <v>106</v>
      </c>
      <c r="G16" s="168">
        <v>11</v>
      </c>
    </row>
    <row r="17" spans="1:11" x14ac:dyDescent="0.2">
      <c r="A17" s="139">
        <v>6</v>
      </c>
      <c r="B17" s="168">
        <v>225</v>
      </c>
      <c r="C17" s="165"/>
      <c r="E17" s="139">
        <v>6</v>
      </c>
      <c r="F17" s="168">
        <v>216</v>
      </c>
      <c r="G17" s="165"/>
    </row>
    <row r="18" spans="1:11" x14ac:dyDescent="0.2">
      <c r="A18" s="139">
        <v>7</v>
      </c>
      <c r="B18" s="168">
        <v>201</v>
      </c>
      <c r="C18" s="168">
        <v>24</v>
      </c>
      <c r="E18" s="139">
        <v>7</v>
      </c>
      <c r="F18" s="168">
        <v>203</v>
      </c>
      <c r="G18" s="168">
        <v>22</v>
      </c>
    </row>
    <row r="19" spans="1:11" x14ac:dyDescent="0.2">
      <c r="A19" s="139">
        <v>11</v>
      </c>
      <c r="B19" s="168">
        <v>117</v>
      </c>
      <c r="C19" s="165"/>
      <c r="E19" s="139">
        <v>11</v>
      </c>
      <c r="F19" s="168">
        <v>108</v>
      </c>
      <c r="G19" s="165"/>
    </row>
    <row r="21" spans="1:11" x14ac:dyDescent="0.2">
      <c r="A21" s="167" t="s">
        <v>193</v>
      </c>
      <c r="E21" s="167" t="s">
        <v>194</v>
      </c>
    </row>
    <row r="22" spans="1:11" x14ac:dyDescent="0.2">
      <c r="A22" s="139" t="s">
        <v>188</v>
      </c>
      <c r="B22" s="139" t="s">
        <v>51</v>
      </c>
      <c r="C22" s="139" t="s">
        <v>52</v>
      </c>
      <c r="E22" s="139" t="s">
        <v>188</v>
      </c>
      <c r="F22" s="139" t="s">
        <v>51</v>
      </c>
      <c r="G22" s="139" t="s">
        <v>52</v>
      </c>
    </row>
    <row r="23" spans="1:11" x14ac:dyDescent="0.2">
      <c r="A23" s="139">
        <v>3</v>
      </c>
      <c r="B23" s="168">
        <v>107</v>
      </c>
      <c r="C23" s="168">
        <v>10</v>
      </c>
      <c r="E23" s="139">
        <v>3</v>
      </c>
      <c r="F23" s="168">
        <v>107</v>
      </c>
      <c r="G23" s="168">
        <v>11</v>
      </c>
    </row>
    <row r="24" spans="1:11" x14ac:dyDescent="0.2">
      <c r="A24" s="139">
        <v>6</v>
      </c>
      <c r="B24" s="168">
        <v>217</v>
      </c>
      <c r="C24" s="165"/>
      <c r="E24" s="139">
        <v>6</v>
      </c>
      <c r="F24" s="168">
        <v>116</v>
      </c>
      <c r="G24" s="165"/>
    </row>
    <row r="25" spans="1:11" x14ac:dyDescent="0.2">
      <c r="A25" s="139">
        <v>7</v>
      </c>
      <c r="B25" s="168">
        <v>204</v>
      </c>
      <c r="C25" s="168">
        <v>22</v>
      </c>
      <c r="E25" s="139">
        <v>7</v>
      </c>
      <c r="F25" s="168">
        <v>204</v>
      </c>
      <c r="G25" s="168">
        <v>23</v>
      </c>
    </row>
    <row r="26" spans="1:11" x14ac:dyDescent="0.2">
      <c r="A26" s="139">
        <v>11</v>
      </c>
      <c r="B26" s="168">
        <v>107</v>
      </c>
      <c r="C26" s="165"/>
      <c r="E26" s="139">
        <v>11</v>
      </c>
      <c r="F26" s="168">
        <v>110</v>
      </c>
      <c r="G26" s="165"/>
    </row>
    <row r="27" spans="1:11" x14ac:dyDescent="0.2">
      <c r="A27" s="167" t="s">
        <v>195</v>
      </c>
      <c r="E27" s="167" t="s">
        <v>197</v>
      </c>
      <c r="I27" s="167" t="s">
        <v>198</v>
      </c>
    </row>
    <row r="28" spans="1:11" x14ac:dyDescent="0.2">
      <c r="A28" s="139" t="s">
        <v>188</v>
      </c>
      <c r="B28" s="139" t="s">
        <v>51</v>
      </c>
      <c r="C28" s="139" t="s">
        <v>52</v>
      </c>
      <c r="E28" s="139" t="s">
        <v>188</v>
      </c>
      <c r="F28" s="139" t="s">
        <v>51</v>
      </c>
      <c r="G28" s="139" t="s">
        <v>52</v>
      </c>
      <c r="I28" s="139" t="s">
        <v>188</v>
      </c>
      <c r="J28" s="139" t="s">
        <v>51</v>
      </c>
      <c r="K28" s="139" t="s">
        <v>52</v>
      </c>
    </row>
    <row r="29" spans="1:11" x14ac:dyDescent="0.2">
      <c r="A29" s="139">
        <v>3</v>
      </c>
      <c r="B29" s="168">
        <v>108</v>
      </c>
      <c r="C29" s="168">
        <v>10</v>
      </c>
      <c r="E29" s="139">
        <v>3</v>
      </c>
      <c r="F29" s="203">
        <f t="shared" ref="F29:G32" si="0">B10+F10+B16+F16+B23+F23+B29</f>
        <v>736</v>
      </c>
      <c r="G29" s="203">
        <f t="shared" si="0"/>
        <v>75</v>
      </c>
      <c r="I29" s="139">
        <v>3</v>
      </c>
      <c r="J29" s="203">
        <f t="shared" ref="J29:K31" si="1">F29*15</f>
        <v>11040</v>
      </c>
      <c r="K29" s="203">
        <f t="shared" si="1"/>
        <v>1125</v>
      </c>
    </row>
    <row r="30" spans="1:11" x14ac:dyDescent="0.2">
      <c r="A30" s="139">
        <v>6</v>
      </c>
      <c r="B30" s="168">
        <v>217</v>
      </c>
      <c r="C30" s="165"/>
      <c r="E30" s="139">
        <v>6</v>
      </c>
      <c r="F30" s="203">
        <f t="shared" si="0"/>
        <v>1417</v>
      </c>
      <c r="G30" s="204">
        <f t="shared" si="0"/>
        <v>0</v>
      </c>
      <c r="I30" s="139">
        <v>6</v>
      </c>
      <c r="J30" s="203">
        <f t="shared" si="1"/>
        <v>21255</v>
      </c>
      <c r="K30" s="204">
        <f t="shared" si="1"/>
        <v>0</v>
      </c>
    </row>
    <row r="31" spans="1:11" x14ac:dyDescent="0.2">
      <c r="A31" s="139">
        <v>7</v>
      </c>
      <c r="B31" s="168">
        <v>202</v>
      </c>
      <c r="C31" s="168">
        <v>22</v>
      </c>
      <c r="E31" s="139">
        <v>7</v>
      </c>
      <c r="F31" s="203">
        <f t="shared" si="0"/>
        <v>1404</v>
      </c>
      <c r="G31" s="203">
        <f t="shared" si="0"/>
        <v>153</v>
      </c>
      <c r="I31" s="139">
        <v>7</v>
      </c>
      <c r="J31" s="203">
        <f t="shared" si="1"/>
        <v>21060</v>
      </c>
      <c r="K31" s="203">
        <f t="shared" si="1"/>
        <v>2295</v>
      </c>
    </row>
    <row r="32" spans="1:11" x14ac:dyDescent="0.2">
      <c r="A32" s="139">
        <v>11</v>
      </c>
      <c r="B32" s="168">
        <v>108</v>
      </c>
      <c r="C32" s="165"/>
      <c r="E32" s="139">
        <v>11</v>
      </c>
      <c r="F32" s="203">
        <f t="shared" si="0"/>
        <v>753</v>
      </c>
      <c r="G32" s="204">
        <f t="shared" si="0"/>
        <v>0</v>
      </c>
      <c r="I32" s="139">
        <v>11</v>
      </c>
      <c r="J32" s="203">
        <f>F32*15</f>
        <v>11295</v>
      </c>
      <c r="K32" s="204">
        <f>G32*180/12</f>
        <v>0</v>
      </c>
    </row>
    <row r="34" spans="1:9" x14ac:dyDescent="0.2">
      <c r="A34" s="167" t="s">
        <v>199</v>
      </c>
      <c r="G34" s="167" t="s">
        <v>230</v>
      </c>
    </row>
    <row r="35" spans="1:9" x14ac:dyDescent="0.2">
      <c r="A35" s="139"/>
      <c r="B35" s="172" t="s">
        <v>185</v>
      </c>
      <c r="C35" s="172" t="s">
        <v>186</v>
      </c>
      <c r="D35" s="172" t="s">
        <v>187</v>
      </c>
      <c r="E35" s="172" t="s">
        <v>184</v>
      </c>
      <c r="G35" s="245" t="s">
        <v>224</v>
      </c>
      <c r="H35" s="245"/>
      <c r="I35" s="225">
        <v>437</v>
      </c>
    </row>
    <row r="36" spans="1:9" x14ac:dyDescent="0.2">
      <c r="A36" s="172" t="s">
        <v>107</v>
      </c>
      <c r="B36" s="201">
        <f>B37+B38</f>
        <v>0.48799999999999999</v>
      </c>
      <c r="C36" s="201">
        <f>C37+C38</f>
        <v>0.25</v>
      </c>
      <c r="D36" s="201">
        <f>D37+D38</f>
        <v>0.28999999999999998</v>
      </c>
      <c r="E36" s="201">
        <f>E37+E38</f>
        <v>0.38100000000000001</v>
      </c>
      <c r="G36" s="245" t="s">
        <v>225</v>
      </c>
      <c r="H36" s="245"/>
      <c r="I36" s="225">
        <v>43</v>
      </c>
    </row>
    <row r="37" spans="1:9" x14ac:dyDescent="0.2">
      <c r="A37" s="172" t="s">
        <v>200</v>
      </c>
      <c r="B37" s="173">
        <v>9.9000000000000005E-2</v>
      </c>
      <c r="C37" s="236">
        <v>2.3E-2</v>
      </c>
      <c r="D37" s="173">
        <v>3.5999999999999997E-2</v>
      </c>
      <c r="E37" s="173">
        <v>5.1999999999999998E-2</v>
      </c>
      <c r="G37" s="245" t="s">
        <v>226</v>
      </c>
      <c r="H37" s="245"/>
      <c r="I37" s="225">
        <v>0</v>
      </c>
    </row>
    <row r="38" spans="1:9" x14ac:dyDescent="0.2">
      <c r="A38" s="172" t="s">
        <v>201</v>
      </c>
      <c r="B38" s="173">
        <v>0.38900000000000001</v>
      </c>
      <c r="C38" s="173">
        <v>0.22700000000000001</v>
      </c>
      <c r="D38" s="173">
        <v>0.254</v>
      </c>
      <c r="E38" s="173">
        <v>0.32900000000000001</v>
      </c>
      <c r="G38" s="245" t="s">
        <v>227</v>
      </c>
      <c r="H38" s="245"/>
      <c r="I38" s="225">
        <v>270</v>
      </c>
    </row>
    <row r="39" spans="1:9" x14ac:dyDescent="0.2">
      <c r="A39" s="172" t="s">
        <v>202</v>
      </c>
      <c r="B39" s="173">
        <v>0.47799999999999998</v>
      </c>
      <c r="C39" s="173">
        <v>0.68500000000000005</v>
      </c>
      <c r="D39" s="173">
        <v>0.6</v>
      </c>
      <c r="E39" s="173">
        <v>0.58299999999999996</v>
      </c>
      <c r="G39" s="245" t="s">
        <v>228</v>
      </c>
      <c r="H39" s="245"/>
      <c r="I39" s="225">
        <v>30</v>
      </c>
    </row>
    <row r="40" spans="1:9" x14ac:dyDescent="0.2">
      <c r="A40" s="172" t="s">
        <v>203</v>
      </c>
      <c r="B40" s="173">
        <v>2.5000000000000001E-2</v>
      </c>
      <c r="C40" s="173">
        <v>5.7000000000000002E-2</v>
      </c>
      <c r="D40" s="173">
        <v>9.9000000000000005E-2</v>
      </c>
      <c r="E40" s="173">
        <v>2.7E-2</v>
      </c>
      <c r="G40" s="245" t="s">
        <v>229</v>
      </c>
      <c r="H40" s="245"/>
      <c r="I40" s="225">
        <v>0</v>
      </c>
    </row>
    <row r="41" spans="1:9" x14ac:dyDescent="0.2">
      <c r="A41" s="172" t="s">
        <v>212</v>
      </c>
      <c r="B41" s="173">
        <v>0</v>
      </c>
      <c r="C41" s="173">
        <v>0</v>
      </c>
      <c r="D41" s="173">
        <v>0</v>
      </c>
      <c r="E41" s="173">
        <v>0</v>
      </c>
      <c r="G41" s="245" t="s">
        <v>231</v>
      </c>
      <c r="H41" s="245"/>
      <c r="I41" s="225">
        <v>180</v>
      </c>
    </row>
    <row r="42" spans="1:9" x14ac:dyDescent="0.2">
      <c r="A42" s="172" t="s">
        <v>213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214</v>
      </c>
      <c r="B43" s="202">
        <f>SUM(B47:B50)</f>
        <v>9.0000000000000011E-3</v>
      </c>
      <c r="C43" s="202">
        <f>SUM(C47:C50)</f>
        <v>8.0000000000000002E-3</v>
      </c>
      <c r="D43" s="202">
        <f>SUM(D47:D50)</f>
        <v>1.0999999999999999E-2</v>
      </c>
      <c r="E43" s="202">
        <f>SUM(E47:E50)</f>
        <v>9.0000000000000011E-3</v>
      </c>
    </row>
    <row r="44" spans="1:9" x14ac:dyDescent="0.2">
      <c r="A44" s="233" t="s">
        <v>232</v>
      </c>
      <c r="B44" s="232">
        <v>62.97</v>
      </c>
      <c r="C44" s="232">
        <v>63.04</v>
      </c>
      <c r="D44" s="232">
        <v>62.63</v>
      </c>
      <c r="E44" s="232">
        <v>64.38</v>
      </c>
    </row>
    <row r="45" spans="1:9" x14ac:dyDescent="0.2">
      <c r="A45" s="233" t="s">
        <v>234</v>
      </c>
      <c r="B45" s="231">
        <f>J29+K29</f>
        <v>12165</v>
      </c>
      <c r="C45" s="231">
        <f>J30</f>
        <v>21255</v>
      </c>
      <c r="D45" s="231">
        <f>J31</f>
        <v>21060</v>
      </c>
      <c r="E45" s="231">
        <f>J32</f>
        <v>11295</v>
      </c>
    </row>
    <row r="46" spans="1:9" x14ac:dyDescent="0.2">
      <c r="A46" s="233" t="s">
        <v>233</v>
      </c>
      <c r="B46" s="232"/>
      <c r="C46" s="232"/>
      <c r="D46" s="232"/>
      <c r="E46" s="232"/>
    </row>
    <row r="47" spans="1:9" x14ac:dyDescent="0.2">
      <c r="A47" s="172" t="s">
        <v>204</v>
      </c>
      <c r="B47" s="173">
        <v>2E-3</v>
      </c>
      <c r="C47" s="173">
        <v>1E-3</v>
      </c>
      <c r="D47" s="173">
        <v>2E-3</v>
      </c>
      <c r="E47" s="173">
        <v>1E-3</v>
      </c>
    </row>
    <row r="48" spans="1:9" x14ac:dyDescent="0.2">
      <c r="A48" s="172" t="s">
        <v>205</v>
      </c>
      <c r="B48" s="173">
        <v>1E-3</v>
      </c>
      <c r="C48" s="173">
        <v>2E-3</v>
      </c>
      <c r="D48" s="173">
        <v>2E-3</v>
      </c>
      <c r="E48" s="173">
        <v>2E-3</v>
      </c>
    </row>
    <row r="49" spans="1:5" x14ac:dyDescent="0.2">
      <c r="A49" s="172" t="s">
        <v>206</v>
      </c>
      <c r="B49" s="173">
        <v>2E-3</v>
      </c>
      <c r="C49" s="173">
        <v>2E-3</v>
      </c>
      <c r="D49" s="173">
        <v>3.0000000000000001E-3</v>
      </c>
      <c r="E49" s="173">
        <v>2E-3</v>
      </c>
    </row>
    <row r="50" spans="1:5" x14ac:dyDescent="0.2">
      <c r="A50" s="172" t="s">
        <v>207</v>
      </c>
      <c r="B50" s="173">
        <v>4.0000000000000001E-3</v>
      </c>
      <c r="C50" s="173">
        <v>3.0000000000000001E-3</v>
      </c>
      <c r="D50" s="173">
        <v>4.0000000000000001E-3</v>
      </c>
      <c r="E50" s="173">
        <v>4.0000000000000001E-3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215</v>
      </c>
      <c r="B52" s="202">
        <f>SUM(B37:B42)+SUM(B47:B50)</f>
        <v>1</v>
      </c>
      <c r="C52" s="202">
        <f>SUM(C37:C42)+SUM(C47:C50)</f>
        <v>1</v>
      </c>
      <c r="D52" s="202">
        <f>SUM(D37:D42)+SUM(D47:D50)</f>
        <v>0.99999999999999989</v>
      </c>
      <c r="E52" s="202">
        <f>SUM(E37:E42)+SUM(E47:E50)</f>
        <v>1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topLeftCell="A13"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143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144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145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146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147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148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150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151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152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153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154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155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156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157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158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160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161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162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163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164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165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166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167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168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170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171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172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173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E13" sqref="E13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181</v>
      </c>
      <c r="B2" s="3" t="s">
        <v>182</v>
      </c>
    </row>
    <row r="3" spans="1:2" x14ac:dyDescent="0.2">
      <c r="A3" s="4" t="s">
        <v>5</v>
      </c>
      <c r="B3" s="3" t="s">
        <v>6</v>
      </c>
    </row>
    <row r="4" spans="1:2" x14ac:dyDescent="0.2">
      <c r="A4" s="2" t="s">
        <v>183</v>
      </c>
      <c r="B4" s="3" t="s">
        <v>3</v>
      </c>
    </row>
    <row r="5" spans="1:2" x14ac:dyDescent="0.2">
      <c r="A5" s="2" t="s">
        <v>7</v>
      </c>
      <c r="B5" s="3" t="s">
        <v>8</v>
      </c>
    </row>
    <row r="6" spans="1:2" x14ac:dyDescent="0.2">
      <c r="A6" s="2" t="s">
        <v>9</v>
      </c>
      <c r="B6" s="3" t="s">
        <v>9</v>
      </c>
    </row>
    <row r="8" spans="1:2" x14ac:dyDescent="0.2">
      <c r="A8" s="1" t="s">
        <v>10</v>
      </c>
    </row>
    <row r="9" spans="1:2" x14ac:dyDescent="0.2">
      <c r="A9" s="2" t="s">
        <v>11</v>
      </c>
    </row>
    <row r="10" spans="1:2" x14ac:dyDescent="0.2">
      <c r="A10" s="2" t="s">
        <v>12</v>
      </c>
    </row>
    <row r="11" spans="1:2" x14ac:dyDescent="0.2">
      <c r="A11" s="2" t="s">
        <v>13</v>
      </c>
    </row>
    <row r="12" spans="1:2" x14ac:dyDescent="0.2">
      <c r="A12" s="2" t="s">
        <v>14</v>
      </c>
    </row>
    <row r="15" spans="1:2" x14ac:dyDescent="0.2">
      <c r="A15" s="224" t="s">
        <v>15</v>
      </c>
    </row>
    <row r="16" spans="1:2" x14ac:dyDescent="0.2">
      <c r="A16" s="190" t="s">
        <v>220</v>
      </c>
      <c r="B16" s="3" t="s">
        <v>16</v>
      </c>
    </row>
    <row r="17" spans="1:2" x14ac:dyDescent="0.2">
      <c r="A17" s="190" t="s">
        <v>221</v>
      </c>
      <c r="B17" s="3" t="s">
        <v>17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3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Pam</cp:lastModifiedBy>
  <cp:revision>3</cp:revision>
  <cp:lastPrinted>2024-06-17T13:10:15Z</cp:lastPrinted>
  <dcterms:created xsi:type="dcterms:W3CDTF">2019-08-23T14:41:05Z</dcterms:created>
  <dcterms:modified xsi:type="dcterms:W3CDTF">2025-04-28T12:42:16Z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