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0818E090-5E15-48DC-8837-526CD07D8D22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24" i="6"/>
  <c r="I25" i="6"/>
  <c r="I26" i="6"/>
  <c r="I28" i="6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J25" i="6"/>
  <c r="J26" i="6"/>
  <c r="J27" i="6"/>
  <c r="I27" i="6" s="1"/>
  <c r="J28" i="6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8" i="6"/>
  <c r="L25" i="6"/>
  <c r="P37" i="6"/>
  <c r="L32" i="6"/>
  <c r="L31" i="6"/>
  <c r="L21" i="6"/>
  <c r="L20" i="6"/>
  <c r="L19" i="6"/>
  <c r="L17" i="6"/>
  <c r="L16" i="6"/>
  <c r="L30" i="6"/>
  <c r="L27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<sst xmlns="http://schemas.openxmlformats.org/spreadsheetml/2006/main" count="533" uniqueCount="239">
  <si>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</si>
  <si>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</si>
  <si>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</si>
  <si>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</si>
  <si>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</si>
  <si>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</si>
  <si>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</si>
  <si>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</si>
  <si>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</si>
  <si>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</si>
  <si>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</si>
  <si>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</si>
  <si>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</si>
  <si>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</si>
  <si>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</si>
  <si>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</si>
  <si>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</si>
  <si>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</si>
  <si>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</si>
  <si>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</si>
  <si>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</si>
  <si>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</si>
  <si>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</si>
  <si>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</si>
  <si>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</si>
  <si>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</si>
  <si>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</si>
  <si>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</si>
  <si>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</si>
  <si>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</si>
  <si>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</si>
  <si>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</si>
  <si>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</si>
  <si>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</si>
  <si>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</si>
  <si>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</si>
  <si>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</si>
  <si>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</si>
  <si>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</si>
  <si>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</si>
  <si>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</si>
  <si>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</si>
  <si>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</si>
  <si>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</si>
  <si>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</si>
  <si>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</si>
  <si>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</si>
  <si>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</si>
  <si>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</si>
  <si>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</si>
  <si>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</si>
  <si>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</si>
  <si>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</si>
  <si>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</si>
  <si>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</si>
  <si>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</si>
  <si>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</si>
  <si>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</si>
  <si>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</si>
  <si>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</si>
  <si>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</si>
  <si>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</si>
  <si>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</si>
  <si>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</si>
  <si>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</si>
  <si>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</si>
  <si>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</si>
  <si>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</si>
  <si>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</si>
  <si>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</si>
  <si>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</si>
  <si>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</si>
  <si>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</si>
  <si>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</si>
  <si>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</si>
  <si>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</si>
  <si>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</si>
  <si>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</si>
  <si>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</si>
  <si>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</si>
  <si>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</si>
  <si>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</si>
  <si>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</si>
  <si>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</si>
  <si>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</si>
  <si>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</si>
  <si>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</si>
  <si>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</si>
  <si>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</si>
  <si>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</si>
  <si>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</si>
  <si>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</si>
  <si>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</si>
  <si>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</si>
  <si>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</si>
  <si>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</si>
  <si>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</si>
  <si>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</si>
  <si>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</si>
  <si>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</si>
  <si>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</si>
  <si>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</si>
  <si>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</si>
  <si>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</si>
  <si>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</si>
  <si>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</si>
  <si>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</si>
  <si>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</si>
  <si>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</si>
  <si>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</si>
  <si>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</si>
  <si>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</si>
  <si>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</si>
  <si>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</si>
  <si>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</si>
  <si>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</si>
  <si>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</si>
  <si>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</si>
  <si>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</si>
  <si>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</si>
  <si>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</si>
  <si>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</si>
  <si>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</si>
  <si>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</si>
  <si>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</si>
  <si>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</si>
  <si>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</si>
  <si>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</si>
  <si>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</si>
  <si>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</si>
  <si>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</si>
  <si>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</si>
  <si>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</si>
  <si>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</si>
  <si>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</si>
  <si>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</si>
  <si>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</si>
  <si>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</si>
  <si>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</si>
  <si>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</si>
  <si>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</si>
  <si>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</si>
  <si>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</si>
  <si>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</si>
  <si>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</si>
  <si>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</si>
  <si>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</si>
  <si>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</si>
  <si>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</si>
  <si>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</si>
  <si>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</si>
  <si>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</si>
  <si>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</si>
  <si>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</si>
  <si>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</si>
  <si>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</si>
  <si>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</si>
  <si>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</si>
  <si>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</si>
  <si>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</si>
  <si>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</si>
  <si>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</si>
  <si>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</si>
  <si>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</si>
  <si>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</si>
  <si>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</si>
  <si>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</si>
  <si>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</si>
  <si>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</si>
  <si>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</si>
  <si>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</si>
  <si>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</si>
  <si>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</si>
  <si>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</si>
  <si>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</si>
  <si>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</si>
  <si>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</si>
  <si>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</si>
  <si>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</si>
  <si>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</si>
  <si>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</si>
  <si>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</si>
  <si>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</si>
  <si>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</si>
  <si>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</si>
  <si>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</si>
  <si>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</si>
  <si>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</si>
  <si>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</si>
  <si>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</si>
  <si>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</si>
  <si>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</si>
  <si>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</si>
  <si>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</si>
  <si>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</si>
  <si>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</si>
  <si>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</si>
  <si>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</si>
  <si>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</si>
  <si>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</si>
  <si>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</si>
  <si>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</si>
  <si>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</si>
  <si>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</si>
  <si>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</si>
  <si>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</si>
  <si>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</si>
  <si>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</si>
  <si>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</si>
  <si>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</si>
  <si>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</si>
  <si>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</si>
  <si>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</si>
  <si>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</si>
  <si>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</si>
  <si>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</si>
  <si>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</si>
  <si>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</si>
  <si>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</si>
  <si>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</si>
  <si>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</si>
  <si>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</si>
  <si>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</si>
  <si>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</si>
  <si>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</si>
  <si>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</si>
  <si>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</si>
  <si>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</si>
  <si>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</si>
  <si>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</si>
  <si>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</si>
  <si>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</si>
  <si>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</si>
  <si>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</si>
  <si>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</si>
  <si>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</si>
  <si>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</si>
  <si>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</si>
  <si>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March 27/25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</si>
</sst>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13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45746.25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11080.354957160342</v>
      </c>
      <c r="I7" s="27">
        <v>0</v>
      </c>
      <c r="J7" s="26">
        <f>IFERROR(H7-I7,"")</f>
        <v>11080.354957160342</v>
      </c>
      <c r="K7" s="26">
        <f>IFERROR(($E$26/($H$27+$H$28)*$H$27)*R28,"")</f>
        <v>77.562484700122397</v>
      </c>
      <c r="L7" s="26">
        <f>IFERROR(($E$26/($H$27+$H$28)*$H$27)*S28,"")</f>
        <v>33.241064871481022</v>
      </c>
      <c r="M7" s="28">
        <f>IFERROR(K7+L7,"")</f>
        <v>110.80354957160341</v>
      </c>
      <c r="N7" s="29">
        <f>IFERROR(O7+P7+Q7+R7+S7+T7+U7+V7,"")</f>
        <v>10969.551407588739</v>
      </c>
      <c r="O7" s="26">
        <f t="shared" ref="O7:V7" si="0">IFERROR(($E$26/($H$27+$H$28)*$H$27)*J28,"")</f>
        <v>288.08922888616888</v>
      </c>
      <c r="P7" s="26">
        <f>IFERROR(($E$26/($H$27+$H$28)*$H$27)*K28,"")</f>
        <v>2770.0887392900854</v>
      </c>
      <c r="Q7" s="26">
        <f t="shared" si="0"/>
        <v>7301.9539167686653</v>
      </c>
      <c r="R7" s="26">
        <f t="shared" si="0"/>
        <v>587.25881272949812</v>
      </c>
      <c r="S7" s="26">
        <f t="shared" si="0"/>
        <v>0</v>
      </c>
      <c r="T7" s="26">
        <f t="shared" si="0"/>
        <v>0</v>
      </c>
      <c r="U7" s="26">
        <f t="shared" si="0"/>
        <v>22.160709914320684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1069.6450428396572</v>
      </c>
      <c r="I8" s="27">
        <v>0</v>
      </c>
      <c r="J8" s="26">
        <f>IFERROR(H8-I8,"")</f>
        <v>1069.6450428396572</v>
      </c>
      <c r="K8" s="26">
        <f>IFERROR(($E$26/($H$27+$H$28)*$H$28)*R28,"")</f>
        <v>7.4875152998776002</v>
      </c>
      <c r="L8" s="26">
        <f>IFERROR(($E$26/($H$27+$H$28)*$H$28)*S28,"")</f>
        <v>3.2089351285189718</v>
      </c>
      <c r="M8" s="28">
        <f>IFERROR(K8+L8,"")</f>
        <v>10.696450428396572</v>
      </c>
      <c r="N8" s="29">
        <f>IFERROR(O8+P8+Q8+R8+S8+T8+U8+V8,"")</f>
        <v>1058.9485924112607</v>
      </c>
      <c r="O8" s="26">
        <f t="shared" ref="O8:V8" si="1">IFERROR(($E$26/($H$27+$H$28)*$H$28)*J28,"")</f>
        <v>27.810771113831088</v>
      </c>
      <c r="P8" s="26">
        <f t="shared" si="1"/>
        <v>267.4112607099143</v>
      </c>
      <c r="Q8" s="26">
        <f t="shared" si="1"/>
        <v>704.89608323133416</v>
      </c>
      <c r="R8" s="26">
        <f t="shared" si="1"/>
        <v>56.691187270501828</v>
      </c>
      <c r="S8" s="26">
        <f t="shared" si="1"/>
        <v>0</v>
      </c>
      <c r="T8" s="26">
        <f t="shared" si="1"/>
        <v>0</v>
      </c>
      <c r="U8" s="26">
        <f t="shared" si="1"/>
        <v>2.1392900856793147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23235.000000000004</v>
      </c>
      <c r="I10" s="27">
        <v>0</v>
      </c>
      <c r="J10" s="26">
        <f>IFERROR(H10-I10,"")</f>
        <v>23235.000000000004</v>
      </c>
      <c r="K10" s="26">
        <f>IFERROR(($E$30/($H$31+$H$32)*$H$31)*R32,"")</f>
        <v>116.175</v>
      </c>
      <c r="L10" s="26">
        <f>IFERROR(($E$30/($H$31+$H$32)*$H$31)*S32,"")</f>
        <v>23.234999999999999</v>
      </c>
      <c r="M10" s="28">
        <f>IFERROR(K10+L10,"")</f>
        <v>139.41</v>
      </c>
      <c r="N10" s="29">
        <f>IFERROR(O10+P10+Q10+R10+S10+T10+U10+V10,"")</f>
        <v>23095.590000000004</v>
      </c>
      <c r="O10" s="26">
        <f t="shared" ref="O10:V10" si="2">IFERROR(($E$30/($H$31+$H$32)*$H$31)*J32,"")</f>
        <v>1022.3399999999999</v>
      </c>
      <c r="P10" s="26">
        <f t="shared" si="2"/>
        <v>6157.2750000000005</v>
      </c>
      <c r="Q10" s="26">
        <f t="shared" si="2"/>
        <v>14382.465</v>
      </c>
      <c r="R10" s="26">
        <f t="shared" si="2"/>
        <v>1487.04</v>
      </c>
      <c r="S10" s="26">
        <f t="shared" si="2"/>
        <v>0</v>
      </c>
      <c r="T10" s="26">
        <f t="shared" si="2"/>
        <v>0</v>
      </c>
      <c r="U10" s="26">
        <f t="shared" si="2"/>
        <v>46.47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19028.982152095188</v>
      </c>
      <c r="I13" s="27">
        <v>0</v>
      </c>
      <c r="J13" s="26">
        <f>IFERROR(H13-I13,"")</f>
        <v>19028.982152095188</v>
      </c>
      <c r="K13" s="26">
        <f>IFERROR(($E$34/($H$35+$H$36)*$H$35)*R36,"")</f>
        <v>114.17389291257113</v>
      </c>
      <c r="L13" s="26">
        <f>IFERROR(($E$34/($H$35+$H$36)*$H$35)*S36,"")</f>
        <v>38.057964304190378</v>
      </c>
      <c r="M13" s="28">
        <f>IFERROR(K13+L13,"")</f>
        <v>152.23185721676151</v>
      </c>
      <c r="N13" s="29">
        <f>IFERROR(O13+P13+Q13+R13+S13+T13+U13+V13,"")</f>
        <v>18876.750294878428</v>
      </c>
      <c r="O13" s="26">
        <f t="shared" ref="O13:V13" si="4">IFERROR(($E$34/($H$35+$H$36)*$H$35)*J36,"")</f>
        <v>685.04335747542677</v>
      </c>
      <c r="P13" s="26">
        <f t="shared" si="4"/>
        <v>4833.3614666321782</v>
      </c>
      <c r="Q13" s="26">
        <f t="shared" si="4"/>
        <v>11417.389291257112</v>
      </c>
      <c r="R13" s="26">
        <f t="shared" si="4"/>
        <v>1883.8692330574238</v>
      </c>
      <c r="S13" s="26">
        <f t="shared" si="4"/>
        <v>0</v>
      </c>
      <c r="T13" s="26">
        <f t="shared" si="4"/>
        <v>0</v>
      </c>
      <c r="U13" s="26">
        <f t="shared" si="4"/>
        <v>57.086946456285567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2121.0178479048113</v>
      </c>
      <c r="I14" s="27">
        <v>0</v>
      </c>
      <c r="J14" s="26">
        <f>IFERROR(H14-I14,"")</f>
        <v>2121.0178479048113</v>
      </c>
      <c r="K14" s="26">
        <f>IFERROR(($E$34/($H$35+$H$36)*$H$36)*R36,"")</f>
        <v>12.726107087428868</v>
      </c>
      <c r="L14" s="26">
        <f>IFERROR(($E$34/($H$35+$H$36)*$H$36)*S36,"")</f>
        <v>4.2420356958096228</v>
      </c>
      <c r="M14" s="28">
        <f>IFERROR(K14+L14,"")</f>
        <v>16.968142783238491</v>
      </c>
      <c r="N14" s="29">
        <f>IFERROR(O14+P14+Q14+R14+S14+T14+U14+V14,"")</f>
        <v>2104.049705121573</v>
      </c>
      <c r="O14" s="26">
        <f t="shared" ref="O14:V14" si="5">IFERROR(($E$34/($H$35+$H$36)*$H$36)*J36,"")</f>
        <v>76.356642524573203</v>
      </c>
      <c r="P14" s="26">
        <f t="shared" si="5"/>
        <v>538.73853336782213</v>
      </c>
      <c r="Q14" s="26">
        <f t="shared" si="5"/>
        <v>1272.6107087428868</v>
      </c>
      <c r="R14" s="26">
        <f t="shared" si="5"/>
        <v>209.98076694257634</v>
      </c>
      <c r="S14" s="26">
        <f t="shared" si="5"/>
        <v>0</v>
      </c>
      <c r="T14" s="26">
        <f t="shared" si="5"/>
        <v>0</v>
      </c>
      <c r="U14" s="26">
        <f t="shared" si="5"/>
        <v>6.3630535437144342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11535</v>
      </c>
      <c r="I16" s="27">
        <v>0</v>
      </c>
      <c r="J16" s="26">
        <f>IFERROR(H16-I16,"")</f>
        <v>11535</v>
      </c>
      <c r="K16" s="26">
        <f>IFERROR(($E$38/($H$39)*$H$39)*R40,"")</f>
        <v>69.210000000000008</v>
      </c>
      <c r="L16" s="26">
        <f>IFERROR(($E$38/($H$39)*$H$39)*S40,"")</f>
        <v>11.535</v>
      </c>
      <c r="M16" s="28">
        <f>IFERROR(K16+L16,"")</f>
        <v>80.745000000000005</v>
      </c>
      <c r="N16" s="29">
        <f>IFERROR(O16+P16+Q16+R16+S16+T16+U16+V16,"")</f>
        <v>11454.254999999999</v>
      </c>
      <c r="O16" s="26">
        <f t="shared" ref="O16:V16" si="6">IFERROR(($E$38/($H$39)*$H$39)*J40,"")</f>
        <v>449.86500000000001</v>
      </c>
      <c r="P16" s="26">
        <f t="shared" si="6"/>
        <v>3725.8050000000003</v>
      </c>
      <c r="Q16" s="26">
        <f t="shared" si="6"/>
        <v>6874.86</v>
      </c>
      <c r="R16" s="26">
        <f t="shared" si="6"/>
        <v>380.65500000000003</v>
      </c>
      <c r="S16" s="26">
        <f t="shared" si="6"/>
        <v>0</v>
      </c>
      <c r="T16" s="26">
        <f t="shared" si="6"/>
        <v>0</v>
      </c>
      <c r="U16" s="26">
        <f t="shared" si="6"/>
        <v>23.07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68070</v>
      </c>
      <c r="I19" s="37">
        <f t="shared" si="7"/>
        <v>0</v>
      </c>
      <c r="J19" s="37">
        <f t="shared" si="7"/>
        <v>68070</v>
      </c>
      <c r="K19" s="37">
        <f t="shared" si="7"/>
        <v>397.33500000000004</v>
      </c>
      <c r="L19" s="37">
        <f t="shared" si="7"/>
        <v>113.51999999999998</v>
      </c>
      <c r="M19" s="37">
        <f t="shared" si="7"/>
        <v>510.85499999999996</v>
      </c>
      <c r="N19" s="37">
        <f t="shared" si="7"/>
        <v>67559.145000000004</v>
      </c>
      <c r="O19" s="37">
        <f t="shared" si="7"/>
        <v>2549.5050000000001</v>
      </c>
      <c r="P19" s="37">
        <f t="shared" si="7"/>
        <v>18292.68</v>
      </c>
      <c r="Q19" s="37">
        <f t="shared" si="7"/>
        <v>41954.175000000003</v>
      </c>
      <c r="R19" s="37">
        <f t="shared" si="7"/>
        <v>4605.4949999999999</v>
      </c>
      <c r="S19" s="37">
        <f t="shared" si="7"/>
        <v>0</v>
      </c>
      <c r="T19" s="37">
        <f t="shared" si="7"/>
        <v>0</v>
      </c>
      <c r="U19" s="37">
        <f t="shared" si="7"/>
        <v>157.29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68070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12150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20117</v>
      </c>
      <c r="I27" s="30"/>
      <c r="J27" s="198">
        <f>$E$26*J28</f>
        <v>315.89999999999998</v>
      </c>
      <c r="K27" s="198">
        <f t="shared" ref="K27:S27" si="8">$E$26*K28</f>
        <v>3037.5</v>
      </c>
      <c r="L27" s="198">
        <f t="shared" si="8"/>
        <v>8006.85</v>
      </c>
      <c r="M27" s="198">
        <f t="shared" si="8"/>
        <v>643.94999999999993</v>
      </c>
      <c r="N27" s="198">
        <f t="shared" si="8"/>
        <v>0</v>
      </c>
      <c r="O27" s="198">
        <f t="shared" si="8"/>
        <v>0</v>
      </c>
      <c r="P27" s="198">
        <f t="shared" si="8"/>
        <v>24.3</v>
      </c>
      <c r="Q27" s="198">
        <f t="shared" si="8"/>
        <v>0</v>
      </c>
      <c r="R27" s="198">
        <f t="shared" si="8"/>
        <v>85.05</v>
      </c>
      <c r="S27" s="198">
        <f t="shared" si="8"/>
        <v>36.450000000000003</v>
      </c>
      <c r="T27" s="199">
        <f>SUM(J27:S27)</f>
        <v>12150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1942</v>
      </c>
      <c r="I28" s="30"/>
      <c r="J28" s="197">
        <f>Inputs!B37</f>
        <v>2.5999999999999999E-2</v>
      </c>
      <c r="K28" s="197">
        <f>Inputs!B38</f>
        <v>0.25</v>
      </c>
      <c r="L28" s="197">
        <f>Inputs!B39</f>
        <v>0.65900000000000003</v>
      </c>
      <c r="M28" s="197">
        <f>Inputs!B40</f>
        <v>5.2999999999999999E-2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23235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38920</v>
      </c>
      <c r="I31" s="26"/>
      <c r="J31" s="198">
        <f>$E30*J32</f>
        <v>1022.3399999999999</v>
      </c>
      <c r="K31" s="198">
        <f t="shared" ref="K31:S31" si="9">$E30*K32</f>
        <v>6157.2750000000005</v>
      </c>
      <c r="L31" s="198">
        <f t="shared" si="9"/>
        <v>14382.465</v>
      </c>
      <c r="M31" s="198">
        <f t="shared" si="9"/>
        <v>1487.04</v>
      </c>
      <c r="N31" s="198">
        <f t="shared" si="9"/>
        <v>0</v>
      </c>
      <c r="O31" s="198">
        <f t="shared" si="9"/>
        <v>0</v>
      </c>
      <c r="P31" s="198">
        <f t="shared" si="9"/>
        <v>46.47</v>
      </c>
      <c r="Q31" s="198">
        <f t="shared" si="9"/>
        <v>0</v>
      </c>
      <c r="R31" s="198">
        <f t="shared" si="9"/>
        <v>116.175</v>
      </c>
      <c r="S31" s="198">
        <f t="shared" si="9"/>
        <v>23.234999999999999</v>
      </c>
      <c r="T31" s="199">
        <f>SUM(J31:S31)</f>
        <v>23235.000000000004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4.3999999999999997E-2</v>
      </c>
      <c r="K32" s="197">
        <f>Inputs!C38</f>
        <v>0.26500000000000001</v>
      </c>
      <c r="L32" s="197">
        <f>Inputs!C39</f>
        <v>0.61899999999999999</v>
      </c>
      <c r="M32" s="197">
        <f>Inputs!C40</f>
        <v>6.4000000000000001E-2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5.0000000000000001E-3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21150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34783</v>
      </c>
      <c r="I35" s="30"/>
      <c r="J35" s="198">
        <f>$E34*J36</f>
        <v>761.4</v>
      </c>
      <c r="K35" s="198">
        <f t="shared" ref="K35:S35" si="10">$E34*K36</f>
        <v>5372.1</v>
      </c>
      <c r="L35" s="198">
        <f t="shared" si="10"/>
        <v>12690</v>
      </c>
      <c r="M35" s="198">
        <f t="shared" si="10"/>
        <v>2093.85</v>
      </c>
      <c r="N35" s="198">
        <f t="shared" si="10"/>
        <v>0</v>
      </c>
      <c r="O35" s="198">
        <f t="shared" si="10"/>
        <v>0</v>
      </c>
      <c r="P35" s="198">
        <f t="shared" si="10"/>
        <v>63.45</v>
      </c>
      <c r="Q35" s="198">
        <f t="shared" si="10"/>
        <v>0</v>
      </c>
      <c r="R35" s="198">
        <f t="shared" si="10"/>
        <v>126.9</v>
      </c>
      <c r="S35" s="198">
        <f t="shared" si="10"/>
        <v>42.300000000000004</v>
      </c>
      <c r="T35" s="199">
        <f>SUM(J35:S35)</f>
        <v>21150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3877</v>
      </c>
      <c r="I36" s="30"/>
      <c r="J36" s="197">
        <f>Inputs!D37</f>
        <v>3.5999999999999997E-2</v>
      </c>
      <c r="K36" s="197">
        <f>Inputs!D38</f>
        <v>0.254</v>
      </c>
      <c r="L36" s="197">
        <f>Inputs!D39</f>
        <v>0.6</v>
      </c>
      <c r="M36" s="197">
        <f>Inputs!D40</f>
        <v>9.9000000000000005E-2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2E-3</v>
      </c>
      <c r="T36" s="200">
        <f>SUM(J36:S36)</f>
        <v>0.99999999999999989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11535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18869</v>
      </c>
      <c r="I39" s="30"/>
      <c r="J39" s="198">
        <f>$E38*J40</f>
        <v>449.86500000000001</v>
      </c>
      <c r="K39" s="198">
        <f t="shared" ref="K39:S39" si="11">$E38*K40</f>
        <v>3725.8050000000003</v>
      </c>
      <c r="L39" s="198">
        <f t="shared" si="11"/>
        <v>6874.86</v>
      </c>
      <c r="M39" s="198">
        <f t="shared" si="11"/>
        <v>380.65500000000003</v>
      </c>
      <c r="N39" s="198">
        <f t="shared" si="11"/>
        <v>0</v>
      </c>
      <c r="O39" s="198">
        <f t="shared" si="11"/>
        <v>0</v>
      </c>
      <c r="P39" s="198">
        <f t="shared" si="11"/>
        <v>23.07</v>
      </c>
      <c r="Q39" s="198">
        <f t="shared" si="11"/>
        <v>0</v>
      </c>
      <c r="R39" s="198">
        <f t="shared" si="11"/>
        <v>69.210000000000008</v>
      </c>
      <c r="S39" s="198">
        <f t="shared" si="11"/>
        <v>11.535</v>
      </c>
      <c r="T39" s="199">
        <f>SUM(J39:S39)</f>
        <v>11534.999999999998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3.9E-2</v>
      </c>
      <c r="K40" s="197">
        <f>Inputs!E38</f>
        <v>0.32300000000000001</v>
      </c>
      <c r="L40" s="197">
        <f>Inputs!E39</f>
        <v>0.59599999999999997</v>
      </c>
      <c r="M40" s="197">
        <f>Inputs!E40</f>
        <v>3.3000000000000002E-2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45746.25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13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1200</v>
      </c>
      <c r="C13" s="220">
        <f>'Grade out Information'!X26</f>
        <v>18000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1200</v>
      </c>
      <c r="C27" s="222">
        <f>SUM(C13:C26)</f>
        <v>18000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D33" sqref="D33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13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0.27600000000000002</v>
      </c>
      <c r="L15" s="133">
        <f>X15*M15</f>
        <v>0</v>
      </c>
      <c r="M15" s="184">
        <f>Inputs!B39</f>
        <v>0.65900000000000003</v>
      </c>
      <c r="N15" s="133">
        <f>X15*O15</f>
        <v>0</v>
      </c>
      <c r="O15" s="184">
        <f>Inputs!B40</f>
        <v>5.2999999999999999E-2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1.2E-2</v>
      </c>
      <c r="X15" s="213">
        <f>Z15*15</f>
        <v>0</v>
      </c>
      <c r="Y15" s="209">
        <f>K15+M15+O15+Q15+S15+U15+W15</f>
        <v>1</v>
      </c>
      <c r="Z15" s="226">
        <f>Inputs!I35</f>
        <v>0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0.27600000000000002</v>
      </c>
      <c r="L16" s="133">
        <f t="shared" ref="L16:L23" si="0">X16*M16</f>
        <v>0</v>
      </c>
      <c r="M16" s="184">
        <f>M15</f>
        <v>0.65900000000000003</v>
      </c>
      <c r="N16" s="133">
        <f t="shared" ref="N16:N21" si="1">X16*O16</f>
        <v>0</v>
      </c>
      <c r="O16" s="184">
        <f>O15</f>
        <v>5.2999999999999999E-2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1.2E-2</v>
      </c>
      <c r="X16" s="213">
        <f t="shared" ref="X16:X23" si="6">Z16*15</f>
        <v>0</v>
      </c>
      <c r="Y16" s="209">
        <f>K16+M16+O16+Q16+S16+U16+W16</f>
        <v>1</v>
      </c>
      <c r="Z16" s="226">
        <f>Inputs!I36</f>
        <v>0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0.309</v>
      </c>
      <c r="L18" s="133">
        <f t="shared" si="0"/>
        <v>0</v>
      </c>
      <c r="M18" s="184">
        <f>Inputs!C39</f>
        <v>0.61899999999999999</v>
      </c>
      <c r="N18" s="133">
        <f t="shared" si="1"/>
        <v>0</v>
      </c>
      <c r="O18" s="184">
        <f>Inputs!C40</f>
        <v>6.4000000000000001E-2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8.0000000000000002E-3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17219.999999999996</v>
      </c>
      <c r="J20" s="133">
        <f>X20*K20</f>
        <v>4993.7999999999993</v>
      </c>
      <c r="K20" s="184">
        <f>Inputs!D36</f>
        <v>0.28999999999999998</v>
      </c>
      <c r="L20" s="133">
        <f t="shared" si="0"/>
        <v>10332</v>
      </c>
      <c r="M20" s="184">
        <f>Inputs!D39</f>
        <v>0.6</v>
      </c>
      <c r="N20" s="133">
        <f t="shared" si="1"/>
        <v>1704.78</v>
      </c>
      <c r="O20" s="184">
        <f>Inputs!D40</f>
        <v>9.9000000000000005E-2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189.42</v>
      </c>
      <c r="W20" s="185">
        <f>Inputs!D43</f>
        <v>1.0999999999999999E-2</v>
      </c>
      <c r="X20" s="213">
        <f t="shared" si="6"/>
        <v>17220</v>
      </c>
      <c r="Y20" s="209">
        <f>K20+M20+O20+Q20+S20+U20+W20</f>
        <v>0.99999999999999989</v>
      </c>
      <c r="Z20" s="226">
        <f>Inputs!I38</f>
        <v>1148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780.00000000000011</v>
      </c>
      <c r="J21" s="133">
        <f>X21*K21</f>
        <v>226.2</v>
      </c>
      <c r="K21" s="184">
        <f>K20</f>
        <v>0.28999999999999998</v>
      </c>
      <c r="L21" s="133">
        <f t="shared" si="0"/>
        <v>468</v>
      </c>
      <c r="M21" s="184">
        <f>M20</f>
        <v>0.6</v>
      </c>
      <c r="N21" s="133">
        <f t="shared" si="1"/>
        <v>77.22</v>
      </c>
      <c r="O21" s="184">
        <f>O20</f>
        <v>9.9000000000000005E-2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8.58</v>
      </c>
      <c r="W21" s="185">
        <f>W20</f>
        <v>1.0999999999999999E-2</v>
      </c>
      <c r="X21" s="213">
        <f t="shared" si="6"/>
        <v>780</v>
      </c>
      <c r="Y21" s="209">
        <f>K21+M21+O21+Q21+S21+U21+W21</f>
        <v>0.99999999999999989</v>
      </c>
      <c r="Z21" s="226">
        <f>Inputs!I39</f>
        <v>52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0.36199999999999999</v>
      </c>
      <c r="L23" s="133">
        <f t="shared" si="0"/>
        <v>0</v>
      </c>
      <c r="M23" s="184">
        <f>Inputs!E39</f>
        <v>0.59599999999999997</v>
      </c>
      <c r="N23" s="133">
        <f>X23*O23</f>
        <v>0</v>
      </c>
      <c r="O23" s="184">
        <f>Inputs!E40</f>
        <v>3.3000000000000002E-2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5219.9999999999991</v>
      </c>
      <c r="K26" s="139"/>
      <c r="L26" s="139">
        <f>SUM(L15:L25)</f>
        <v>10800</v>
      </c>
      <c r="M26" s="139"/>
      <c r="N26" s="139">
        <f>SUM(N15:N25)</f>
        <v>1782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198</v>
      </c>
      <c r="W26" s="139"/>
      <c r="X26" s="139">
        <f>SUM(X15:X25)</f>
        <v>18000</v>
      </c>
      <c r="Y26" s="139"/>
      <c r="Z26" s="139">
        <f>SUM(Z15:Z25)</f>
        <v>1200</v>
      </c>
      <c r="AA26" s="141">
        <f>IF(Z33=0,0,Z33/(H33+Z33))</f>
        <v>0</v>
      </c>
      <c r="AB26" s="139">
        <f>G26+X26</f>
        <v>18000</v>
      </c>
      <c r="AC26" s="139">
        <f>H26+Z26</f>
        <v>1200</v>
      </c>
      <c r="AD26" s="141">
        <f>I26+AA26</f>
        <v>0</v>
      </c>
    </row>
    <row r="30" spans="1:30" x14ac:dyDescent="0.2">
      <c r="A30" s="3" t="s">
        <v>107</v>
      </c>
      <c r="B30">
        <f>J26</f>
        <v>5219.9999999999991</v>
      </c>
    </row>
    <row r="31" spans="1:30" x14ac:dyDescent="0.2">
      <c r="A31" s="3" t="s">
        <v>108</v>
      </c>
      <c r="B31">
        <f>L26</f>
        <v>10800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1782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198</v>
      </c>
    </row>
    <row r="38" spans="1:13" x14ac:dyDescent="0.2">
      <c r="A38" s="3" t="s">
        <v>128</v>
      </c>
      <c r="B38">
        <f>SUM(B30:B36)</f>
        <v>18000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E23" sqref="E23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20117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1942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38920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34783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3877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18869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27" sqref="N27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13</v>
      </c>
      <c r="C7" s="151">
        <v>940516</v>
      </c>
      <c r="D7" s="188" t="s">
        <v>181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1279</v>
      </c>
      <c r="J7" s="189">
        <f>IF(H7="NEW",203, IF(H7="OLD",192,0))</f>
        <v>203</v>
      </c>
      <c r="K7" s="151">
        <v>1482</v>
      </c>
      <c r="L7" s="211">
        <f>IF(K7&gt;0,I7/E7,"NA")</f>
        <v>21.316666666666666</v>
      </c>
      <c r="M7" s="151">
        <v>129039</v>
      </c>
      <c r="N7" s="152" t="s">
        <v>238</v>
      </c>
      <c r="O7" s="157" t="s">
        <v>237</v>
      </c>
      <c r="P7" s="187">
        <f>IF(D7=Inputs!F$2,Inputs!I$2,IF(D7=Inputs!F$3,Inputs!I$3,IF(D7=Inputs!F$4,Inputs!I$4,IF(D7=Inputs!F$5,Inputs!I$5,"NA"))))</f>
        <v>24.892857142857142</v>
      </c>
    </row>
    <row r="8" spans="1:16" x14ac:dyDescent="0.25">
      <c r="A8" s="148">
        <v>2</v>
      </c>
      <c r="B8" s="189">
        <f>Inputs!C$2</f>
        <v>13</v>
      </c>
      <c r="C8" s="151">
        <v>940517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1273</v>
      </c>
      <c r="J8" s="189">
        <f>IF(H8="NEW",203, IF(H8="OLD",192,0))</f>
        <v>203</v>
      </c>
      <c r="K8" s="151">
        <v>1476</v>
      </c>
      <c r="L8" s="211">
        <f>IF(K8&gt;0,I8/E8,"NA")</f>
        <v>21.216666666666665</v>
      </c>
      <c r="M8" s="151">
        <v>129039</v>
      </c>
      <c r="N8" s="152" t="s">
        <v>238</v>
      </c>
      <c r="O8" s="157" t="s">
        <v>237</v>
      </c>
      <c r="P8" s="187">
        <f>IF(D8=Inputs!F$2,Inputs!I$2,IF(D8=Inputs!F$3,Inputs!I$3,IF(D8=Inputs!F$4,Inputs!I$4,IF(D8=Inputs!F$5,Inputs!I$5,"NA"))))</f>
        <v>24.892857142857142</v>
      </c>
    </row>
    <row r="9" spans="1:16" x14ac:dyDescent="0.25">
      <c r="A9" s="148">
        <v>3</v>
      </c>
      <c r="B9" s="189">
        <f>Inputs!C$2</f>
        <v>13</v>
      </c>
      <c r="C9" s="151">
        <v>940518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1261</v>
      </c>
      <c r="J9" s="189">
        <f>IF(H9="NEW",203, IF(H9="OLD",192,0))</f>
        <v>203</v>
      </c>
      <c r="K9" s="151">
        <v>1464</v>
      </c>
      <c r="L9" s="211">
        <f t="shared" ref="L9:L72" si="1">IF(K9&gt;0,I9/E9,"NA")</f>
        <v>21.016666666666666</v>
      </c>
      <c r="M9" s="151">
        <v>129039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24.892857142857142</v>
      </c>
    </row>
    <row r="10" spans="1:16" x14ac:dyDescent="0.25">
      <c r="A10" s="148">
        <v>4</v>
      </c>
      <c r="B10" s="189">
        <f>Inputs!C$2</f>
        <v>13</v>
      </c>
      <c r="C10" s="151">
        <v>940519</v>
      </c>
      <c r="D10" s="188" t="s">
        <v>181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1261</v>
      </c>
      <c r="J10" s="189">
        <f>IF(H10="NEW",203, IF(H10="OLD",192,0))</f>
        <v>203</v>
      </c>
      <c r="K10" s="151">
        <v>1464</v>
      </c>
      <c r="L10" s="211">
        <f t="shared" si="1"/>
        <v>21.016666666666666</v>
      </c>
      <c r="M10" s="151">
        <v>129039</v>
      </c>
      <c r="N10" s="152" t="s">
        <v>238</v>
      </c>
      <c r="O10" s="157" t="s">
        <v>51</v>
      </c>
      <c r="P10" s="187">
        <f>IF(D10=Inputs!F$2,Inputs!I$2,IF(D10=Inputs!F$3,Inputs!I$3,IF(D10=Inputs!F$4,Inputs!I$4,IF(D10=Inputs!F$5,Inputs!I$5,"NA"))))</f>
        <v>24.892857142857142</v>
      </c>
    </row>
    <row r="11" spans="1:16" x14ac:dyDescent="0.25">
      <c r="A11" s="148">
        <v>5</v>
      </c>
      <c r="B11" s="189">
        <f>Inputs!C$2</f>
        <v>13</v>
      </c>
      <c r="C11" s="151">
        <v>940520</v>
      </c>
      <c r="D11" s="188" t="s">
        <v>181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1279</v>
      </c>
      <c r="J11" s="189">
        <f t="shared" ref="J11:J72" si="2">IF(H11="NEW",203, IF(H11="OLD",192,0))</f>
        <v>203</v>
      </c>
      <c r="K11" s="151">
        <v>1482</v>
      </c>
      <c r="L11" s="211">
        <f>IF(K11&gt;0,I11/E11,"NA")</f>
        <v>21.316666666666666</v>
      </c>
      <c r="M11" s="151">
        <v>129039</v>
      </c>
      <c r="N11" s="152" t="s">
        <v>238</v>
      </c>
      <c r="O11" s="157" t="s">
        <v>51</v>
      </c>
      <c r="P11" s="187">
        <f>IF(D11=Inputs!F$2,Inputs!I$2,IF(D11=Inputs!F$3,Inputs!I$3,IF(D11=Inputs!F$4,Inputs!I$4,IF(D11=Inputs!F$5,Inputs!I$5,"NA"))))</f>
        <v>24.892857142857142</v>
      </c>
    </row>
    <row r="12" spans="1:16" x14ac:dyDescent="0.25">
      <c r="A12" s="148">
        <v>6</v>
      </c>
      <c r="B12" s="189">
        <f>Inputs!C$2</f>
        <v>13</v>
      </c>
      <c r="C12" s="151">
        <v>940521</v>
      </c>
      <c r="D12" s="188" t="s">
        <v>181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1281</v>
      </c>
      <c r="J12" s="189">
        <f t="shared" si="2"/>
        <v>203</v>
      </c>
      <c r="K12" s="151">
        <v>1484</v>
      </c>
      <c r="L12" s="211">
        <f t="shared" si="1"/>
        <v>21.35</v>
      </c>
      <c r="M12" s="151">
        <v>129039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24.892857142857142</v>
      </c>
    </row>
    <row r="13" spans="1:16" x14ac:dyDescent="0.25">
      <c r="A13" s="148">
        <v>7</v>
      </c>
      <c r="B13" s="189">
        <f>Inputs!C$2</f>
        <v>13</v>
      </c>
      <c r="C13" s="151">
        <v>940522</v>
      </c>
      <c r="D13" s="188" t="s">
        <v>181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1271</v>
      </c>
      <c r="J13" s="189">
        <f t="shared" si="2"/>
        <v>203</v>
      </c>
      <c r="K13" s="151">
        <v>1474</v>
      </c>
      <c r="L13" s="211">
        <f t="shared" si="1"/>
        <v>21.183333333333334</v>
      </c>
      <c r="M13" s="151">
        <v>129039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24.892857142857142</v>
      </c>
    </row>
    <row r="14" spans="1:16" x14ac:dyDescent="0.25">
      <c r="A14" s="148">
        <v>8</v>
      </c>
      <c r="B14" s="189">
        <f>Inputs!C$2</f>
        <v>13</v>
      </c>
      <c r="C14" s="151">
        <v>940523</v>
      </c>
      <c r="D14" s="188" t="s">
        <v>181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1271</v>
      </c>
      <c r="J14" s="189">
        <f t="shared" si="2"/>
        <v>203</v>
      </c>
      <c r="K14" s="151">
        <v>1474</v>
      </c>
      <c r="L14" s="211">
        <f t="shared" si="1"/>
        <v>21.183333333333334</v>
      </c>
      <c r="M14" s="151">
        <v>129039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24.892857142857142</v>
      </c>
    </row>
    <row r="15" spans="1:16" x14ac:dyDescent="0.25">
      <c r="A15" s="148">
        <v>9</v>
      </c>
      <c r="B15" s="189">
        <f>Inputs!C$2</f>
        <v>13</v>
      </c>
      <c r="C15" s="151">
        <v>940524</v>
      </c>
      <c r="D15" s="188" t="s">
        <v>181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1273</v>
      </c>
      <c r="J15" s="189">
        <f t="shared" si="2"/>
        <v>203</v>
      </c>
      <c r="K15" s="151">
        <v>1476</v>
      </c>
      <c r="L15" s="211">
        <f t="shared" si="1"/>
        <v>21.216666666666665</v>
      </c>
      <c r="M15" s="151">
        <v>129039</v>
      </c>
      <c r="N15" s="152" t="s">
        <v>238</v>
      </c>
      <c r="O15" s="157" t="s">
        <v>51</v>
      </c>
      <c r="P15" s="187">
        <f>IF(D15=Inputs!F$2,Inputs!I$2,IF(D15=Inputs!F$3,Inputs!I$3,IF(D15=Inputs!F$4,Inputs!I$4,IF(D15=Inputs!F$5,Inputs!I$5,"NA"))))</f>
        <v>24.892857142857142</v>
      </c>
    </row>
    <row r="16" spans="1:16" x14ac:dyDescent="0.25">
      <c r="A16" s="148">
        <v>10</v>
      </c>
      <c r="B16" s="189">
        <f>Inputs!C$2</f>
        <v>13</v>
      </c>
      <c r="C16" s="151">
        <v>940525</v>
      </c>
      <c r="D16" s="188" t="s">
        <v>181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1269</v>
      </c>
      <c r="J16" s="189">
        <f t="shared" si="2"/>
        <v>203</v>
      </c>
      <c r="K16" s="151">
        <v>1472</v>
      </c>
      <c r="L16" s="211">
        <f t="shared" si="1"/>
        <v>21.15</v>
      </c>
      <c r="M16" s="151">
        <v>129039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24.892857142857142</v>
      </c>
    </row>
    <row r="17" spans="1:16" x14ac:dyDescent="0.25">
      <c r="A17" s="148">
        <v>11</v>
      </c>
      <c r="B17" s="189">
        <f>Inputs!C$2</f>
        <v>13</v>
      </c>
      <c r="C17" s="151">
        <v>940526</v>
      </c>
      <c r="D17" s="188" t="s">
        <v>181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1327</v>
      </c>
      <c r="J17" s="189">
        <f t="shared" si="2"/>
        <v>203</v>
      </c>
      <c r="K17" s="151">
        <v>1530</v>
      </c>
      <c r="L17" s="211">
        <f t="shared" si="1"/>
        <v>22.116666666666667</v>
      </c>
      <c r="M17" s="151">
        <v>129039</v>
      </c>
      <c r="N17" s="152" t="s">
        <v>238</v>
      </c>
      <c r="O17" s="157" t="s">
        <v>237</v>
      </c>
      <c r="P17" s="187">
        <f>IF(D17=Inputs!F$2,Inputs!I$2,IF(D17=Inputs!F$3,Inputs!I$3,IF(D17=Inputs!F$4,Inputs!I$4,IF(D17=Inputs!F$5,Inputs!I$5,"NA"))))</f>
        <v>24.892857142857142</v>
      </c>
    </row>
    <row r="18" spans="1:16" x14ac:dyDescent="0.25">
      <c r="A18" s="148">
        <v>12</v>
      </c>
      <c r="B18" s="189">
        <f>Inputs!C$2</f>
        <v>13</v>
      </c>
      <c r="C18" s="151">
        <v>940527</v>
      </c>
      <c r="D18" s="188" t="s">
        <v>181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1287</v>
      </c>
      <c r="J18" s="189">
        <f t="shared" si="2"/>
        <v>203</v>
      </c>
      <c r="K18" s="151">
        <v>1490</v>
      </c>
      <c r="L18" s="211">
        <f t="shared" si="1"/>
        <v>21.45</v>
      </c>
      <c r="M18" s="151">
        <v>129039</v>
      </c>
      <c r="N18" s="152" t="s">
        <v>238</v>
      </c>
      <c r="O18" s="157" t="s">
        <v>51</v>
      </c>
      <c r="P18" s="187">
        <f>IF(D18=Inputs!F$2,Inputs!I$2,IF(D18=Inputs!F$3,Inputs!I$3,IF(D18=Inputs!F$4,Inputs!I$4,IF(D18=Inputs!F$5,Inputs!I$5,"NA"))))</f>
        <v>24.892857142857142</v>
      </c>
    </row>
    <row r="19" spans="1:16" x14ac:dyDescent="0.25">
      <c r="A19" s="148">
        <v>13</v>
      </c>
      <c r="B19" s="189">
        <f>Inputs!C$2</f>
        <v>13</v>
      </c>
      <c r="C19" s="151">
        <v>940528</v>
      </c>
      <c r="D19" s="188" t="s">
        <v>181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1285</v>
      </c>
      <c r="J19" s="189">
        <f t="shared" si="2"/>
        <v>203</v>
      </c>
      <c r="K19" s="151">
        <v>1488</v>
      </c>
      <c r="L19" s="211">
        <f t="shared" si="1"/>
        <v>21.416666666666668</v>
      </c>
      <c r="M19" s="151">
        <v>129039</v>
      </c>
      <c r="N19" s="152" t="s">
        <v>238</v>
      </c>
      <c r="O19" s="157" t="s">
        <v>51</v>
      </c>
      <c r="P19" s="187">
        <f>IF(D19=Inputs!F$2,Inputs!I$2,IF(D19=Inputs!F$3,Inputs!I$3,IF(D19=Inputs!F$4,Inputs!I$4,IF(D19=Inputs!F$5,Inputs!I$5,"NA"))))</f>
        <v>24.892857142857142</v>
      </c>
    </row>
    <row r="20" spans="1:16" x14ac:dyDescent="0.25">
      <c r="A20" s="148">
        <v>14</v>
      </c>
      <c r="B20" s="189">
        <f>Inputs!C$2</f>
        <v>13</v>
      </c>
      <c r="C20" s="151">
        <v>940529</v>
      </c>
      <c r="D20" s="188" t="s">
        <v>181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1311</v>
      </c>
      <c r="J20" s="189">
        <f t="shared" si="2"/>
        <v>203</v>
      </c>
      <c r="K20" s="151">
        <v>1514</v>
      </c>
      <c r="L20" s="211">
        <f t="shared" si="1"/>
        <v>21.85</v>
      </c>
      <c r="M20" s="151">
        <v>129039</v>
      </c>
      <c r="N20" s="152" t="s">
        <v>238</v>
      </c>
      <c r="O20" s="157" t="s">
        <v>237</v>
      </c>
      <c r="P20" s="187">
        <f>IF(D20=Inputs!F$2,Inputs!I$2,IF(D20=Inputs!F$3,Inputs!I$3,IF(D20=Inputs!F$4,Inputs!I$4,IF(D20=Inputs!F$5,Inputs!I$5,"NA"))))</f>
        <v>24.892857142857142</v>
      </c>
    </row>
    <row r="21" spans="1:16" x14ac:dyDescent="0.25">
      <c r="A21" s="148">
        <v>15</v>
      </c>
      <c r="B21" s="189">
        <f>Inputs!C$2</f>
        <v>13</v>
      </c>
      <c r="C21" s="151">
        <v>940530</v>
      </c>
      <c r="D21" s="188" t="s">
        <v>181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1295</v>
      </c>
      <c r="J21" s="189">
        <f t="shared" si="2"/>
        <v>203</v>
      </c>
      <c r="K21" s="151">
        <v>1498</v>
      </c>
      <c r="L21" s="211">
        <f t="shared" si="1"/>
        <v>21.583333333333332</v>
      </c>
      <c r="M21" s="151">
        <v>129039</v>
      </c>
      <c r="N21" s="152" t="s">
        <v>238</v>
      </c>
      <c r="O21" s="157" t="s">
        <v>51</v>
      </c>
      <c r="P21" s="187">
        <f>IF(D21=Inputs!F$2,Inputs!I$2,IF(D21=Inputs!F$3,Inputs!I$3,IF(D21=Inputs!F$4,Inputs!I$4,IF(D21=Inputs!F$5,Inputs!I$5,"NA"))))</f>
        <v>24.892857142857142</v>
      </c>
    </row>
    <row r="22" spans="1:16" x14ac:dyDescent="0.25">
      <c r="A22" s="148">
        <v>16</v>
      </c>
      <c r="B22" s="189">
        <f>Inputs!C$2</f>
        <v>13</v>
      </c>
      <c r="C22" s="151">
        <v>940531</v>
      </c>
      <c r="D22" s="188" t="s">
        <v>181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1297</v>
      </c>
      <c r="J22" s="189">
        <f t="shared" si="2"/>
        <v>203</v>
      </c>
      <c r="K22" s="235">
        <v>1500</v>
      </c>
      <c r="L22" s="211">
        <f t="shared" si="1"/>
        <v>21.616666666666667</v>
      </c>
      <c r="M22" s="151">
        <v>129039</v>
      </c>
      <c r="N22" s="152" t="s">
        <v>238</v>
      </c>
      <c r="O22" s="157" t="s">
        <v>51</v>
      </c>
      <c r="P22" s="187">
        <f>IF(D22=Inputs!F$2,Inputs!I$2,IF(D22=Inputs!F$3,Inputs!I$3,IF(D22=Inputs!F$4,Inputs!I$4,IF(D22=Inputs!F$5,Inputs!I$5,"NA"))))</f>
        <v>24.892857142857142</v>
      </c>
    </row>
    <row r="23" spans="1:16" x14ac:dyDescent="0.25">
      <c r="A23" s="148">
        <v>17</v>
      </c>
      <c r="B23" s="189">
        <f>Inputs!C$2</f>
        <v>13</v>
      </c>
      <c r="C23" s="151">
        <v>940532</v>
      </c>
      <c r="D23" s="188" t="s">
        <v>181</v>
      </c>
      <c r="E23" s="148">
        <v>60</v>
      </c>
      <c r="F23" s="188" t="s">
        <v>120</v>
      </c>
      <c r="G23" s="188"/>
      <c r="H23" s="191" t="s">
        <v>220</v>
      </c>
      <c r="I23" s="210">
        <f t="shared" si="0"/>
        <v>1333</v>
      </c>
      <c r="J23" s="189">
        <f t="shared" si="2"/>
        <v>203</v>
      </c>
      <c r="K23" s="151">
        <v>1536</v>
      </c>
      <c r="L23" s="211">
        <f t="shared" si="1"/>
        <v>22.216666666666665</v>
      </c>
      <c r="M23" s="151">
        <v>129039</v>
      </c>
      <c r="N23" s="152" t="s">
        <v>238</v>
      </c>
      <c r="O23" s="157" t="s">
        <v>51</v>
      </c>
      <c r="P23" s="187">
        <f>IF(D23=Inputs!F$2,Inputs!I$2,IF(D23=Inputs!F$3,Inputs!I$3,IF(D23=Inputs!F$4,Inputs!I$4,IF(D23=Inputs!F$5,Inputs!I$5,"NA"))))</f>
        <v>24.892857142857142</v>
      </c>
    </row>
    <row r="24" spans="1:16" x14ac:dyDescent="0.25">
      <c r="A24" s="148">
        <v>18</v>
      </c>
      <c r="B24" s="189">
        <f>Inputs!C$2</f>
        <v>13</v>
      </c>
      <c r="C24" s="151">
        <v>940533</v>
      </c>
      <c r="D24" s="188" t="s">
        <v>181</v>
      </c>
      <c r="E24" s="148">
        <v>60</v>
      </c>
      <c r="F24" s="188" t="s">
        <v>120</v>
      </c>
      <c r="G24" s="188"/>
      <c r="H24" s="191" t="s">
        <v>220</v>
      </c>
      <c r="I24" s="210">
        <f t="shared" si="0"/>
        <v>1303</v>
      </c>
      <c r="J24" s="189">
        <f t="shared" si="2"/>
        <v>203</v>
      </c>
      <c r="K24" s="151">
        <v>1506</v>
      </c>
      <c r="L24" s="211">
        <f t="shared" si="1"/>
        <v>21.716666666666665</v>
      </c>
      <c r="M24" s="151">
        <v>129039</v>
      </c>
      <c r="N24" s="152" t="s">
        <v>238</v>
      </c>
      <c r="O24" s="157" t="s">
        <v>51</v>
      </c>
      <c r="P24" s="187">
        <f>IF(D24=Inputs!F$2,Inputs!I$2,IF(D24=Inputs!F$3,Inputs!I$3,IF(D24=Inputs!F$4,Inputs!I$4,IF(D24=Inputs!F$5,Inputs!I$5,"NA"))))</f>
        <v>24.892857142857142</v>
      </c>
    </row>
    <row r="25" spans="1:16" x14ac:dyDescent="0.25">
      <c r="A25" s="148">
        <v>19</v>
      </c>
      <c r="B25" s="189">
        <f>Inputs!C$2</f>
        <v>13</v>
      </c>
      <c r="C25" s="151">
        <v>940534</v>
      </c>
      <c r="D25" s="188" t="s">
        <v>181</v>
      </c>
      <c r="E25" s="148">
        <v>60</v>
      </c>
      <c r="F25" s="188" t="s">
        <v>120</v>
      </c>
      <c r="G25" s="188"/>
      <c r="H25" s="191" t="s">
        <v>220</v>
      </c>
      <c r="I25" s="210">
        <f t="shared" si="0"/>
        <v>1301</v>
      </c>
      <c r="J25" s="189">
        <f t="shared" si="2"/>
        <v>203</v>
      </c>
      <c r="K25" s="151">
        <v>1504</v>
      </c>
      <c r="L25" s="211">
        <f t="shared" si="1"/>
        <v>21.683333333333334</v>
      </c>
      <c r="M25" s="151">
        <v>129039</v>
      </c>
      <c r="N25" s="152" t="s">
        <v>238</v>
      </c>
      <c r="O25" s="157" t="s">
        <v>51</v>
      </c>
      <c r="P25" s="187">
        <f>IF(D25=Inputs!F$2,Inputs!I$2,IF(D25=Inputs!F$3,Inputs!I$3,IF(D25=Inputs!F$4,Inputs!I$4,IF(D25=Inputs!F$5,Inputs!I$5,"NA"))))</f>
        <v>24.892857142857142</v>
      </c>
    </row>
    <row r="26" spans="1:16" x14ac:dyDescent="0.25">
      <c r="A26" s="148">
        <v>20</v>
      </c>
      <c r="B26" s="189">
        <f>Inputs!C$2</f>
        <v>13</v>
      </c>
      <c r="C26" s="151">
        <v>940535</v>
      </c>
      <c r="D26" s="188" t="s">
        <v>181</v>
      </c>
      <c r="E26" s="148">
        <v>60</v>
      </c>
      <c r="F26" s="188" t="s">
        <v>120</v>
      </c>
      <c r="G26" s="188"/>
      <c r="H26" s="191" t="s">
        <v>220</v>
      </c>
      <c r="I26" s="210">
        <f t="shared" si="0"/>
        <v>1301</v>
      </c>
      <c r="J26" s="189">
        <f t="shared" si="2"/>
        <v>203</v>
      </c>
      <c r="K26" s="151">
        <v>1504</v>
      </c>
      <c r="L26" s="211">
        <f t="shared" si="1"/>
        <v>21.683333333333334</v>
      </c>
      <c r="M26" s="151">
        <v>129039</v>
      </c>
      <c r="N26" s="152" t="s">
        <v>238</v>
      </c>
      <c r="O26" s="157" t="s">
        <v>51</v>
      </c>
      <c r="P26" s="187">
        <f>IF(D26=Inputs!F$2,Inputs!I$2,IF(D26=Inputs!F$3,Inputs!I$3,IF(D26=Inputs!F$4,Inputs!I$4,IF(D26=Inputs!F$5,Inputs!I$5,"NA"))))</f>
        <v>24.892857142857142</v>
      </c>
    </row>
    <row r="27" spans="1:16" x14ac:dyDescent="0.25">
      <c r="A27" s="148">
        <v>21</v>
      </c>
      <c r="B27" s="189">
        <f>Inputs!C$2</f>
        <v>13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13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13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13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13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13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13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13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13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13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13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13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13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13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13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13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13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13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13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13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13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13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13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13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13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13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13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13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13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13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13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13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13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13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13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13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13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13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13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13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13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13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13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13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13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13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13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13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13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13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13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13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13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13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13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13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J11" sqref="J11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13</v>
      </c>
      <c r="F2" s="166" t="s">
        <v>183</v>
      </c>
      <c r="G2" s="186">
        <v>45264</v>
      </c>
      <c r="I2" s="205">
        <f>(C$3-G2)/7</f>
        <v>68.892857142857139</v>
      </c>
      <c r="J2" s="230">
        <f>I2-19</f>
        <v>49.892857142857139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45746.25</v>
      </c>
      <c r="D3" s="247"/>
      <c r="F3" s="166" t="s">
        <v>7</v>
      </c>
      <c r="G3" s="186">
        <v>45390</v>
      </c>
      <c r="I3" s="205">
        <f>(C$3-G3)/7</f>
        <v>50.892857142857146</v>
      </c>
      <c r="J3" s="230">
        <f>I3-19</f>
        <v>31.892857142857146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24.892857142857142</v>
      </c>
      <c r="J4" s="230">
        <f>I4-19</f>
        <v>5.8928571428571423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42.464285714285715</v>
      </c>
      <c r="J5" s="230">
        <f>I5-19</f>
        <v>23.464285714285715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90</v>
      </c>
      <c r="C10" s="168">
        <v>10</v>
      </c>
      <c r="E10" s="139">
        <v>3</v>
      </c>
      <c r="F10" s="168">
        <v>112</v>
      </c>
      <c r="G10" s="168">
        <v>13</v>
      </c>
    </row>
    <row r="11" spans="1:12" x14ac:dyDescent="0.2">
      <c r="A11" s="139">
        <v>6</v>
      </c>
      <c r="B11" s="168">
        <v>216</v>
      </c>
      <c r="C11" s="165"/>
      <c r="E11" s="139">
        <v>6</v>
      </c>
      <c r="F11" s="168">
        <v>221</v>
      </c>
      <c r="G11" s="165"/>
    </row>
    <row r="12" spans="1:12" x14ac:dyDescent="0.2">
      <c r="A12" s="139">
        <v>7</v>
      </c>
      <c r="B12" s="168">
        <v>176</v>
      </c>
      <c r="C12" s="168">
        <v>20</v>
      </c>
      <c r="E12" s="139">
        <v>7</v>
      </c>
      <c r="F12" s="168">
        <v>180</v>
      </c>
      <c r="G12" s="168">
        <v>20</v>
      </c>
    </row>
    <row r="13" spans="1:12" x14ac:dyDescent="0.2">
      <c r="A13" s="139">
        <v>11</v>
      </c>
      <c r="B13" s="168">
        <v>105</v>
      </c>
      <c r="C13" s="165"/>
      <c r="E13" s="139">
        <v>11</v>
      </c>
      <c r="F13" s="168">
        <v>110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102</v>
      </c>
      <c r="C16" s="168">
        <v>10</v>
      </c>
      <c r="E16" s="139">
        <v>3</v>
      </c>
      <c r="F16" s="168">
        <v>107</v>
      </c>
      <c r="G16" s="168">
        <v>10</v>
      </c>
    </row>
    <row r="17" spans="1:11" x14ac:dyDescent="0.2">
      <c r="A17" s="139">
        <v>6</v>
      </c>
      <c r="B17" s="168">
        <v>231</v>
      </c>
      <c r="C17" s="165"/>
      <c r="E17" s="139">
        <v>6</v>
      </c>
      <c r="F17" s="168">
        <v>221</v>
      </c>
      <c r="G17" s="165"/>
    </row>
    <row r="18" spans="1:11" x14ac:dyDescent="0.2">
      <c r="A18" s="139">
        <v>7</v>
      </c>
      <c r="B18" s="168">
        <v>188</v>
      </c>
      <c r="C18" s="168">
        <v>22</v>
      </c>
      <c r="E18" s="139">
        <v>7</v>
      </c>
      <c r="F18" s="168">
        <v>178</v>
      </c>
      <c r="G18" s="168">
        <v>20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110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110</v>
      </c>
      <c r="C23" s="168">
        <v>12</v>
      </c>
      <c r="E23" s="139">
        <v>3</v>
      </c>
      <c r="F23" s="168">
        <v>106</v>
      </c>
      <c r="G23" s="168">
        <v>11</v>
      </c>
    </row>
    <row r="24" spans="1:11" x14ac:dyDescent="0.2">
      <c r="A24" s="139">
        <v>6</v>
      </c>
      <c r="B24" s="168">
        <v>225</v>
      </c>
      <c r="C24" s="165"/>
      <c r="E24" s="139">
        <v>6</v>
      </c>
      <c r="F24" s="168">
        <v>221</v>
      </c>
      <c r="G24" s="165"/>
    </row>
    <row r="25" spans="1:11" x14ac:dyDescent="0.2">
      <c r="A25" s="139">
        <v>7</v>
      </c>
      <c r="B25" s="168">
        <v>180</v>
      </c>
      <c r="C25" s="168">
        <v>23</v>
      </c>
      <c r="E25" s="139">
        <v>7</v>
      </c>
      <c r="F25" s="168">
        <v>187</v>
      </c>
      <c r="G25" s="168">
        <v>21</v>
      </c>
    </row>
    <row r="26" spans="1:11" x14ac:dyDescent="0.2">
      <c r="A26" s="139">
        <v>11</v>
      </c>
      <c r="B26" s="168">
        <v>112</v>
      </c>
      <c r="C26" s="165"/>
      <c r="E26" s="139">
        <v>11</v>
      </c>
      <c r="F26" s="168">
        <v>105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106</v>
      </c>
      <c r="C29" s="168">
        <v>11</v>
      </c>
      <c r="E29" s="139">
        <v>3</v>
      </c>
      <c r="F29" s="203">
        <f t="shared" ref="F29:G32" si="0">B10+F10+B16+F16+B23+F23+B29</f>
        <v>733</v>
      </c>
      <c r="G29" s="203">
        <f t="shared" si="0"/>
        <v>77</v>
      </c>
      <c r="I29" s="139">
        <v>3</v>
      </c>
      <c r="J29" s="203">
        <f t="shared" ref="J29:K31" si="1">F29*15</f>
        <v>10995</v>
      </c>
      <c r="K29" s="203">
        <f t="shared" si="1"/>
        <v>1155</v>
      </c>
    </row>
    <row r="30" spans="1:11" x14ac:dyDescent="0.2">
      <c r="A30" s="139">
        <v>6</v>
      </c>
      <c r="B30" s="168">
        <v>214</v>
      </c>
      <c r="C30" s="165"/>
      <c r="E30" s="139">
        <v>6</v>
      </c>
      <c r="F30" s="203">
        <f t="shared" si="0"/>
        <v>1549</v>
      </c>
      <c r="G30" s="204">
        <f t="shared" si="0"/>
        <v>0</v>
      </c>
      <c r="I30" s="139">
        <v>6</v>
      </c>
      <c r="J30" s="203">
        <f t="shared" si="1"/>
        <v>23235</v>
      </c>
      <c r="K30" s="204">
        <f t="shared" si="1"/>
        <v>0</v>
      </c>
    </row>
    <row r="31" spans="1:11" x14ac:dyDescent="0.2">
      <c r="A31" s="139">
        <v>7</v>
      </c>
      <c r="B31" s="168">
        <v>175</v>
      </c>
      <c r="C31" s="168">
        <v>20</v>
      </c>
      <c r="E31" s="139">
        <v>7</v>
      </c>
      <c r="F31" s="203">
        <f t="shared" si="0"/>
        <v>1264</v>
      </c>
      <c r="G31" s="203">
        <f t="shared" si="0"/>
        <v>146</v>
      </c>
      <c r="I31" s="139">
        <v>7</v>
      </c>
      <c r="J31" s="203">
        <f t="shared" si="1"/>
        <v>18960</v>
      </c>
      <c r="K31" s="203">
        <f t="shared" si="1"/>
        <v>2190</v>
      </c>
    </row>
    <row r="32" spans="1:11" x14ac:dyDescent="0.2">
      <c r="A32" s="139">
        <v>11</v>
      </c>
      <c r="B32" s="168">
        <v>110</v>
      </c>
      <c r="C32" s="165"/>
      <c r="E32" s="139">
        <v>11</v>
      </c>
      <c r="F32" s="203">
        <f t="shared" si="0"/>
        <v>769</v>
      </c>
      <c r="G32" s="204">
        <f t="shared" si="0"/>
        <v>0</v>
      </c>
      <c r="I32" s="139">
        <v>11</v>
      </c>
      <c r="J32" s="203">
        <f>F32*15</f>
        <v>11535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0</v>
      </c>
    </row>
    <row r="36" spans="1:9" x14ac:dyDescent="0.2">
      <c r="A36" s="172" t="s">
        <v>107</v>
      </c>
      <c r="B36" s="201">
        <f>B37+B38</f>
        <v>0.27600000000000002</v>
      </c>
      <c r="C36" s="201">
        <f>C37+C38</f>
        <v>0.309</v>
      </c>
      <c r="D36" s="201">
        <f>D37+D38</f>
        <v>0.28999999999999998</v>
      </c>
      <c r="E36" s="201">
        <f>E37+E38</f>
        <v>0.36199999999999999</v>
      </c>
      <c r="G36" s="245" t="s">
        <v>225</v>
      </c>
      <c r="H36" s="245"/>
      <c r="I36" s="225">
        <v>0</v>
      </c>
    </row>
    <row r="37" spans="1:9" x14ac:dyDescent="0.2">
      <c r="A37" s="172" t="s">
        <v>200</v>
      </c>
      <c r="B37" s="173">
        <v>2.5999999999999999E-2</v>
      </c>
      <c r="C37" s="236">
        <v>4.3999999999999997E-2</v>
      </c>
      <c r="D37" s="173">
        <v>3.5999999999999997E-2</v>
      </c>
      <c r="E37" s="173">
        <v>3.9E-2</v>
      </c>
      <c r="G37" s="245" t="s">
        <v>226</v>
      </c>
      <c r="H37" s="245"/>
      <c r="I37" s="225">
        <v>0</v>
      </c>
    </row>
    <row r="38" spans="1:9" x14ac:dyDescent="0.2">
      <c r="A38" s="172" t="s">
        <v>201</v>
      </c>
      <c r="B38" s="173">
        <v>0.25</v>
      </c>
      <c r="C38" s="173">
        <v>0.26500000000000001</v>
      </c>
      <c r="D38" s="173">
        <v>0.254</v>
      </c>
      <c r="E38" s="173">
        <v>0.32300000000000001</v>
      </c>
      <c r="G38" s="245" t="s">
        <v>227</v>
      </c>
      <c r="H38" s="245"/>
      <c r="I38" s="225">
        <v>1148</v>
      </c>
    </row>
    <row r="39" spans="1:9" x14ac:dyDescent="0.2">
      <c r="A39" s="172" t="s">
        <v>202</v>
      </c>
      <c r="B39" s="173">
        <v>0.65900000000000003</v>
      </c>
      <c r="C39" s="173">
        <v>0.61899999999999999</v>
      </c>
      <c r="D39" s="173">
        <v>0.6</v>
      </c>
      <c r="E39" s="173">
        <v>0.59599999999999997</v>
      </c>
      <c r="G39" s="245" t="s">
        <v>228</v>
      </c>
      <c r="H39" s="245"/>
      <c r="I39" s="225">
        <v>52</v>
      </c>
    </row>
    <row r="40" spans="1:9" x14ac:dyDescent="0.2">
      <c r="A40" s="172" t="s">
        <v>203</v>
      </c>
      <c r="B40" s="173">
        <v>5.2999999999999999E-2</v>
      </c>
      <c r="C40" s="173">
        <v>6.4000000000000001E-2</v>
      </c>
      <c r="D40" s="173">
        <v>9.9000000000000005E-2</v>
      </c>
      <c r="E40" s="173">
        <v>3.3000000000000002E-2</v>
      </c>
      <c r="G40" s="245" t="s">
        <v>229</v>
      </c>
      <c r="H40" s="245"/>
      <c r="I40" s="225">
        <v>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0</v>
      </c>
      <c r="E41" s="173">
        <v>0</v>
      </c>
      <c r="G41" s="245" t="s">
        <v>231</v>
      </c>
      <c r="H41" s="245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1.2E-2</v>
      </c>
      <c r="C43" s="202">
        <f>SUM(C47:C50)</f>
        <v>8.0000000000000002E-3</v>
      </c>
      <c r="D43" s="202">
        <f>SUM(D47:D50)</f>
        <v>1.0999999999999999E-2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62.97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234</v>
      </c>
      <c r="B45" s="231">
        <f>J29+K29</f>
        <v>12150</v>
      </c>
      <c r="C45" s="231">
        <f>J30</f>
        <v>23235</v>
      </c>
      <c r="D45" s="231">
        <f>J31</f>
        <v>18960</v>
      </c>
      <c r="E45" s="231">
        <f>J32</f>
        <v>11535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3.0000000000000001E-3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3.0000000000000001E-3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2025-03-31T12:56:49Z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