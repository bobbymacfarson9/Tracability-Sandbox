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8_{A94DA4C8-9014-4518-B82C-170F8ACED291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Declaration Summary" sheetId="4" r:id="rId1"/>
    <sheet name="Grade out Information" sheetId="5" r:id="rId2"/>
    <sheet name="Hilly Acres Farm Ltd." sheetId="2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2" i="8" l="1"/>
  <c r="AH53" i="8"/>
  <c r="AH32" i="8"/>
  <c r="AH21" i="8"/>
  <c r="F29" i="8"/>
  <c r="J29" i="8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Q71" i="6" s="1"/>
  <c r="R71" i="6" s="1"/>
  <c r="I43" i="6"/>
  <c r="Q43" i="6" s="1"/>
  <c r="R43" i="6" s="1"/>
  <c r="I44" i="6"/>
  <c r="Q44" i="6" s="1"/>
  <c r="R44" i="6" s="1"/>
  <c r="I72" i="6"/>
  <c r="Q72" i="6" s="1"/>
  <c r="R72" i="6" s="1"/>
  <c r="I73" i="6"/>
  <c r="Q73" i="6" s="1"/>
  <c r="R73" i="6" s="1"/>
  <c r="I74" i="6"/>
  <c r="Q74" i="6" s="1"/>
  <c r="R74" i="6" s="1"/>
  <c r="I78" i="6"/>
  <c r="Q78" i="6" s="1"/>
  <c r="R78" i="6" s="1"/>
  <c r="P71" i="6"/>
  <c r="P72" i="6"/>
  <c r="P73" i="6"/>
  <c r="P74" i="6"/>
  <c r="P75" i="6"/>
  <c r="P76" i="6"/>
  <c r="P77" i="6"/>
  <c r="P78" i="6"/>
  <c r="P79" i="6"/>
  <c r="P80" i="6"/>
  <c r="P81" i="6"/>
  <c r="P82" i="6"/>
  <c r="L43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Q75" i="6" s="1"/>
  <c r="R75" i="6" s="1"/>
  <c r="I76" i="6"/>
  <c r="Q76" i="6" s="1"/>
  <c r="R76" i="6" s="1"/>
  <c r="I77" i="6"/>
  <c r="Q77" i="6" s="1"/>
  <c r="R77" i="6" s="1"/>
  <c r="I79" i="6"/>
  <c r="Q79" i="6" s="1"/>
  <c r="R79" i="6" s="1"/>
  <c r="I80" i="6"/>
  <c r="Q80" i="6" s="1"/>
  <c r="R80" i="6" s="1"/>
  <c r="I81" i="6"/>
  <c r="Q81" i="6" s="1"/>
  <c r="R81" i="6" s="1"/>
  <c r="I82" i="6"/>
  <c r="Q82" i="6" s="1"/>
  <c r="R82" i="6" s="1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I39" i="6" s="1"/>
  <c r="Q39" i="6" s="1"/>
  <c r="R39" i="6" s="1"/>
  <c r="J40" i="6"/>
  <c r="I40" i="6" s="1"/>
  <c r="Q40" i="6" s="1"/>
  <c r="R40" i="6" s="1"/>
  <c r="J41" i="6"/>
  <c r="I41" i="6" s="1"/>
  <c r="J42" i="6"/>
  <c r="I42" i="6" s="1"/>
  <c r="Q42" i="6" s="1"/>
  <c r="R42" i="6" s="1"/>
  <c r="J43" i="6"/>
  <c r="J44" i="6"/>
  <c r="J45" i="6"/>
  <c r="I45" i="6" s="1"/>
  <c r="Q45" i="6" s="1"/>
  <c r="R45" i="6" s="1"/>
  <c r="J46" i="6"/>
  <c r="I46" i="6" s="1"/>
  <c r="Q46" i="6" s="1"/>
  <c r="R46" i="6" s="1"/>
  <c r="J47" i="6"/>
  <c r="I47" i="6" s="1"/>
  <c r="Q47" i="6" s="1"/>
  <c r="R47" i="6" s="1"/>
  <c r="J48" i="6"/>
  <c r="I48" i="6" s="1"/>
  <c r="Q48" i="6" s="1"/>
  <c r="R48" i="6" s="1"/>
  <c r="J49" i="6"/>
  <c r="I49" i="6" s="1"/>
  <c r="Q49" i="6" s="1"/>
  <c r="R49" i="6" s="1"/>
  <c r="J50" i="6"/>
  <c r="I50" i="6" s="1"/>
  <c r="Q50" i="6" s="1"/>
  <c r="R50" i="6" s="1"/>
  <c r="J51" i="6"/>
  <c r="I51" i="6" s="1"/>
  <c r="Q51" i="6" s="1"/>
  <c r="R51" i="6" s="1"/>
  <c r="J52" i="6"/>
  <c r="I52" i="6" s="1"/>
  <c r="Q52" i="6" s="1"/>
  <c r="R52" i="6" s="1"/>
  <c r="J53" i="6"/>
  <c r="I53" i="6" s="1"/>
  <c r="Q53" i="6" s="1"/>
  <c r="R53" i="6" s="1"/>
  <c r="J54" i="6"/>
  <c r="I54" i="6" s="1"/>
  <c r="Q54" i="6" s="1"/>
  <c r="R54" i="6" s="1"/>
  <c r="J55" i="6"/>
  <c r="I55" i="6" s="1"/>
  <c r="J56" i="6"/>
  <c r="I56" i="6" s="1"/>
  <c r="J57" i="6"/>
  <c r="I57" i="6" s="1"/>
  <c r="J58" i="6"/>
  <c r="I58" i="6" s="1"/>
  <c r="J59" i="6"/>
  <c r="I59" i="6" s="1"/>
  <c r="Q59" i="6" s="1"/>
  <c r="R59" i="6" s="1"/>
  <c r="J60" i="6"/>
  <c r="I60" i="6" s="1"/>
  <c r="J61" i="6"/>
  <c r="I61" i="6" s="1"/>
  <c r="Q61" i="6" s="1"/>
  <c r="R61" i="6" s="1"/>
  <c r="J62" i="6"/>
  <c r="I62" i="6" s="1"/>
  <c r="Q62" i="6" s="1"/>
  <c r="R62" i="6" s="1"/>
  <c r="J63" i="6"/>
  <c r="I63" i="6" s="1"/>
  <c r="J64" i="6"/>
  <c r="I64" i="6" s="1"/>
  <c r="Q64" i="6" s="1"/>
  <c r="R64" i="6" s="1"/>
  <c r="J65" i="6"/>
  <c r="I65" i="6" s="1"/>
  <c r="J66" i="6"/>
  <c r="I66" i="6" s="1"/>
  <c r="Q66" i="6" s="1"/>
  <c r="R66" i="6" s="1"/>
  <c r="J67" i="6"/>
  <c r="I67" i="6" s="1"/>
  <c r="Q67" i="6" s="1"/>
  <c r="R67" i="6" s="1"/>
  <c r="J68" i="6"/>
  <c r="I68" i="6" s="1"/>
  <c r="Q68" i="6" s="1"/>
  <c r="R68" i="6" s="1"/>
  <c r="J69" i="6"/>
  <c r="I69" i="6" s="1"/>
  <c r="Q69" i="6" s="1"/>
  <c r="R69" i="6" s="1"/>
  <c r="J70" i="6"/>
  <c r="I70" i="6" s="1"/>
  <c r="Q70" i="6" s="1"/>
  <c r="R70" i="6" s="1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C3" i="8"/>
  <c r="I3" i="8" s="1"/>
  <c r="P43" i="6" s="1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Q41" i="6" l="1"/>
  <c r="R41" i="6" s="1"/>
  <c r="L41" i="6"/>
  <c r="Q63" i="6"/>
  <c r="R63" i="6" s="1"/>
  <c r="L63" i="6"/>
  <c r="Q65" i="6"/>
  <c r="R65" i="6" s="1"/>
  <c r="L65" i="6"/>
  <c r="Q60" i="6"/>
  <c r="R60" i="6" s="1"/>
  <c r="L60" i="6"/>
  <c r="P49" i="6"/>
  <c r="P53" i="6"/>
  <c r="P50" i="6"/>
  <c r="P48" i="6"/>
  <c r="P70" i="6"/>
  <c r="P46" i="6"/>
  <c r="P45" i="6"/>
  <c r="P60" i="6"/>
  <c r="P44" i="6"/>
  <c r="L70" i="6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L36" i="6"/>
  <c r="B3" i="4"/>
  <c r="L35" i="6"/>
  <c r="L37" i="6"/>
  <c r="I5" i="8"/>
  <c r="P42" i="6" l="1"/>
  <c r="P66" i="6"/>
  <c r="P56" i="6"/>
  <c r="P59" i="6"/>
  <c r="P41" i="6"/>
  <c r="P65" i="6"/>
  <c r="V6" i="6"/>
  <c r="AH7" i="8" s="1"/>
  <c r="AF7" i="8" s="1"/>
  <c r="V53" i="6"/>
  <c r="AH54" i="8" s="1"/>
  <c r="AF54" i="8" s="1"/>
  <c r="R54" i="8" s="1"/>
  <c r="V52" i="6"/>
  <c r="AF53" i="8" s="1"/>
  <c r="X53" i="8" s="1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AF21" i="8" s="1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AF32" i="8" s="1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AF42" i="8" s="1"/>
  <c r="AD42" i="8" s="1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30" i="6"/>
  <c r="P42" i="8"/>
  <c r="V42" i="8"/>
  <c r="AB53" i="8"/>
  <c r="P24" i="6"/>
  <c r="P21" i="6"/>
  <c r="P26" i="6"/>
  <c r="P23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R42" i="8" l="1"/>
  <c r="T42" i="8"/>
  <c r="AB42" i="8"/>
  <c r="X42" i="8"/>
  <c r="Z42" i="8"/>
  <c r="Z53" i="8"/>
  <c r="P53" i="8"/>
  <c r="V53" i="8"/>
  <c r="T53" i="8"/>
  <c r="R53" i="8"/>
  <c r="AD53" i="8"/>
  <c r="AB61" i="8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AF55" i="8"/>
  <c r="AH55" i="8" s="1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I2" i="8"/>
  <c r="P67" i="6" l="1"/>
  <c r="P61" i="6"/>
  <c r="P47" i="6"/>
  <c r="P62" i="6"/>
  <c r="P51" i="6"/>
  <c r="P63" i="6"/>
  <c r="P52" i="6"/>
  <c r="P64" i="6"/>
  <c r="P20" i="6"/>
  <c r="P18" i="6"/>
  <c r="P19" i="6"/>
  <c r="P25" i="6"/>
  <c r="P28" i="6"/>
  <c r="P22" i="6"/>
  <c r="P54" i="6"/>
  <c r="P55" i="6"/>
  <c r="P68" i="6"/>
  <c r="P57" i="6"/>
  <c r="P69" i="6"/>
  <c r="P58" i="6"/>
  <c r="P39" i="6"/>
  <c r="P40" i="6"/>
  <c r="P29" i="6"/>
  <c r="P10" i="6"/>
  <c r="P8" i="6"/>
  <c r="P9" i="6"/>
  <c r="H11" i="5"/>
  <c r="H26" i="5" s="1"/>
  <c r="R55" i="8"/>
  <c r="R88" i="8" s="1"/>
  <c r="R43" i="8"/>
  <c r="R44" i="8" s="1"/>
  <c r="L20" i="5" s="1"/>
  <c r="AB43" i="8"/>
  <c r="AB44" i="8" s="1"/>
  <c r="V20" i="5" s="1"/>
  <c r="Z43" i="8"/>
  <c r="Z44" i="8" s="1"/>
  <c r="T43" i="8"/>
  <c r="T44" i="8" s="1"/>
  <c r="N20" i="5" s="1"/>
  <c r="AF44" i="8"/>
  <c r="AH44" i="8" s="1"/>
  <c r="I38" i="8" s="1"/>
  <c r="AD43" i="8"/>
  <c r="AD44" i="8" s="1"/>
  <c r="AD87" i="8" s="1"/>
  <c r="V43" i="8"/>
  <c r="V44" i="8" s="1"/>
  <c r="P43" i="8"/>
  <c r="P44" i="8" s="1"/>
  <c r="J20" i="5" s="1"/>
  <c r="X43" i="8"/>
  <c r="X44" i="8" s="1"/>
  <c r="R20" i="5" s="1"/>
  <c r="X55" i="8"/>
  <c r="Y55" i="8" s="1"/>
  <c r="Z55" i="8"/>
  <c r="AA55" i="8" s="1"/>
  <c r="V55" i="8"/>
  <c r="P21" i="5" s="1"/>
  <c r="P55" i="8"/>
  <c r="J21" i="5" s="1"/>
  <c r="AB55" i="8"/>
  <c r="AB88" i="8" s="1"/>
  <c r="AD55" i="8"/>
  <c r="X21" i="5" s="1"/>
  <c r="T55" i="8"/>
  <c r="U55" i="8" s="1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I39" i="8"/>
  <c r="AB21" i="5"/>
  <c r="Z21" i="5" s="1"/>
  <c r="AH88" i="8"/>
  <c r="AF88" i="8" s="1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W44" i="8" l="1"/>
  <c r="L21" i="5"/>
  <c r="M21" i="5" s="1"/>
  <c r="S55" i="8"/>
  <c r="AA44" i="8"/>
  <c r="Q44" i="8"/>
  <c r="P87" i="8"/>
  <c r="S44" i="8"/>
  <c r="R87" i="8"/>
  <c r="R89" i="8" s="1"/>
  <c r="AB20" i="5"/>
  <c r="Z20" i="5" s="1"/>
  <c r="K20" i="5" s="1"/>
  <c r="AH87" i="8"/>
  <c r="AF87" i="8" s="1"/>
  <c r="AE87" i="8" s="1"/>
  <c r="AB87" i="8"/>
  <c r="AB89" i="8" s="1"/>
  <c r="AC44" i="8"/>
  <c r="T20" i="5"/>
  <c r="U44" i="8"/>
  <c r="Y44" i="8"/>
  <c r="X87" i="8"/>
  <c r="Z87" i="8"/>
  <c r="T87" i="8"/>
  <c r="X88" i="8"/>
  <c r="Y88" i="8" s="1"/>
  <c r="P20" i="5"/>
  <c r="R21" i="5"/>
  <c r="S21" i="5" s="1"/>
  <c r="Z88" i="8"/>
  <c r="T21" i="5"/>
  <c r="U21" i="5" s="1"/>
  <c r="V87" i="8"/>
  <c r="AE44" i="8"/>
  <c r="Q55" i="8"/>
  <c r="N21" i="5"/>
  <c r="O21" i="5" s="1"/>
  <c r="X20" i="5"/>
  <c r="W55" i="8"/>
  <c r="P88" i="8"/>
  <c r="Q88" i="8" s="1"/>
  <c r="V21" i="5"/>
  <c r="W21" i="5" s="1"/>
  <c r="V88" i="8"/>
  <c r="AD88" i="8"/>
  <c r="AD89" i="8" s="1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88" i="8"/>
  <c r="S20" i="5"/>
  <c r="S23" i="5"/>
  <c r="K23" i="5"/>
  <c r="AC88" i="8"/>
  <c r="K21" i="5"/>
  <c r="M23" i="5"/>
  <c r="Q21" i="5"/>
  <c r="Y21" i="5"/>
  <c r="Y23" i="5"/>
  <c r="T16" i="2"/>
  <c r="R16" i="2"/>
  <c r="O16" i="2"/>
  <c r="U16" i="2"/>
  <c r="L16" i="2"/>
  <c r="Y87" i="8" l="1"/>
  <c r="AA87" i="8"/>
  <c r="U20" i="5"/>
  <c r="Y20" i="5"/>
  <c r="O20" i="5"/>
  <c r="U87" i="8"/>
  <c r="I20" i="5"/>
  <c r="T89" i="8"/>
  <c r="W20" i="5"/>
  <c r="M20" i="5"/>
  <c r="X89" i="8"/>
  <c r="Q87" i="8"/>
  <c r="S87" i="8"/>
  <c r="AG44" i="8"/>
  <c r="P89" i="8"/>
  <c r="Q20" i="5"/>
  <c r="AF89" i="8"/>
  <c r="AH89" i="8" s="1"/>
  <c r="AC87" i="8"/>
  <c r="W87" i="8"/>
  <c r="Z89" i="8"/>
  <c r="V89" i="8"/>
  <c r="AA88" i="8"/>
  <c r="AE88" i="8"/>
  <c r="AG55" i="8"/>
  <c r="I21" i="5"/>
  <c r="W88" i="8"/>
  <c r="U88" i="8"/>
  <c r="Q16" i="2"/>
  <c r="V16" i="2"/>
  <c r="S16" i="2"/>
  <c r="K16" i="2"/>
  <c r="I23" i="5"/>
  <c r="AG67" i="8"/>
  <c r="AA21" i="5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Y89" i="8" l="1"/>
  <c r="Q36" i="2" s="1"/>
  <c r="Q35" i="2" s="1"/>
  <c r="AC89" i="8"/>
  <c r="P36" i="2" s="1"/>
  <c r="P35" i="2" s="1"/>
  <c r="W89" i="8"/>
  <c r="N36" i="2" s="1"/>
  <c r="N35" i="2" s="1"/>
  <c r="AA89" i="8"/>
  <c r="O36" i="2" s="1"/>
  <c r="O35" i="2" s="1"/>
  <c r="S89" i="8"/>
  <c r="L36" i="2" s="1"/>
  <c r="L35" i="2" s="1"/>
  <c r="U89" i="8"/>
  <c r="M36" i="2" s="1"/>
  <c r="M35" i="2" s="1"/>
  <c r="Q89" i="8"/>
  <c r="K36" i="2" s="1"/>
  <c r="P13" i="2" s="1"/>
  <c r="AG87" i="8"/>
  <c r="AA20" i="5"/>
  <c r="AG88" i="8"/>
  <c r="AE89" i="8"/>
  <c r="R36" i="2" s="1"/>
  <c r="R35" i="2" s="1"/>
  <c r="L8" i="2"/>
  <c r="G32" i="4"/>
  <c r="G42" i="4" s="1"/>
  <c r="B18" i="4"/>
  <c r="Q14" i="2" l="1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I36" i="8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I37" i="8" s="1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<sst xmlns="http://schemas.openxmlformats.org/spreadsheetml/2006/main" count="1156" uniqueCount="240">
  <si>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</si>
  <si>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</si>
  <si>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</si>
  <si>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</si>
  <si>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</si>
  <si>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</si>
  <si>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</si>
  <si>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</si>
  <si>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</si>
  <si>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</si>
  <si>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</si>
  <si>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</si>
  <si>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</si>
  <si>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</si>
  <si>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</si>
  <si>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</si>
  <si>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</si>
  <si>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</si>
  <si>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</si>
  <si>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</si>
  <si>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</si>
  <si>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</si>
  <si>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</si>
  <si>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</si>
  <si>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</si>
  <si>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</si>
  <si>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</si>
  <si>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</si>
  <si>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</si>
  <si>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</si>
  <si>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</si>
  <si>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</si>
  <si>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</si>
  <si>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</si>
  <si>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</si>
  <si>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</si>
  <si>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</si>
  <si>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</si>
  <si>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</si>
  <si>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</si>
  <si>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</si>
  <si>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</si>
  <si>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</si>
  <si>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</si>
  <si>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</si>
  <si>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</si>
  <si>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</si>
  <si>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</si>
  <si>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</si>
  <si>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</si>
  <si>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</si>
  <si>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</si>
  <si>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</si>
  <si>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</si>
  <si>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</si>
  <si>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</si>
  <si>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</si>
  <si>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</si>
  <si>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</si>
  <si>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</si>
  <si>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</si>
  <si>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</si>
  <si>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</si>
  <si>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</si>
  <si>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</si>
  <si>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</si>
  <si>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</si>
  <si>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</si>
  <si>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</si>
  <si>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</si>
  <si>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</si>
  <si>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</si>
  <si>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</si>
  <si>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</si>
  <si>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</si>
  <si>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</si>
  <si>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</si>
  <si>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</si>
  <si>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</si>
  <si>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</si>
  <si>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</si>
  <si>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</si>
  <si>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</si>
  <si>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</si>
  <si>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</si>
  <si>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</si>
  <si>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</si>
  <si>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</si>
  <si>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</si>
  <si>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</si>
  <si>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</si>
  <si>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</si>
  <si>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</si>
  <si>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</si>
  <si>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</si>
  <si>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</si>
  <si>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</si>
  <si>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</si>
  <si>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</si>
  <si>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</si>
  <si>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</si>
  <si>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</si>
  <si>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</si>
  <si>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</si>
  <si>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</si>
  <si>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</si>
  <si>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</si>
  <si>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</si>
  <si>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</si>
  <si>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</si>
  <si>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</si>
  <si>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</si>
  <si>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</si>
  <si>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</si>
  <si>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</si>
  <si>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</si>
  <si>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</si>
  <si>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</si>
  <si>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</si>
  <si>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</si>
  <si>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</si>
  <si>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</si>
  <si>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</si>
  <si>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</si>
  <si>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</si>
  <si>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</si>
  <si>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</si>
  <si>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</si>
  <si>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</si>
  <si>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</si>
  <si>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</si>
  <si>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</si>
  <si>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</si>
  <si>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</si>
  <si>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</si>
  <si>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</si>
  <si>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</si>
  <si>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</si>
  <si>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</si>
  <si>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</si>
  <si>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</si>
  <si>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</si>
  <si>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</si>
  <si>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</si>
  <si>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</si>
  <si>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</si>
  <si>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</si>
  <si>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</si>
  <si>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</si>
  <si>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</si>
  <si>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</si>
  <si>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</si>
  <si>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</si>
  <si>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</si>
  <si>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</si>
  <si>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</si>
  <si>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</si>
  <si>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</si>
  <si>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</si>
  <si>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</si>
  <si>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</si>
  <si>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</si>
  <si>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</si>
  <si>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</si>
  <si>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</si>
  <si>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</si>
  <si>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</si>
  <si>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</si>
  <si>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</si>
  <si>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</si>
  <si>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</si>
  <si>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</si>
  <si>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</si>
  <si>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</si>
  <si>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</si>
  <si>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</si>
  <si>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</si>
  <si>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</si>
  <si>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</si>
  <si>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</si>
  <si>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</si>
  <si>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</si>
  <si>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</si>
  <si>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</si>
  <si>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</si>
  <si>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</si>
  <si>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</si>
  <si>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</si>
  <si>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</si>
  <si>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</si>
  <si>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</si>
  <si>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</si>
  <si>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</si>
  <si>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</si>
  <si>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</si>
  <si>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</si>
  <si>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</si>
  <si>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</si>
  <si>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</si>
  <si>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</si>
  <si>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</si>
  <si>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</si>
  <si>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</si>
  <si>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</si>
  <si>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</si>
  <si>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</si>
  <si>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</si>
  <si>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</si>
  <si>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</si>
  <si>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</si>
  <si>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</si>
  <si>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</si>
  <si>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</si>
  <si>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</si>
  <si>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</si>
  <si>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</si>
  <si>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</si>
  <si>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</si>
  <si>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</si>
  <si>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</si>
  <si>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</si>
  <si>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</si>
  <si>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</si>
  <si>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</si>
  <si>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</si>
  <si>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</si>
  <si>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</si>
  <si>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</si>
  <si>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</si>
  <si>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</si>
  <si>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</si>
  <si>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</si>
  <si>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</si>
  <si>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</si>
  <si>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</si>
  <si>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</si>
  <si>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</si>
  <si>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Week 1</t>
  </si>
  <si>
    <t>Dec 29/25</t>
  </si>
  <si>
    <t>Jan 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</si>
</sst>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H21" sqref="H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6" t="s">
        <v>57</v>
      </c>
      <c r="B1" s="256"/>
      <c r="C1" s="256"/>
      <c r="D1" s="256"/>
      <c r="E1" s="256"/>
      <c r="F1" s="256"/>
      <c r="G1" s="256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46026.25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53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3720</v>
      </c>
      <c r="C13" s="214">
        <f>'Grade out Information'!Z26</f>
        <v>55800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120</v>
      </c>
      <c r="C21" s="214">
        <f>'Grade out Information'!E11</f>
        <v>1800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3840</v>
      </c>
      <c r="C27" s="216">
        <f>SUM(C13:C26)</f>
        <v>57600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1" sqref="H21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7" t="s">
        <v>96</v>
      </c>
      <c r="D7" s="257"/>
      <c r="E7" s="257"/>
      <c r="F7" s="257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215</v>
      </c>
      <c r="X7" s="124" t="s">
        <v>224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53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215</v>
      </c>
      <c r="W8" s="129" t="s">
        <v>111</v>
      </c>
      <c r="X8" s="127" t="s">
        <v>225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1800</v>
      </c>
      <c r="F11" s="220">
        <f>Inputs!R73*15</f>
        <v>0</v>
      </c>
      <c r="G11" s="221">
        <f>SUM(C11:F11)</f>
        <v>1800</v>
      </c>
      <c r="H11" s="222">
        <f>G11/15</f>
        <v>120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12396.441075058094</v>
      </c>
      <c r="J15" s="229">
        <f>Inputs!P11</f>
        <v>4611.1881661974221</v>
      </c>
      <c r="K15" s="233">
        <f>J15/Z15</f>
        <v>0.36596731477757316</v>
      </c>
      <c r="L15" s="229">
        <f>Inputs!R11</f>
        <v>6266.8635147892701</v>
      </c>
      <c r="M15" s="233">
        <f>L15/Z15</f>
        <v>0.49737012022137062</v>
      </c>
      <c r="N15" s="229">
        <f>Inputs!T11</f>
        <v>1064.3315737148082</v>
      </c>
      <c r="O15" s="233">
        <f>N15/Z15</f>
        <v>8.4470759818635568E-2</v>
      </c>
      <c r="P15" s="229">
        <f>Inputs!V11</f>
        <v>18.581094225722101</v>
      </c>
      <c r="Q15" s="233">
        <f>P15/Z15</f>
        <v>1.4746900179144525E-3</v>
      </c>
      <c r="R15" s="229">
        <f>Inputs!X11</f>
        <v>2.4512126568409696</v>
      </c>
      <c r="S15" s="233">
        <f>R15/Z15</f>
        <v>1.9454068705087061E-4</v>
      </c>
      <c r="T15" s="234">
        <f>Inputs!Z11</f>
        <v>71.178403358034828</v>
      </c>
      <c r="U15" s="235">
        <f>T15/Z15</f>
        <v>5.6490796315900654E-3</v>
      </c>
      <c r="V15" s="229">
        <f>Inputs!AB11</f>
        <v>361.84711011599637</v>
      </c>
      <c r="W15" s="233">
        <f>V15/Z15</f>
        <v>2.8718024612380665E-2</v>
      </c>
      <c r="X15" s="229">
        <f>Inputs!AD11</f>
        <v>203.55892494190633</v>
      </c>
      <c r="Y15" s="182">
        <f>X15/Z15</f>
        <v>1.6155470233484629E-2</v>
      </c>
      <c r="Z15" s="207">
        <f>AB15*15</f>
        <v>12600</v>
      </c>
      <c r="AA15" s="204">
        <f>K15+M15+O15+Q15+S15+U15+W15+Y15</f>
        <v>1.0000000000000002</v>
      </c>
      <c r="AB15" s="219">
        <f>Inputs!AH11</f>
        <v>840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17714.462469038324</v>
      </c>
      <c r="J17" s="229">
        <f>Inputs!P22</f>
        <v>6413.360795792325</v>
      </c>
      <c r="K17" s="233">
        <f t="shared" ref="K17:K18" si="0">J17/Z17</f>
        <v>0.35629782198846249</v>
      </c>
      <c r="L17" s="229">
        <f>Inputs!R22</f>
        <v>9053.4515817547544</v>
      </c>
      <c r="M17" s="233">
        <f t="shared" ref="M17:M18" si="1">L17/Z17</f>
        <v>0.50296953231970853</v>
      </c>
      <c r="N17" s="229">
        <f>Inputs!T22</f>
        <v>1608.9472642397743</v>
      </c>
      <c r="O17" s="233">
        <f t="shared" ref="O17:O18" si="2">N17/Z17</f>
        <v>8.938595912443191E-2</v>
      </c>
      <c r="P17" s="229">
        <f>Inputs!V22</f>
        <v>28.547304665303759</v>
      </c>
      <c r="Q17" s="233">
        <f t="shared" ref="Q17:Q18" si="3">P17/Z17</f>
        <v>1.5859613702946533E-3</v>
      </c>
      <c r="R17" s="229">
        <f>Inputs!X22</f>
        <v>3.5091170161961767</v>
      </c>
      <c r="S17" s="233">
        <f t="shared" ref="S17:S18" si="4">R17/Z17</f>
        <v>1.9495094534423204E-4</v>
      </c>
      <c r="T17" s="234">
        <f>Inputs!Z22</f>
        <v>99.498088516719463</v>
      </c>
      <c r="U17" s="235">
        <f>T17/Z17</f>
        <v>5.5276715842621921E-3</v>
      </c>
      <c r="V17" s="229">
        <f>Inputs!AB22</f>
        <v>507.14831705325008</v>
      </c>
      <c r="W17" s="233">
        <f t="shared" ref="W17:W18" si="5">V17/Z17</f>
        <v>2.8174906502958338E-2</v>
      </c>
      <c r="X17" s="229">
        <f>Inputs!AD22</f>
        <v>285.53753096167571</v>
      </c>
      <c r="Y17" s="182">
        <f t="shared" ref="Y17:Y18" si="6">X17/Z17</f>
        <v>1.5863196164537539E-2</v>
      </c>
      <c r="Z17" s="207">
        <f>AB17*15</f>
        <v>18000</v>
      </c>
      <c r="AA17" s="254">
        <f>K17+M17+O17+Q17+S17+U17+W17+Y17</f>
        <v>0.99999999999999989</v>
      </c>
      <c r="AB17" s="219">
        <f>Inputs!AH22</f>
        <v>1200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0</v>
      </c>
      <c r="J18" s="229">
        <f>Inputs!P33</f>
        <v>0</v>
      </c>
      <c r="K18" s="233" t="e">
        <f t="shared" si="0"/>
        <v>#DIV/0!</v>
      </c>
      <c r="L18" s="229">
        <f>Inputs!R33</f>
        <v>0</v>
      </c>
      <c r="M18" s="233" t="e">
        <f t="shared" si="1"/>
        <v>#DIV/0!</v>
      </c>
      <c r="N18" s="229">
        <f>Inputs!T33</f>
        <v>0</v>
      </c>
      <c r="O18" s="233" t="e">
        <f t="shared" si="2"/>
        <v>#DIV/0!</v>
      </c>
      <c r="P18" s="229">
        <f>Inputs!V33</f>
        <v>0</v>
      </c>
      <c r="Q18" s="233" t="e">
        <f t="shared" si="3"/>
        <v>#DIV/0!</v>
      </c>
      <c r="R18" s="229">
        <f>Inputs!X33</f>
        <v>0</v>
      </c>
      <c r="S18" s="233" t="e">
        <f t="shared" si="4"/>
        <v>#DIV/0!</v>
      </c>
      <c r="T18" s="234">
        <f>Inputs!Z33</f>
        <v>0</v>
      </c>
      <c r="U18" s="235" t="e">
        <f>T18/Z18</f>
        <v>#DIV/0!</v>
      </c>
      <c r="V18" s="229">
        <f>Inputs!AB33</f>
        <v>0</v>
      </c>
      <c r="W18" s="233" t="e">
        <f t="shared" si="5"/>
        <v>#DIV/0!</v>
      </c>
      <c r="X18" s="229">
        <f>Inputs!AD33</f>
        <v>0</v>
      </c>
      <c r="Y18" s="182" t="e">
        <f t="shared" si="6"/>
        <v>#DIV/0!</v>
      </c>
      <c r="Z18" s="207">
        <f>AB18*15</f>
        <v>0</v>
      </c>
      <c r="AA18" s="254" t="e">
        <f>K18+M18+O18+Q18+S18+U18+W18+Y18</f>
        <v>#DIV/0!</v>
      </c>
      <c r="AB18" s="219">
        <f>Inputs!AH33</f>
        <v>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9740.0608446885017</v>
      </c>
      <c r="J20" s="229">
        <f>Inputs!P44</f>
        <v>3623.0764162979744</v>
      </c>
      <c r="K20" s="233">
        <f t="shared" ref="K20:K21" si="7">J20/Z20</f>
        <v>0.36596731477757316</v>
      </c>
      <c r="L20" s="229">
        <f>Inputs!R44</f>
        <v>4923.9641901915693</v>
      </c>
      <c r="M20" s="233">
        <f t="shared" ref="M20:M21" si="8">L20/Z20</f>
        <v>0.49737012022137062</v>
      </c>
      <c r="N20" s="229">
        <f>Inputs!T44</f>
        <v>836.26052220449208</v>
      </c>
      <c r="O20" s="233">
        <f t="shared" ref="O20:O21" si="9">N20/Z20</f>
        <v>8.4470759818635568E-2</v>
      </c>
      <c r="P20" s="229">
        <f>Inputs!V44</f>
        <v>14.599431177353079</v>
      </c>
      <c r="Q20" s="233">
        <f t="shared" ref="Q20:Q21" si="10">P20/Z20</f>
        <v>1.4746900179144523E-3</v>
      </c>
      <c r="R20" s="229">
        <f>Inputs!X44</f>
        <v>1.9259528018036187</v>
      </c>
      <c r="S20" s="233">
        <f t="shared" ref="S20:S21" si="11">R20/Z20</f>
        <v>1.9454068705087059E-4</v>
      </c>
      <c r="T20" s="234">
        <f>Inputs!Z44</f>
        <v>55.925888352741644</v>
      </c>
      <c r="U20" s="235">
        <f t="shared" ref="U20:U21" si="12">T20/Z20</f>
        <v>5.6490796315900654E-3</v>
      </c>
      <c r="V20" s="229">
        <f>Inputs!AB44</f>
        <v>284.30844366256861</v>
      </c>
      <c r="W20" s="233">
        <f t="shared" ref="W20:W21" si="13">V20/Z20</f>
        <v>2.8718024612380669E-2</v>
      </c>
      <c r="X20" s="229">
        <f>Inputs!AD44</f>
        <v>159.93915531149784</v>
      </c>
      <c r="Y20" s="182">
        <f t="shared" ref="Y20:Y21" si="14">X20/Z20</f>
        <v>1.6155470233484629E-2</v>
      </c>
      <c r="Z20" s="207">
        <f>AB20*15</f>
        <v>9900</v>
      </c>
      <c r="AA20" s="254">
        <f>K20+M20+O20+Q20+S20+U20+W20+Y20</f>
        <v>1.0000000000000002</v>
      </c>
      <c r="AB20" s="219">
        <f>Inputs!AH44</f>
        <v>660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1770.9201535797274</v>
      </c>
      <c r="J21" s="229">
        <f>Inputs!P55</f>
        <v>658.7411665996317</v>
      </c>
      <c r="K21" s="233">
        <f t="shared" si="7"/>
        <v>0.36596731477757316</v>
      </c>
      <c r="L21" s="229">
        <f>Inputs!R55</f>
        <v>895.26621639846712</v>
      </c>
      <c r="M21" s="233">
        <f t="shared" si="8"/>
        <v>0.49737012022137062</v>
      </c>
      <c r="N21" s="229">
        <f>Inputs!T55</f>
        <v>152.04736767354402</v>
      </c>
      <c r="O21" s="233">
        <f t="shared" si="9"/>
        <v>8.4470759818635568E-2</v>
      </c>
      <c r="P21" s="229">
        <f>Inputs!V55</f>
        <v>2.6544420322460143</v>
      </c>
      <c r="Q21" s="233">
        <f t="shared" si="10"/>
        <v>1.4746900179144523E-3</v>
      </c>
      <c r="R21" s="229">
        <f>Inputs!X55</f>
        <v>0.35017323669156708</v>
      </c>
      <c r="S21" s="233">
        <f t="shared" si="11"/>
        <v>1.9454068705087061E-4</v>
      </c>
      <c r="T21" s="234">
        <f>Inputs!Z55</f>
        <v>10.168343336862117</v>
      </c>
      <c r="U21" s="235">
        <f t="shared" si="12"/>
        <v>5.6490796315900654E-3</v>
      </c>
      <c r="V21" s="229">
        <f>Inputs!AB55</f>
        <v>51.692444302285196</v>
      </c>
      <c r="W21" s="233">
        <f t="shared" si="13"/>
        <v>2.8718024612380665E-2</v>
      </c>
      <c r="X21" s="229">
        <f>Inputs!AD55</f>
        <v>29.079846420272332</v>
      </c>
      <c r="Y21" s="182">
        <f t="shared" si="14"/>
        <v>1.6155470233484629E-2</v>
      </c>
      <c r="Z21" s="207">
        <f>AB21*15</f>
        <v>1800</v>
      </c>
      <c r="AA21" s="254">
        <f>K21+M21+O21+Q21+S21+U21+W21+Y21</f>
        <v>1.0000000000000002</v>
      </c>
      <c r="AB21" s="219">
        <f>Inputs!AH55</f>
        <v>120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13360.815150463672</v>
      </c>
      <c r="J23" s="229">
        <f>Inputs!P67</f>
        <v>2329.7956964373598</v>
      </c>
      <c r="K23" s="233">
        <f>J23/Z23</f>
        <v>0.17257745899535998</v>
      </c>
      <c r="L23" s="229">
        <f>Inputs!R67</f>
        <v>8226.3378895397764</v>
      </c>
      <c r="M23" s="233">
        <f>L23/Z23</f>
        <v>0.60935836218813155</v>
      </c>
      <c r="N23" s="229">
        <f>Inputs!T67</f>
        <v>2467.4590701165926</v>
      </c>
      <c r="O23" s="233">
        <f>N23/Z23</f>
        <v>0.18277474593456242</v>
      </c>
      <c r="P23" s="229">
        <f>Inputs!V67</f>
        <v>49.951580384499373</v>
      </c>
      <c r="Q23" s="233">
        <f>P23/Z23</f>
        <v>3.7001170655184719E-3</v>
      </c>
      <c r="R23" s="229">
        <f>Inputs!X67</f>
        <v>2.7370690143943461</v>
      </c>
      <c r="S23" s="233">
        <f>R23/Z23</f>
        <v>2.0274585291809972E-4</v>
      </c>
      <c r="T23" s="234">
        <f>Inputs!Z67</f>
        <v>43.482402247940179</v>
      </c>
      <c r="U23" s="235">
        <f>T23/Z23</f>
        <v>3.2209186850326059E-3</v>
      </c>
      <c r="V23" s="229">
        <f>Inputs!AB67</f>
        <v>241.05144272311009</v>
      </c>
      <c r="W23" s="237">
        <f>V23/Z23</f>
        <v>1.785566242393408E-2</v>
      </c>
      <c r="X23" s="229">
        <f>Inputs!AD67</f>
        <v>139.18484953632833</v>
      </c>
      <c r="Y23" s="212">
        <f>X23/Z23</f>
        <v>1.0309988854542838E-2</v>
      </c>
      <c r="Z23" s="207">
        <f>AB23*15</f>
        <v>13500</v>
      </c>
      <c r="AA23" s="204">
        <f>K23+M23+O23+Q23+S23+U23+W23+Y23</f>
        <v>1</v>
      </c>
      <c r="AB23" s="219">
        <f>Inputs!AH67</f>
        <v>900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1800</v>
      </c>
      <c r="F26" s="139">
        <f>SUM(F11:F25)</f>
        <v>0</v>
      </c>
      <c r="G26" s="139">
        <f>G11+G12</f>
        <v>1800</v>
      </c>
      <c r="H26" s="139">
        <f>SUM(H11+H12)</f>
        <v>120</v>
      </c>
      <c r="I26" s="231"/>
      <c r="J26" s="232">
        <f>SUM(J15:J25)</f>
        <v>17636.162241324713</v>
      </c>
      <c r="K26" s="232"/>
      <c r="L26" s="232">
        <f>SUM(L15:L25)</f>
        <v>29365.883392673841</v>
      </c>
      <c r="M26" s="232"/>
      <c r="N26" s="232">
        <f>SUM(N15:N25)</f>
        <v>6129.0457979492112</v>
      </c>
      <c r="O26" s="232"/>
      <c r="P26" s="232">
        <f>SUM(P15:P25)</f>
        <v>114.33385248512431</v>
      </c>
      <c r="Q26" s="232"/>
      <c r="R26" s="232">
        <f>SUM(R15:R25)</f>
        <v>10.973524725926676</v>
      </c>
      <c r="S26" s="232"/>
      <c r="T26" s="232">
        <f>SUM(T15:T25)</f>
        <v>280.25312581229821</v>
      </c>
      <c r="U26" s="232"/>
      <c r="V26" s="232">
        <f>SUM(V15:V25)</f>
        <v>1446.0477578572102</v>
      </c>
      <c r="W26" s="232"/>
      <c r="X26" s="232">
        <f>SUM(X15:X25)</f>
        <v>817.30030717168063</v>
      </c>
      <c r="Y26" s="139"/>
      <c r="Z26" s="139">
        <f>SUM(Z15:Z25)</f>
        <v>55800</v>
      </c>
      <c r="AA26" s="139"/>
      <c r="AB26" s="139">
        <f>SUM(AB15:AB25)</f>
        <v>3720</v>
      </c>
      <c r="AC26" s="141">
        <f>IF(AB33=0,0,AB33/(H33+AB33))</f>
        <v>0</v>
      </c>
      <c r="AD26" s="139">
        <f>G26+Z26</f>
        <v>57600</v>
      </c>
      <c r="AE26" s="139">
        <f>H26+AB26</f>
        <v>3840</v>
      </c>
      <c r="AF26" s="141">
        <f>I26+AC26</f>
        <v>0</v>
      </c>
    </row>
    <row r="30" spans="1:32" x14ac:dyDescent="0.2">
      <c r="A30" s="3" t="s">
        <v>100</v>
      </c>
      <c r="B30">
        <f>J26</f>
        <v>17636.162241324713</v>
      </c>
    </row>
    <row r="31" spans="1:32" x14ac:dyDescent="0.2">
      <c r="A31" s="3" t="s">
        <v>101</v>
      </c>
      <c r="B31">
        <f>L26</f>
        <v>29365.883392673841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6129.0457979492112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114.33385248512431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10.973524725926676</v>
      </c>
    </row>
    <row r="35" spans="1:13" x14ac:dyDescent="0.2">
      <c r="A35" s="3" t="s">
        <v>105</v>
      </c>
      <c r="B35">
        <f>T26</f>
        <v>280.25312581229821</v>
      </c>
    </row>
    <row r="36" spans="1:13" x14ac:dyDescent="0.2">
      <c r="A36" s="3" t="s">
        <v>215</v>
      </c>
      <c r="B36">
        <f>V26</f>
        <v>1446.0477578572102</v>
      </c>
    </row>
    <row r="37" spans="1:13" x14ac:dyDescent="0.2">
      <c r="A37" s="3" t="s">
        <v>226</v>
      </c>
      <c r="B37" s="162">
        <f>X26</f>
        <v>817.30030717168063</v>
      </c>
    </row>
    <row r="39" spans="1:13" x14ac:dyDescent="0.2">
      <c r="A39" s="3" t="s">
        <v>118</v>
      </c>
      <c r="B39">
        <f>SUM(B30:B37)</f>
        <v>55800.000000000007</v>
      </c>
    </row>
  </sheetData>
  <mergeCells count="1">
    <mergeCell ref="C7:F7"/>
  </mergeCells>
  <pageMargins left="0" right="0" top="0" bottom="0" header="0.51180555555555496" footer="0.51180555555555496"/>
  <pageSetup scale="3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H52" sqref="H52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53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8">
        <f>Inputs!C3</f>
        <v>46026.25</v>
      </c>
      <c r="H2" s="25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28350</v>
      </c>
      <c r="I7" s="27">
        <v>0</v>
      </c>
      <c r="J7" s="26">
        <f>IFERROR(H7-I7,"")</f>
        <v>28350</v>
      </c>
      <c r="K7" s="26">
        <f>IFERROR(($E$26/($H$27+$H$28)*$H$27)*R28,"")</f>
        <v>458.00758111928928</v>
      </c>
      <c r="L7" s="26">
        <f>IFERROR(($E$26/($H$27+$H$28)*$H$27)*S28,"")</f>
        <v>0</v>
      </c>
      <c r="M7" s="28">
        <f>IFERROR(K7+L7,"")</f>
        <v>458.00758111928928</v>
      </c>
      <c r="N7" s="29">
        <f>IFERROR(O7+P7+Q7+R7+S7+T7+U7+V7,"")</f>
        <v>27891.992418880709</v>
      </c>
      <c r="O7" s="26">
        <f t="shared" ref="O7:V7" si="0">IFERROR(($E$26/($H$27+$H$28)*$H$27)*J28,"")</f>
        <v>0</v>
      </c>
      <c r="P7" s="26">
        <f t="shared" si="0"/>
        <v>10375.173373944201</v>
      </c>
      <c r="Q7" s="26">
        <f t="shared" si="0"/>
        <v>14100.442908275858</v>
      </c>
      <c r="R7" s="26">
        <f t="shared" si="0"/>
        <v>2394.7460408583188</v>
      </c>
      <c r="S7" s="26">
        <f t="shared" si="0"/>
        <v>41.807462007874733</v>
      </c>
      <c r="T7" s="26">
        <f t="shared" si="0"/>
        <v>160.15140755557837</v>
      </c>
      <c r="U7" s="26">
        <f t="shared" si="0"/>
        <v>814.15599776099191</v>
      </c>
      <c r="V7" s="26">
        <f t="shared" si="0"/>
        <v>5.5152284778921823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20037.614582787704</v>
      </c>
      <c r="I10" s="27">
        <v>0</v>
      </c>
      <c r="J10" s="26">
        <f>IFERROR(H10-I10,"")</f>
        <v>20037.614582787704</v>
      </c>
      <c r="K10" s="26">
        <f>IFERROR(($E$30/($H$31+$H$32)*$H$31)*R32,"")</f>
        <v>317.86061079615934</v>
      </c>
      <c r="L10" s="26">
        <f>IFERROR(($E$30/($H$31+$H$32)*$H$31)*S32,"")</f>
        <v>0</v>
      </c>
      <c r="M10" s="28">
        <f>IFERROR(K10+L10,"")</f>
        <v>317.86061079615934</v>
      </c>
      <c r="N10" s="29">
        <f>IFERROR(O10+P10+Q10+R10+S10+T10+U10+V10,"")</f>
        <v>19719.753971991544</v>
      </c>
      <c r="O10" s="26">
        <f t="shared" ref="O10:V10" si="2">IFERROR(($E$30/($H$31+$H$32)*$H$31)*J32,"")</f>
        <v>0</v>
      </c>
      <c r="P10" s="26">
        <f t="shared" si="2"/>
        <v>7139.3584336915128</v>
      </c>
      <c r="Q10" s="26">
        <f t="shared" si="2"/>
        <v>10078.309635507301</v>
      </c>
      <c r="R10" s="26">
        <f t="shared" si="2"/>
        <v>1791.0813980481821</v>
      </c>
      <c r="S10" s="26">
        <f t="shared" si="2"/>
        <v>31.778882681154109</v>
      </c>
      <c r="T10" s="26">
        <f t="shared" si="2"/>
        <v>110.76135274567329</v>
      </c>
      <c r="U10" s="26">
        <f t="shared" si="2"/>
        <v>564.55791741235805</v>
      </c>
      <c r="V10" s="26">
        <f t="shared" si="2"/>
        <v>3.9063519053578317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2222.3854172122983</v>
      </c>
      <c r="I11" s="27">
        <v>0</v>
      </c>
      <c r="J11" s="26">
        <f>IFERROR(H11-I11,"")</f>
        <v>2222.3854172122983</v>
      </c>
      <c r="K11" s="26">
        <f>IFERROR(($E$30/($H$31+$H$32)*$H$32)*R32,"")</f>
        <v>35.254135826446294</v>
      </c>
      <c r="L11" s="26">
        <f>IFERROR(($E$30/($H$31+$H$32)*$H$32)*S32,"")</f>
        <v>0</v>
      </c>
      <c r="M11" s="28">
        <f>IFERROR(K11+L11,"")</f>
        <v>35.254135826446294</v>
      </c>
      <c r="N11" s="29">
        <f>IFERROR(O11+P11+Q11+R11+S11+T11+U11+V11,"")</f>
        <v>2187.1312813858522</v>
      </c>
      <c r="O11" s="26">
        <f t="shared" ref="O11:V11" si="3">IFERROR(($E$30/($H$31+$H$32)*$H$32)*J32,"")</f>
        <v>0</v>
      </c>
      <c r="P11" s="26">
        <f t="shared" si="3"/>
        <v>791.83108377166252</v>
      </c>
      <c r="Q11" s="26">
        <f t="shared" si="3"/>
        <v>1117.7921539294102</v>
      </c>
      <c r="R11" s="26">
        <f t="shared" si="3"/>
        <v>198.65005206167208</v>
      </c>
      <c r="S11" s="26">
        <f t="shared" si="3"/>
        <v>3.524617421604872</v>
      </c>
      <c r="T11" s="26">
        <f t="shared" si="3"/>
        <v>12.2846167200031</v>
      </c>
      <c r="U11" s="26">
        <f t="shared" si="3"/>
        <v>62.615501343494572</v>
      </c>
      <c r="V11" s="26">
        <f t="shared" si="3"/>
        <v>0.43325613800477314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15902.206217190565</v>
      </c>
      <c r="I13" s="27">
        <v>0</v>
      </c>
      <c r="J13" s="26">
        <f>IFERROR(H13-I13,"")</f>
        <v>15902.206217190565</v>
      </c>
      <c r="K13" s="26">
        <f>IFERROR(($E$34/($H$35+$H$36)*$H$35)*R36,"")</f>
        <v>256.9076191885564</v>
      </c>
      <c r="L13" s="26">
        <f>IFERROR(($E$34/($H$35+$H$36)*$H$35)*S36,"")</f>
        <v>0</v>
      </c>
      <c r="M13" s="28">
        <f>IFERROR(K13+L13,"")</f>
        <v>256.9076191885564</v>
      </c>
      <c r="N13" s="29">
        <f>IFERROR(O13+P13+Q13+R13+S13+T13+U13+V13,"")</f>
        <v>15645.298598002009</v>
      </c>
      <c r="O13" s="26">
        <f t="shared" ref="O13:V13" si="4">IFERROR(($E$34/($H$35+$H$36)*$H$35)*J36,"")</f>
        <v>0</v>
      </c>
      <c r="P13" s="26">
        <f t="shared" si="4"/>
        <v>5819.6877083444615</v>
      </c>
      <c r="Q13" s="26">
        <f t="shared" si="4"/>
        <v>7909.2822180290987</v>
      </c>
      <c r="R13" s="26">
        <f t="shared" si="4"/>
        <v>1343.2714419587176</v>
      </c>
      <c r="S13" s="26">
        <f t="shared" si="4"/>
        <v>23.450824771308071</v>
      </c>
      <c r="T13" s="26">
        <f t="shared" si="4"/>
        <v>89.832829238876116</v>
      </c>
      <c r="U13" s="26">
        <f t="shared" si="4"/>
        <v>456.67994953643148</v>
      </c>
      <c r="V13" s="26">
        <f t="shared" si="4"/>
        <v>3.0936261231168785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1062.7937828094368</v>
      </c>
      <c r="I14" s="27">
        <v>0</v>
      </c>
      <c r="J14" s="26">
        <f>IFERROR(H14-I14,"")</f>
        <v>1062.7937828094368</v>
      </c>
      <c r="K14" s="26">
        <f>IFERROR(($E$34/($H$35+$H$36)*$H$36)*R36,"")</f>
        <v>17.169933322510381</v>
      </c>
      <c r="L14" s="26">
        <f>IFERROR(($E$34/($H$35+$H$36)*$H$36)*S36,"")</f>
        <v>0</v>
      </c>
      <c r="M14" s="28">
        <f>IFERROR(K14+L14,"")</f>
        <v>17.169933322510381</v>
      </c>
      <c r="N14" s="29">
        <f>IFERROR(O14+P14+Q14+R14+S14+T14+U14+V14,"")</f>
        <v>1045.6238494869265</v>
      </c>
      <c r="O14" s="26">
        <f t="shared" ref="O14:V14" si="5">IFERROR(($E$34/($H$35+$H$36)*$H$36)*J36,"")</f>
        <v>0</v>
      </c>
      <c r="P14" s="26">
        <f t="shared" si="5"/>
        <v>388.94778685706888</v>
      </c>
      <c r="Q14" s="26">
        <f t="shared" si="5"/>
        <v>528.60187152645472</v>
      </c>
      <c r="R14" s="26">
        <f t="shared" si="5"/>
        <v>89.774998364435049</v>
      </c>
      <c r="S14" s="26">
        <f t="shared" si="5"/>
        <v>1.5672913826106167</v>
      </c>
      <c r="T14" s="26">
        <f t="shared" si="5"/>
        <v>6.0038067110493429</v>
      </c>
      <c r="U14" s="26">
        <f t="shared" si="5"/>
        <v>30.521338012606552</v>
      </c>
      <c r="V14" s="26">
        <f t="shared" si="5"/>
        <v>0.20675663270114153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14805</v>
      </c>
      <c r="I16" s="27">
        <v>0</v>
      </c>
      <c r="J16" s="26">
        <f>IFERROR(H16-I16,"")</f>
        <v>14805</v>
      </c>
      <c r="K16" s="26">
        <f>IFERROR(($E$38/($H$39)*$H$39)*R40,"")</f>
        <v>152.63938499150672</v>
      </c>
      <c r="L16" s="26">
        <f>IFERROR(($E$38/($H$39)*$H$39)*S40,"")</f>
        <v>0</v>
      </c>
      <c r="M16" s="28">
        <f>IFERROR(K16+L16,"")</f>
        <v>152.63938499150672</v>
      </c>
      <c r="N16" s="29">
        <f>IFERROR(O16+P16+Q16+R16+S16+T16+U16+V16,"")</f>
        <v>14652.360615008492</v>
      </c>
      <c r="O16" s="26">
        <f t="shared" ref="O16:V16" si="6">IFERROR(($E$38/($H$39)*$H$39)*J40,"")</f>
        <v>0</v>
      </c>
      <c r="P16" s="26">
        <f t="shared" si="6"/>
        <v>2555.0092804263045</v>
      </c>
      <c r="Q16" s="26">
        <f t="shared" si="6"/>
        <v>9021.5505521952873</v>
      </c>
      <c r="R16" s="26">
        <f t="shared" si="6"/>
        <v>2705.9801135611965</v>
      </c>
      <c r="S16" s="26">
        <f t="shared" si="6"/>
        <v>54.780233155000978</v>
      </c>
      <c r="T16" s="26">
        <f t="shared" si="6"/>
        <v>47.685701131907727</v>
      </c>
      <c r="U16" s="26">
        <f t="shared" si="6"/>
        <v>264.35308218634407</v>
      </c>
      <c r="V16" s="26">
        <f t="shared" si="6"/>
        <v>3.0016523524524663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82380.000000000015</v>
      </c>
      <c r="I19" s="37">
        <f t="shared" si="7"/>
        <v>0</v>
      </c>
      <c r="J19" s="37">
        <f t="shared" si="7"/>
        <v>82380.000000000015</v>
      </c>
      <c r="K19" s="37">
        <f t="shared" si="7"/>
        <v>1237.8392652444684</v>
      </c>
      <c r="L19" s="37">
        <f t="shared" si="7"/>
        <v>0</v>
      </c>
      <c r="M19" s="37">
        <f t="shared" si="7"/>
        <v>1237.8392652444684</v>
      </c>
      <c r="N19" s="37">
        <f t="shared" si="7"/>
        <v>81142.16073475554</v>
      </c>
      <c r="O19" s="37">
        <f t="shared" si="7"/>
        <v>0</v>
      </c>
      <c r="P19" s="37">
        <f t="shared" si="7"/>
        <v>27070.007667035214</v>
      </c>
      <c r="Q19" s="37">
        <f t="shared" si="7"/>
        <v>42755.979339463411</v>
      </c>
      <c r="R19" s="37">
        <f t="shared" si="7"/>
        <v>8523.5040448525215</v>
      </c>
      <c r="S19" s="37">
        <f t="shared" si="7"/>
        <v>156.90931141955338</v>
      </c>
      <c r="T19" s="37">
        <f t="shared" si="7"/>
        <v>426.71971410308788</v>
      </c>
      <c r="U19" s="37">
        <f t="shared" si="7"/>
        <v>2192.8837862522264</v>
      </c>
      <c r="V19" s="37">
        <f t="shared" si="7"/>
        <v>16.156871629525273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82380.000000000015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215</v>
      </c>
      <c r="Q24" s="18" t="s">
        <v>44</v>
      </c>
      <c r="R24" s="240" t="s">
        <v>231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28350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48997</v>
      </c>
      <c r="I27" s="26"/>
      <c r="J27" s="195"/>
      <c r="K27" s="195">
        <f t="shared" ref="K27:R27" si="8">$E26*K28</f>
        <v>10375.173373944199</v>
      </c>
      <c r="L27" s="195">
        <f t="shared" si="8"/>
        <v>14100.442908275856</v>
      </c>
      <c r="M27" s="195">
        <f t="shared" si="8"/>
        <v>2394.7460408583183</v>
      </c>
      <c r="N27" s="195">
        <f t="shared" si="8"/>
        <v>41.807462007874733</v>
      </c>
      <c r="O27" s="195">
        <f t="shared" si="8"/>
        <v>160.15140755557834</v>
      </c>
      <c r="P27" s="195">
        <f t="shared" si="8"/>
        <v>814.15599776099191</v>
      </c>
      <c r="Q27" s="195">
        <f t="shared" si="8"/>
        <v>5.5152284778921823</v>
      </c>
      <c r="R27" s="195">
        <f t="shared" si="8"/>
        <v>458.00758111928923</v>
      </c>
      <c r="S27" s="195"/>
      <c r="T27" s="196">
        <f>SUM(J27:S27)</f>
        <v>28350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1.4746900179144525E-3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1.9454068705087061E-4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22260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34370</v>
      </c>
      <c r="I31" s="30"/>
      <c r="J31" s="195"/>
      <c r="K31" s="195">
        <f t="shared" ref="K31:R31" si="9">$E30*K32</f>
        <v>7931.1895174631754</v>
      </c>
      <c r="L31" s="195">
        <f t="shared" si="9"/>
        <v>11196.101789436712</v>
      </c>
      <c r="M31" s="195">
        <f t="shared" si="9"/>
        <v>1989.7314501098542</v>
      </c>
      <c r="N31" s="195">
        <f t="shared" si="9"/>
        <v>35.303500102758981</v>
      </c>
      <c r="O31" s="195">
        <f t="shared" si="9"/>
        <v>123.04596946567639</v>
      </c>
      <c r="P31" s="195">
        <f t="shared" si="9"/>
        <v>627.17341875585259</v>
      </c>
      <c r="Q31" s="195">
        <f t="shared" si="9"/>
        <v>4.3396080433626052</v>
      </c>
      <c r="R31" s="195">
        <f t="shared" si="9"/>
        <v>353.11474662260565</v>
      </c>
      <c r="S31" s="195"/>
      <c r="T31" s="196">
        <f>SUM(J31:S31)</f>
        <v>22260.000000000004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3812</v>
      </c>
      <c r="I32" s="30"/>
      <c r="J32" s="194"/>
      <c r="K32" s="194">
        <f>Inputs!Q82</f>
        <v>0.35629782198846249</v>
      </c>
      <c r="L32" s="194">
        <f>Inputs!S82</f>
        <v>0.50296953231970853</v>
      </c>
      <c r="M32" s="194">
        <f>Inputs!U82</f>
        <v>8.938595912443191E-2</v>
      </c>
      <c r="N32" s="194">
        <f>Inputs!W82</f>
        <v>1.5859613702946533E-3</v>
      </c>
      <c r="O32" s="194">
        <f>Inputs!AA82</f>
        <v>5.5276715842621921E-3</v>
      </c>
      <c r="P32" s="194">
        <f>Inputs!AC82</f>
        <v>2.8174906502958338E-2</v>
      </c>
      <c r="Q32" s="194">
        <f>Inputs!Y82</f>
        <v>1.9495094534423204E-4</v>
      </c>
      <c r="R32" s="194">
        <f>Inputs!AE82</f>
        <v>1.5863196164537539E-2</v>
      </c>
      <c r="S32" s="194"/>
      <c r="T32" s="197">
        <f>SUM(J32:S32)</f>
        <v>0.99999999999999989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16965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29641</v>
      </c>
      <c r="I35" s="30"/>
      <c r="J35" s="195"/>
      <c r="K35" s="195">
        <f t="shared" ref="K35:R35" si="10">$E$34*K36</f>
        <v>6208.6354952015299</v>
      </c>
      <c r="L35" s="195">
        <f t="shared" si="10"/>
        <v>8437.8840895555531</v>
      </c>
      <c r="M35" s="195">
        <f t="shared" si="10"/>
        <v>1433.0464403231524</v>
      </c>
      <c r="N35" s="195">
        <f t="shared" si="10"/>
        <v>25.018116153918683</v>
      </c>
      <c r="O35" s="195">
        <f t="shared" si="10"/>
        <v>95.836635949925451</v>
      </c>
      <c r="P35" s="195">
        <f t="shared" si="10"/>
        <v>487.201287549038</v>
      </c>
      <c r="Q35" s="195">
        <f t="shared" si="10"/>
        <v>3.3003827558180197</v>
      </c>
      <c r="R35" s="195">
        <f t="shared" si="10"/>
        <v>274.07755251106676</v>
      </c>
      <c r="S35" s="195"/>
      <c r="T35" s="196">
        <f>SUM(J35:S35)</f>
        <v>16965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1981</v>
      </c>
      <c r="I36" s="30"/>
      <c r="J36" s="194"/>
      <c r="K36" s="194">
        <f>Inputs!Q89</f>
        <v>0.36596731477757322</v>
      </c>
      <c r="L36" s="194">
        <f>Inputs!S89</f>
        <v>0.49737012022137062</v>
      </c>
      <c r="M36" s="194">
        <f>Inputs!U89</f>
        <v>8.4470759818635568E-2</v>
      </c>
      <c r="N36" s="194">
        <f>Inputs!W89</f>
        <v>1.4746900179144523E-3</v>
      </c>
      <c r="O36" s="194">
        <f>Inputs!AA89</f>
        <v>5.6490796315900645E-3</v>
      </c>
      <c r="P36" s="194">
        <f>Inputs!AC89</f>
        <v>2.8718024612380665E-2</v>
      </c>
      <c r="Q36" s="194">
        <f>Inputs!Y89</f>
        <v>1.9454068705087059E-4</v>
      </c>
      <c r="R36" s="194">
        <f>Inputs!AE89</f>
        <v>1.6155470233484629E-2</v>
      </c>
      <c r="S36" s="194"/>
      <c r="T36" s="197">
        <f>SUM(J36:S36)</f>
        <v>1.0000000000000002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14805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24766</v>
      </c>
      <c r="I39" s="30"/>
      <c r="J39" s="195"/>
      <c r="K39" s="195">
        <f t="shared" ref="K39:R39" si="11">$E38*K40</f>
        <v>2555.0092804263045</v>
      </c>
      <c r="L39" s="195">
        <f t="shared" si="11"/>
        <v>9021.5505521952873</v>
      </c>
      <c r="M39" s="195">
        <f t="shared" si="11"/>
        <v>2705.9801135611965</v>
      </c>
      <c r="N39" s="195">
        <f t="shared" si="11"/>
        <v>54.780233155000978</v>
      </c>
      <c r="O39" s="195">
        <f t="shared" si="11"/>
        <v>47.685701131907727</v>
      </c>
      <c r="P39" s="195">
        <f t="shared" si="11"/>
        <v>264.35308218634407</v>
      </c>
      <c r="Q39" s="195">
        <f t="shared" si="11"/>
        <v>3.0016523524524663</v>
      </c>
      <c r="R39" s="195">
        <f t="shared" si="11"/>
        <v>152.63938499150672</v>
      </c>
      <c r="S39" s="195"/>
      <c r="T39" s="196">
        <f>SUM(J39:S39)</f>
        <v>14805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0.17257745899535998</v>
      </c>
      <c r="L40" s="194">
        <f>Inputs!S67</f>
        <v>0.60935836218813155</v>
      </c>
      <c r="M40" s="194">
        <f>Inputs!U67</f>
        <v>0.18277474593456242</v>
      </c>
      <c r="N40" s="194">
        <f>Inputs!W67</f>
        <v>3.7001170655184719E-3</v>
      </c>
      <c r="O40" s="194">
        <f>Inputs!AA67</f>
        <v>3.2209186850326059E-3</v>
      </c>
      <c r="P40" s="194">
        <f>Inputs!AC67</f>
        <v>1.785566242393408E-2</v>
      </c>
      <c r="Q40" s="194">
        <f>Inputs!Y67</f>
        <v>2.0274585291809972E-4</v>
      </c>
      <c r="R40" s="194">
        <f>Inputs!AE67</f>
        <v>1.0309988854542838E-2</v>
      </c>
      <c r="S40" s="194"/>
      <c r="T40" s="197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23" sqref="B23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48997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34370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3812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29641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1981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24766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opLeftCell="K21" zoomScaleNormal="100" workbookViewId="0">
      <selection activeCell="H21" sqref="H21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234</v>
      </c>
      <c r="R1" s="142" t="s">
        <v>235</v>
      </c>
      <c r="T1" s="142" t="s">
        <v>188</v>
      </c>
      <c r="U1" s="142" t="s">
        <v>214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230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217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218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219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220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53</v>
      </c>
      <c r="C7" s="151">
        <v>1262964</v>
      </c>
      <c r="D7" s="185" t="s">
        <v>6</v>
      </c>
      <c r="E7" s="148">
        <v>60</v>
      </c>
      <c r="F7" s="185"/>
      <c r="G7" s="185" t="s">
        <v>10</v>
      </c>
      <c r="H7" s="188" t="s">
        <v>184</v>
      </c>
      <c r="I7" s="205" t="str">
        <f t="shared" ref="I7:I38" si="0">IF(K7&gt;0,K7-J7,"NA")</f>
        <v>NA</v>
      </c>
      <c r="J7" s="186">
        <f t="shared" ref="J7:J38" si="1">IF(H7="NEW",203, IF(H7="OLD",192,0))</f>
        <v>203</v>
      </c>
      <c r="K7" s="151"/>
      <c r="L7" s="206" t="str">
        <f t="shared" ref="L7:L38" si="2">IF(K7&gt;0,I7/E7,"NA")</f>
        <v>NA</v>
      </c>
      <c r="M7" s="151">
        <v>954147</v>
      </c>
      <c r="N7" s="152" t="s">
        <v>238</v>
      </c>
      <c r="O7" s="157" t="s">
        <v>10</v>
      </c>
      <c r="P7" s="184" t="str">
        <f>IF(D7=Inputs!F$4,Inputs!I$4,IF(D7=Inputs!F$2,Inputs!I$2,IF(D7=Inputs!F$3,Inputs!I$3,IF(D7=Inputs!F$5,Inputs!I$5,"NA"))))</f>
        <v>NA</v>
      </c>
      <c r="Q7" s="255" t="e">
        <f>IF(ROUNDDOWN(I7/60,0)&gt;24, 24, ROUNDDOWN(I7/60,0))</f>
        <v>#VALUE!</v>
      </c>
      <c r="R7" s="142">
        <f>IF(O7="MED",72,(IF(D7="7169-E6",3,0)+IF(D7="7168-E7",14,0)+IF(D7="7169-E10",36,0)+IF(D7="7168-E11",59,0))+IF(O7="Brown",11,0)+(Q7-18))</f>
        <v>72</v>
      </c>
      <c r="U7" s="142" t="s">
        <v>221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53</v>
      </c>
      <c r="C8" s="151">
        <v>1262965</v>
      </c>
      <c r="D8" s="185" t="s">
        <v>167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1465</v>
      </c>
      <c r="J8" s="186">
        <f t="shared" si="1"/>
        <v>203</v>
      </c>
      <c r="K8" s="151">
        <v>1668</v>
      </c>
      <c r="L8" s="206">
        <f t="shared" si="2"/>
        <v>24.416666666666668</v>
      </c>
      <c r="M8" s="151">
        <v>954147</v>
      </c>
      <c r="N8" s="152" t="s">
        <v>238</v>
      </c>
      <c r="O8" s="157" t="s">
        <v>47</v>
      </c>
      <c r="P8" s="184">
        <f>IF(D8=Inputs!F$4,Inputs!I$4,IF(D8=Inputs!F$2,Inputs!I$2,IF(D8=Inputs!F$3,Inputs!I$3,IF(D8=Inputs!F$5,Inputs!I$5,"NA"))))</f>
        <v>64.892857142857139</v>
      </c>
      <c r="Q8" s="255">
        <f t="shared" ref="Q8:Q71" si="3">IF(ROUNDDOWN(I8/60,0)&gt;24, 24, ROUNDDOWN(I8/60,0))</f>
        <v>24</v>
      </c>
      <c r="R8" s="142">
        <f>IF(O8="MED",72,(IF(D8="7169-E6",3,0)+IF(D8="7168-E7",14,0)+IF(D8="7169-E10",36,0)+IF(D8="7168-E11",59,0))+IF(O8="Brown",11,0)+(Q8-18))</f>
        <v>20</v>
      </c>
      <c r="U8" s="142" t="s">
        <v>222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53</v>
      </c>
      <c r="C9" s="151">
        <v>1262966</v>
      </c>
      <c r="D9" s="185" t="s">
        <v>167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1467</v>
      </c>
      <c r="J9" s="186">
        <f t="shared" si="1"/>
        <v>203</v>
      </c>
      <c r="K9" s="151">
        <v>1670</v>
      </c>
      <c r="L9" s="206">
        <f t="shared" si="2"/>
        <v>24.45</v>
      </c>
      <c r="M9" s="151">
        <v>954147</v>
      </c>
      <c r="N9" s="152" t="s">
        <v>238</v>
      </c>
      <c r="O9" s="157" t="s">
        <v>47</v>
      </c>
      <c r="P9" s="184">
        <f>IF(D9=Inputs!F$4,Inputs!I$4,IF(D9=Inputs!F$2,Inputs!I$2,IF(D9=Inputs!F$3,Inputs!I$3,IF(D9=Inputs!F$5,Inputs!I$5,"NA"))))</f>
        <v>64.892857142857139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20</v>
      </c>
      <c r="U9" s="142" t="s">
        <v>223</v>
      </c>
      <c r="V9" s="142">
        <f>COUNTIF(R$7:R$82,9)*60</f>
        <v>840</v>
      </c>
    </row>
    <row r="10" spans="1:22" x14ac:dyDescent="0.25">
      <c r="A10" s="148">
        <v>11</v>
      </c>
      <c r="B10" s="186">
        <f>Inputs!C$2</f>
        <v>53</v>
      </c>
      <c r="C10" s="151">
        <v>1262967</v>
      </c>
      <c r="D10" s="185" t="s">
        <v>208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1507</v>
      </c>
      <c r="J10" s="186">
        <f t="shared" si="1"/>
        <v>203</v>
      </c>
      <c r="K10" s="151">
        <v>1710</v>
      </c>
      <c r="L10" s="206">
        <f t="shared" si="2"/>
        <v>25.116666666666667</v>
      </c>
      <c r="M10" s="151">
        <v>954147</v>
      </c>
      <c r="N10" s="152" t="s">
        <v>238</v>
      </c>
      <c r="O10" s="157" t="s">
        <v>47</v>
      </c>
      <c r="P10" s="184">
        <f>IF(D10=Inputs!F$4,Inputs!I$4,IF(D10=Inputs!F$2,Inputs!I$2,IF(D10=Inputs!F$3,Inputs!I$3,IF(D10=Inputs!F$5,Inputs!I$5,"NA"))))</f>
        <v>51.892857142857146</v>
      </c>
      <c r="Q10" s="255">
        <f t="shared" si="3"/>
        <v>24</v>
      </c>
      <c r="R10" s="142">
        <f t="shared" si="4"/>
        <v>42</v>
      </c>
      <c r="U10" s="142" t="s">
        <v>50</v>
      </c>
      <c r="V10" s="142">
        <f>SUM(V3:V9)</f>
        <v>840</v>
      </c>
    </row>
    <row r="11" spans="1:22" x14ac:dyDescent="0.25">
      <c r="A11" s="148">
        <v>13</v>
      </c>
      <c r="B11" s="186">
        <f>Inputs!C$2</f>
        <v>53</v>
      </c>
      <c r="C11" s="151">
        <v>1262968</v>
      </c>
      <c r="D11" s="185" t="s">
        <v>167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1479</v>
      </c>
      <c r="J11" s="186">
        <f t="shared" si="1"/>
        <v>203</v>
      </c>
      <c r="K11" s="151">
        <v>1682</v>
      </c>
      <c r="L11" s="206">
        <f t="shared" si="2"/>
        <v>24.65</v>
      </c>
      <c r="M11" s="151">
        <v>954147</v>
      </c>
      <c r="N11" s="152" t="s">
        <v>238</v>
      </c>
      <c r="O11" s="157" t="s">
        <v>47</v>
      </c>
      <c r="P11" s="184">
        <f>IF(D11=Inputs!F$4,Inputs!I$4,IF(D11=Inputs!F$2,Inputs!I$2,IF(D11=Inputs!F$3,Inputs!I$3,IF(D11=Inputs!F$5,Inputs!I$5,"NA"))))</f>
        <v>64.892857142857139</v>
      </c>
      <c r="Q11" s="255">
        <f>IF(ROUNDDOWN(I11/60,0)&gt;24, 24, ROUNDDOWN(I11/60,0))</f>
        <v>24</v>
      </c>
      <c r="R11" s="142">
        <f t="shared" si="4"/>
        <v>20</v>
      </c>
    </row>
    <row r="12" spans="1:22" x14ac:dyDescent="0.25">
      <c r="A12" s="148">
        <v>29</v>
      </c>
      <c r="B12" s="186">
        <f>Inputs!C$2</f>
        <v>53</v>
      </c>
      <c r="C12" s="151">
        <v>1262969</v>
      </c>
      <c r="D12" s="185" t="s">
        <v>167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1469</v>
      </c>
      <c r="J12" s="186">
        <f t="shared" si="1"/>
        <v>203</v>
      </c>
      <c r="K12" s="151">
        <v>1672</v>
      </c>
      <c r="L12" s="206">
        <f t="shared" si="2"/>
        <v>24.483333333333334</v>
      </c>
      <c r="M12" s="151">
        <v>954147</v>
      </c>
      <c r="N12" s="152" t="s">
        <v>238</v>
      </c>
      <c r="O12" s="157" t="s">
        <v>47</v>
      </c>
      <c r="P12" s="184">
        <f>IF(D12=Inputs!F$4,Inputs!I$4,IF(D12=Inputs!F$2,Inputs!I$2,IF(D12=Inputs!F$3,Inputs!I$3,IF(D12=Inputs!F$5,Inputs!I$5,"NA"))))</f>
        <v>64.892857142857139</v>
      </c>
      <c r="Q12" s="255">
        <f t="shared" si="3"/>
        <v>24</v>
      </c>
      <c r="R12" s="142">
        <f t="shared" si="4"/>
        <v>20</v>
      </c>
      <c r="T12" s="142" t="s">
        <v>189</v>
      </c>
      <c r="U12" s="142" t="s">
        <v>214</v>
      </c>
      <c r="V12" s="142" t="s">
        <v>106</v>
      </c>
    </row>
    <row r="13" spans="1:22" x14ac:dyDescent="0.25">
      <c r="A13" s="148">
        <v>32</v>
      </c>
      <c r="B13" s="186">
        <f>Inputs!C$2</f>
        <v>53</v>
      </c>
      <c r="C13" s="151">
        <v>1262970</v>
      </c>
      <c r="D13" s="185" t="s">
        <v>167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1473</v>
      </c>
      <c r="J13" s="186">
        <f t="shared" si="1"/>
        <v>203</v>
      </c>
      <c r="K13" s="151">
        <v>1676</v>
      </c>
      <c r="L13" s="206">
        <f t="shared" si="2"/>
        <v>24.55</v>
      </c>
      <c r="M13" s="151">
        <v>954147</v>
      </c>
      <c r="N13" s="152" t="s">
        <v>238</v>
      </c>
      <c r="O13" s="157" t="s">
        <v>47</v>
      </c>
      <c r="P13" s="184">
        <f>IF(D13=Inputs!F$4,Inputs!I$4,IF(D13=Inputs!F$2,Inputs!I$2,IF(D13=Inputs!F$3,Inputs!I$3,IF(D13=Inputs!F$5,Inputs!I$5,"NA"))))</f>
        <v>64.892857142857139</v>
      </c>
      <c r="Q13" s="255">
        <f t="shared" si="3"/>
        <v>24</v>
      </c>
      <c r="R13" s="142">
        <f t="shared" si="4"/>
        <v>20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53</v>
      </c>
      <c r="C14" s="151">
        <v>1262971</v>
      </c>
      <c r="D14" s="185" t="s">
        <v>208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1529</v>
      </c>
      <c r="J14" s="186">
        <f t="shared" si="1"/>
        <v>203</v>
      </c>
      <c r="K14" s="151">
        <v>1732</v>
      </c>
      <c r="L14" s="206">
        <f t="shared" si="2"/>
        <v>25.483333333333334</v>
      </c>
      <c r="M14" s="151">
        <v>954147</v>
      </c>
      <c r="N14" s="152" t="s">
        <v>238</v>
      </c>
      <c r="O14" s="157" t="s">
        <v>47</v>
      </c>
      <c r="P14" s="184">
        <f>IF(D14=Inputs!F$4,Inputs!I$4,IF(D14=Inputs!F$2,Inputs!I$2,IF(D14=Inputs!F$3,Inputs!I$3,IF(D14=Inputs!F$5,Inputs!I$5,"NA"))))</f>
        <v>51.892857142857146</v>
      </c>
      <c r="Q14" s="255">
        <f t="shared" si="3"/>
        <v>24</v>
      </c>
      <c r="R14" s="142">
        <f t="shared" si="4"/>
        <v>42</v>
      </c>
      <c r="U14" s="142" t="s">
        <v>217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53</v>
      </c>
      <c r="C15" s="151">
        <v>1262972</v>
      </c>
      <c r="D15" s="185" t="s">
        <v>208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1503</v>
      </c>
      <c r="J15" s="186">
        <f t="shared" si="1"/>
        <v>203</v>
      </c>
      <c r="K15" s="151">
        <v>1706</v>
      </c>
      <c r="L15" s="206">
        <f t="shared" si="2"/>
        <v>25.05</v>
      </c>
      <c r="M15" s="151">
        <v>954147</v>
      </c>
      <c r="N15" s="152" t="s">
        <v>238</v>
      </c>
      <c r="O15" s="157" t="s">
        <v>47</v>
      </c>
      <c r="P15" s="184">
        <f>IF(D15=Inputs!F$4,Inputs!I$4,IF(D15=Inputs!F$2,Inputs!I$2,IF(D15=Inputs!F$3,Inputs!I$3,IF(D15=Inputs!F$5,Inputs!I$5,"NA"))))</f>
        <v>51.892857142857146</v>
      </c>
      <c r="Q15" s="255">
        <f t="shared" si="3"/>
        <v>24</v>
      </c>
      <c r="R15" s="142">
        <f t="shared" si="4"/>
        <v>42</v>
      </c>
      <c r="U15" s="142" t="s">
        <v>218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53</v>
      </c>
      <c r="C16" s="151">
        <v>1262973</v>
      </c>
      <c r="D16" s="185" t="s">
        <v>208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1503</v>
      </c>
      <c r="J16" s="186">
        <f t="shared" si="1"/>
        <v>203</v>
      </c>
      <c r="K16" s="151">
        <v>1706</v>
      </c>
      <c r="L16" s="206">
        <f t="shared" si="2"/>
        <v>25.05</v>
      </c>
      <c r="M16" s="151">
        <v>954147</v>
      </c>
      <c r="N16" s="152" t="s">
        <v>238</v>
      </c>
      <c r="O16" s="157" t="s">
        <v>47</v>
      </c>
      <c r="P16" s="184">
        <f>IF(D16=Inputs!F$4,Inputs!I$4,IF(D16=Inputs!F$2,Inputs!I$2,IF(D16=Inputs!F$3,Inputs!I$3,IF(D16=Inputs!F$5,Inputs!I$5,"NA"))))</f>
        <v>51.892857142857146</v>
      </c>
      <c r="Q16" s="255">
        <f t="shared" si="3"/>
        <v>24</v>
      </c>
      <c r="R16" s="142">
        <f t="shared" si="4"/>
        <v>42</v>
      </c>
      <c r="U16" s="142" t="s">
        <v>219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53</v>
      </c>
      <c r="C17" s="151">
        <v>1262974</v>
      </c>
      <c r="D17" s="185" t="s">
        <v>5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1497</v>
      </c>
      <c r="J17" s="186">
        <f t="shared" si="1"/>
        <v>203</v>
      </c>
      <c r="K17" s="151">
        <v>1700</v>
      </c>
      <c r="L17" s="206">
        <f t="shared" si="2"/>
        <v>24.95</v>
      </c>
      <c r="M17" s="151">
        <v>954147</v>
      </c>
      <c r="N17" s="152" t="s">
        <v>238</v>
      </c>
      <c r="O17" s="157" t="s">
        <v>47</v>
      </c>
      <c r="P17" s="184">
        <f>IF(D17=Inputs!F$4,Inputs!I$4,IF(D17=Inputs!F$2,Inputs!I$2,IF(D17=Inputs!F$3,Inputs!I$3,IF(D17=Inputs!F$5,Inputs!I$5,"NA"))))</f>
        <v>39.464285714285715</v>
      </c>
      <c r="Q17" s="255">
        <f t="shared" si="3"/>
        <v>24</v>
      </c>
      <c r="R17" s="142">
        <f t="shared" si="4"/>
        <v>9</v>
      </c>
      <c r="U17" s="142" t="s">
        <v>220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53</v>
      </c>
      <c r="C18" s="151">
        <v>1262975</v>
      </c>
      <c r="D18" s="185" t="s">
        <v>5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1454</v>
      </c>
      <c r="J18" s="186">
        <f t="shared" si="1"/>
        <v>203</v>
      </c>
      <c r="K18" s="151">
        <v>1657</v>
      </c>
      <c r="L18" s="206">
        <f t="shared" si="2"/>
        <v>24.233333333333334</v>
      </c>
      <c r="M18" s="151">
        <v>954147</v>
      </c>
      <c r="N18" s="152" t="s">
        <v>238</v>
      </c>
      <c r="O18" s="157" t="s">
        <v>47</v>
      </c>
      <c r="P18" s="184">
        <f>IF(D18=Inputs!F$4,Inputs!I$4,IF(D18=Inputs!F$2,Inputs!I$2,IF(D18=Inputs!F$3,Inputs!I$3,IF(D18=Inputs!F$5,Inputs!I$5,"NA"))))</f>
        <v>39.464285714285715</v>
      </c>
      <c r="Q18" s="255">
        <f t="shared" si="3"/>
        <v>24</v>
      </c>
      <c r="R18" s="142">
        <f t="shared" si="4"/>
        <v>9</v>
      </c>
      <c r="U18" s="142" t="s">
        <v>221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53</v>
      </c>
      <c r="C19" s="151">
        <v>1262976</v>
      </c>
      <c r="D19" s="185" t="s">
        <v>5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1473</v>
      </c>
      <c r="J19" s="186">
        <f t="shared" si="1"/>
        <v>203</v>
      </c>
      <c r="K19" s="151">
        <v>1676</v>
      </c>
      <c r="L19" s="206">
        <f t="shared" si="2"/>
        <v>24.55</v>
      </c>
      <c r="M19" s="151">
        <v>954147</v>
      </c>
      <c r="N19" s="152" t="s">
        <v>238</v>
      </c>
      <c r="O19" s="157" t="s">
        <v>47</v>
      </c>
      <c r="P19" s="184">
        <f>IF(D19=Inputs!F$4,Inputs!I$4,IF(D19=Inputs!F$2,Inputs!I$2,IF(D19=Inputs!F$3,Inputs!I$3,IF(D19=Inputs!F$5,Inputs!I$5,"NA"))))</f>
        <v>39.464285714285715</v>
      </c>
      <c r="Q19" s="255">
        <f t="shared" si="3"/>
        <v>24</v>
      </c>
      <c r="R19" s="142">
        <f t="shared" si="4"/>
        <v>9</v>
      </c>
      <c r="U19" s="142" t="s">
        <v>222</v>
      </c>
      <c r="V19" s="142">
        <f>COUNTIF(R$7:R$82,19)*60</f>
        <v>60</v>
      </c>
    </row>
    <row r="20" spans="1:22" x14ac:dyDescent="0.25">
      <c r="A20" s="148">
        <v>21</v>
      </c>
      <c r="B20" s="186">
        <f>Inputs!C$2</f>
        <v>53</v>
      </c>
      <c r="C20" s="151">
        <v>1262977</v>
      </c>
      <c r="D20" s="185" t="s">
        <v>5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1457</v>
      </c>
      <c r="J20" s="186">
        <f t="shared" si="1"/>
        <v>203</v>
      </c>
      <c r="K20" s="151">
        <v>1660</v>
      </c>
      <c r="L20" s="206">
        <f t="shared" si="2"/>
        <v>24.283333333333335</v>
      </c>
      <c r="M20" s="151">
        <v>954147</v>
      </c>
      <c r="N20" s="152" t="s">
        <v>238</v>
      </c>
      <c r="O20" s="157" t="s">
        <v>47</v>
      </c>
      <c r="P20" s="184">
        <f>IF(D20=Inputs!F$4,Inputs!I$4,IF(D20=Inputs!F$2,Inputs!I$2,IF(D20=Inputs!F$3,Inputs!I$3,IF(D20=Inputs!F$5,Inputs!I$5,"NA"))))</f>
        <v>39.464285714285715</v>
      </c>
      <c r="Q20" s="255">
        <f t="shared" si="3"/>
        <v>24</v>
      </c>
      <c r="R20" s="142">
        <f t="shared" si="4"/>
        <v>9</v>
      </c>
      <c r="U20" s="142" t="s">
        <v>223</v>
      </c>
      <c r="V20" s="142">
        <f>COUNTIF(R$7:R$82,20)*60</f>
        <v>1140</v>
      </c>
    </row>
    <row r="21" spans="1:22" x14ac:dyDescent="0.25">
      <c r="A21" s="148">
        <v>8</v>
      </c>
      <c r="B21" s="186">
        <f>Inputs!C$2</f>
        <v>53</v>
      </c>
      <c r="C21" s="151">
        <v>1262978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1407</v>
      </c>
      <c r="J21" s="186">
        <f t="shared" si="1"/>
        <v>203</v>
      </c>
      <c r="K21" s="151">
        <v>1610</v>
      </c>
      <c r="L21" s="206">
        <f t="shared" si="2"/>
        <v>23.45</v>
      </c>
      <c r="M21" s="151">
        <v>954147</v>
      </c>
      <c r="N21" s="152" t="s">
        <v>238</v>
      </c>
      <c r="O21" s="157" t="s">
        <v>47</v>
      </c>
      <c r="P21" s="184">
        <f>IF(D21=Inputs!F$4,Inputs!I$4,IF(D21=Inputs!F$2,Inputs!I$2,IF(D21=Inputs!F$3,Inputs!I$3,IF(D21=Inputs!F$5,Inputs!I$5,"NA"))))</f>
        <v>30.607142857142858</v>
      </c>
      <c r="Q21" s="255">
        <f t="shared" si="3"/>
        <v>23</v>
      </c>
      <c r="R21" s="142">
        <f t="shared" si="4"/>
        <v>64</v>
      </c>
      <c r="U21" s="142" t="s">
        <v>50</v>
      </c>
      <c r="V21" s="142">
        <f>SUM(V14:V20)</f>
        <v>1200</v>
      </c>
    </row>
    <row r="22" spans="1:22" x14ac:dyDescent="0.25">
      <c r="A22" s="148">
        <v>22</v>
      </c>
      <c r="B22" s="186">
        <f>Inputs!C$2</f>
        <v>53</v>
      </c>
      <c r="C22" s="151">
        <v>1262979</v>
      </c>
      <c r="D22" s="185" t="s">
        <v>4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1431</v>
      </c>
      <c r="J22" s="186">
        <f t="shared" si="1"/>
        <v>203</v>
      </c>
      <c r="K22" s="225">
        <v>1634</v>
      </c>
      <c r="L22" s="206">
        <f t="shared" si="2"/>
        <v>23.85</v>
      </c>
      <c r="M22" s="151">
        <v>954147</v>
      </c>
      <c r="N22" s="152" t="s">
        <v>238</v>
      </c>
      <c r="O22" s="157" t="s">
        <v>47</v>
      </c>
      <c r="P22" s="184">
        <f>IF(D22=Inputs!F$4,Inputs!I$4,IF(D22=Inputs!F$2,Inputs!I$2,IF(D22=Inputs!F$3,Inputs!I$3,IF(D22=Inputs!F$5,Inputs!I$5,"NA"))))</f>
        <v>30.607142857142858</v>
      </c>
      <c r="Q22" s="255">
        <f t="shared" si="3"/>
        <v>23</v>
      </c>
      <c r="R22" s="142">
        <f t="shared" si="4"/>
        <v>64</v>
      </c>
    </row>
    <row r="23" spans="1:22" x14ac:dyDescent="0.25">
      <c r="A23" s="148">
        <v>23</v>
      </c>
      <c r="B23" s="186">
        <f>Inputs!C$2</f>
        <v>53</v>
      </c>
      <c r="C23" s="151">
        <v>1262980</v>
      </c>
      <c r="D23" s="185" t="s">
        <v>4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1417</v>
      </c>
      <c r="J23" s="186">
        <f t="shared" si="1"/>
        <v>203</v>
      </c>
      <c r="K23" s="151">
        <v>1620</v>
      </c>
      <c r="L23" s="206">
        <f t="shared" si="2"/>
        <v>23.616666666666667</v>
      </c>
      <c r="M23" s="151">
        <v>954147</v>
      </c>
      <c r="N23" s="152" t="s">
        <v>238</v>
      </c>
      <c r="O23" s="157" t="s">
        <v>47</v>
      </c>
      <c r="P23" s="184">
        <f>IF(D23=Inputs!F$4,Inputs!I$4,IF(D23=Inputs!F$2,Inputs!I$2,IF(D23=Inputs!F$3,Inputs!I$3,IF(D23=Inputs!F$5,Inputs!I$5,"NA"))))</f>
        <v>30.607142857142858</v>
      </c>
      <c r="Q23" s="255">
        <f t="shared" si="3"/>
        <v>23</v>
      </c>
      <c r="R23" s="142">
        <f t="shared" si="4"/>
        <v>64</v>
      </c>
      <c r="T23" s="142" t="s">
        <v>190</v>
      </c>
      <c r="U23" s="142" t="s">
        <v>214</v>
      </c>
      <c r="V23" s="142" t="s">
        <v>106</v>
      </c>
    </row>
    <row r="24" spans="1:22" x14ac:dyDescent="0.25">
      <c r="A24" s="148">
        <v>24</v>
      </c>
      <c r="B24" s="186">
        <f>Inputs!C$2</f>
        <v>53</v>
      </c>
      <c r="C24" s="151">
        <v>1262981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1423</v>
      </c>
      <c r="J24" s="186">
        <f t="shared" si="1"/>
        <v>203</v>
      </c>
      <c r="K24" s="151">
        <v>1626</v>
      </c>
      <c r="L24" s="206">
        <f t="shared" si="2"/>
        <v>23.716666666666665</v>
      </c>
      <c r="M24" s="151">
        <v>954147</v>
      </c>
      <c r="N24" s="152" t="s">
        <v>238</v>
      </c>
      <c r="O24" s="157" t="s">
        <v>47</v>
      </c>
      <c r="P24" s="184">
        <f>IF(D24=Inputs!F$4,Inputs!I$4,IF(D24=Inputs!F$2,Inputs!I$2,IF(D24=Inputs!F$3,Inputs!I$3,IF(D24=Inputs!F$5,Inputs!I$5,"NA"))))</f>
        <v>30.607142857142858</v>
      </c>
      <c r="Q24" s="255">
        <f t="shared" si="3"/>
        <v>23</v>
      </c>
      <c r="R24" s="142">
        <f t="shared" si="4"/>
        <v>64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53</v>
      </c>
      <c r="C25" s="151">
        <v>1262982</v>
      </c>
      <c r="D25" s="185" t="s">
        <v>5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1457</v>
      </c>
      <c r="J25" s="186">
        <f t="shared" si="1"/>
        <v>203</v>
      </c>
      <c r="K25" s="151">
        <v>1660</v>
      </c>
      <c r="L25" s="206">
        <f t="shared" si="2"/>
        <v>24.283333333333335</v>
      </c>
      <c r="M25" s="151">
        <v>954147</v>
      </c>
      <c r="N25" s="152" t="s">
        <v>238</v>
      </c>
      <c r="O25" s="157" t="s">
        <v>47</v>
      </c>
      <c r="P25" s="184">
        <f>IF(D25=Inputs!F$4,Inputs!I$4,IF(D25=Inputs!F$2,Inputs!I$2,IF(D25=Inputs!F$3,Inputs!I$3,IF(D25=Inputs!F$5,Inputs!I$5,"NA"))))</f>
        <v>39.464285714285715</v>
      </c>
      <c r="Q25" s="255">
        <f t="shared" si="3"/>
        <v>24</v>
      </c>
      <c r="R25" s="142">
        <f t="shared" si="4"/>
        <v>9</v>
      </c>
      <c r="U25" s="142" t="s">
        <v>217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53</v>
      </c>
      <c r="C26" s="151">
        <v>1262983</v>
      </c>
      <c r="D26" s="185" t="s">
        <v>4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1413</v>
      </c>
      <c r="J26" s="186">
        <f t="shared" si="1"/>
        <v>203</v>
      </c>
      <c r="K26" s="151">
        <v>1616</v>
      </c>
      <c r="L26" s="206">
        <f t="shared" si="2"/>
        <v>23.55</v>
      </c>
      <c r="M26" s="151">
        <v>954147</v>
      </c>
      <c r="N26" s="152" t="s">
        <v>238</v>
      </c>
      <c r="O26" s="157" t="s">
        <v>47</v>
      </c>
      <c r="P26" s="184">
        <f>IF(D26=Inputs!F$4,Inputs!I$4,IF(D26=Inputs!F$2,Inputs!I$2,IF(D26=Inputs!F$3,Inputs!I$3,IF(D26=Inputs!F$5,Inputs!I$5,"NA"))))</f>
        <v>30.607142857142858</v>
      </c>
      <c r="Q26" s="255">
        <f t="shared" si="3"/>
        <v>23</v>
      </c>
      <c r="R26" s="142">
        <f t="shared" si="4"/>
        <v>64</v>
      </c>
      <c r="U26" s="142" t="s">
        <v>218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53</v>
      </c>
      <c r="C27" s="151">
        <v>1262984</v>
      </c>
      <c r="D27" s="185" t="s">
        <v>4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1419</v>
      </c>
      <c r="J27" s="186">
        <f t="shared" si="1"/>
        <v>203</v>
      </c>
      <c r="K27" s="164">
        <v>1622</v>
      </c>
      <c r="L27" s="206">
        <f t="shared" si="2"/>
        <v>23.65</v>
      </c>
      <c r="M27" s="151">
        <v>954147</v>
      </c>
      <c r="N27" s="152" t="s">
        <v>238</v>
      </c>
      <c r="O27" s="157" t="s">
        <v>47</v>
      </c>
      <c r="P27" s="184">
        <f>IF(D27=Inputs!F$4,Inputs!I$4,IF(D27=Inputs!F$2,Inputs!I$2,IF(D27=Inputs!F$3,Inputs!I$3,IF(D27=Inputs!F$5,Inputs!I$5,"NA"))))</f>
        <v>30.607142857142858</v>
      </c>
      <c r="Q27" s="255">
        <f t="shared" si="3"/>
        <v>23</v>
      </c>
      <c r="R27" s="142">
        <f t="shared" si="4"/>
        <v>64</v>
      </c>
      <c r="U27" s="142" t="s">
        <v>219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53</v>
      </c>
      <c r="C28" s="151">
        <v>1262985</v>
      </c>
      <c r="D28" s="185" t="s">
        <v>5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1473</v>
      </c>
      <c r="J28" s="186">
        <f t="shared" si="1"/>
        <v>203</v>
      </c>
      <c r="K28" s="151">
        <v>1676</v>
      </c>
      <c r="L28" s="206">
        <f t="shared" si="2"/>
        <v>24.55</v>
      </c>
      <c r="M28" s="151">
        <v>954147</v>
      </c>
      <c r="N28" s="152" t="s">
        <v>238</v>
      </c>
      <c r="O28" s="157" t="s">
        <v>47</v>
      </c>
      <c r="P28" s="184">
        <f>IF(D28=Inputs!F$4,Inputs!I$4,IF(D28=Inputs!F$2,Inputs!I$2,IF(D28=Inputs!F$3,Inputs!I$3,IF(D28=Inputs!F$5,Inputs!I$5,"NA"))))</f>
        <v>39.464285714285715</v>
      </c>
      <c r="Q28" s="255">
        <f t="shared" si="3"/>
        <v>24</v>
      </c>
      <c r="R28" s="142">
        <f t="shared" si="4"/>
        <v>9</v>
      </c>
      <c r="U28" s="142" t="s">
        <v>220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53</v>
      </c>
      <c r="C29" s="151">
        <v>1262986</v>
      </c>
      <c r="D29" s="185" t="s">
        <v>208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1509</v>
      </c>
      <c r="J29" s="186">
        <f t="shared" si="1"/>
        <v>203</v>
      </c>
      <c r="K29" s="151">
        <v>1712</v>
      </c>
      <c r="L29" s="206">
        <f t="shared" si="2"/>
        <v>25.15</v>
      </c>
      <c r="M29" s="151">
        <v>954147</v>
      </c>
      <c r="N29" s="152" t="s">
        <v>238</v>
      </c>
      <c r="O29" s="157" t="s">
        <v>48</v>
      </c>
      <c r="P29" s="184">
        <f>IF(D29=Inputs!F$4,Inputs!I$4,IF(D29=Inputs!F$2,Inputs!I$2,IF(D29=Inputs!F$3,Inputs!I$3,IF(D29=Inputs!F$5,Inputs!I$5,"NA"))))</f>
        <v>51.892857142857146</v>
      </c>
      <c r="Q29" s="255">
        <f t="shared" si="3"/>
        <v>24</v>
      </c>
      <c r="R29" s="142">
        <f t="shared" si="4"/>
        <v>53</v>
      </c>
      <c r="U29" s="142" t="s">
        <v>221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53</v>
      </c>
      <c r="C30" s="151">
        <v>1262987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1443</v>
      </c>
      <c r="J30" s="186">
        <f t="shared" si="1"/>
        <v>203</v>
      </c>
      <c r="K30" s="151">
        <v>1646</v>
      </c>
      <c r="L30" s="206">
        <f t="shared" si="2"/>
        <v>24.05</v>
      </c>
      <c r="M30" s="151">
        <v>954147</v>
      </c>
      <c r="N30" s="152" t="s">
        <v>238</v>
      </c>
      <c r="O30" s="157" t="s">
        <v>47</v>
      </c>
      <c r="P30" s="184">
        <f>IF(D30=Inputs!F$4,Inputs!I$4,IF(D30=Inputs!F$2,Inputs!I$2,IF(D30=Inputs!F$3,Inputs!I$3,IF(D30=Inputs!F$5,Inputs!I$5,"NA"))))</f>
        <v>64.892857142857139</v>
      </c>
      <c r="Q30" s="255">
        <f t="shared" si="3"/>
        <v>24</v>
      </c>
      <c r="R30" s="142">
        <f t="shared" si="4"/>
        <v>20</v>
      </c>
      <c r="U30" s="142" t="s">
        <v>222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53</v>
      </c>
      <c r="C31" s="151">
        <v>1262988</v>
      </c>
      <c r="D31" s="185" t="s">
        <v>4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1417</v>
      </c>
      <c r="J31" s="186">
        <f t="shared" si="1"/>
        <v>203</v>
      </c>
      <c r="K31" s="151">
        <v>1620</v>
      </c>
      <c r="L31" s="206">
        <f t="shared" si="2"/>
        <v>23.616666666666667</v>
      </c>
      <c r="M31" s="151">
        <v>954147</v>
      </c>
      <c r="N31" s="152" t="s">
        <v>238</v>
      </c>
      <c r="O31" s="157" t="s">
        <v>47</v>
      </c>
      <c r="P31" s="184">
        <f>IF(D31=Inputs!F$4,Inputs!I$4,IF(D31=Inputs!F$2,Inputs!I$2,IF(D31=Inputs!F$3,Inputs!I$3,IF(D31=Inputs!F$5,Inputs!I$5,"NA"))))</f>
        <v>30.607142857142858</v>
      </c>
      <c r="Q31" s="255">
        <f t="shared" si="3"/>
        <v>23</v>
      </c>
      <c r="R31" s="142">
        <f t="shared" si="4"/>
        <v>64</v>
      </c>
      <c r="U31" s="142" t="s">
        <v>223</v>
      </c>
      <c r="V31" s="142">
        <f>COUNTIF(R$7:R$82,31)*60</f>
        <v>0</v>
      </c>
    </row>
    <row r="32" spans="1:22" x14ac:dyDescent="0.25">
      <c r="A32" s="148">
        <v>27</v>
      </c>
      <c r="B32" s="186">
        <f>Inputs!C$2</f>
        <v>53</v>
      </c>
      <c r="C32" s="151">
        <v>1262989</v>
      </c>
      <c r="D32" s="185" t="s">
        <v>4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1423</v>
      </c>
      <c r="J32" s="186">
        <f t="shared" si="1"/>
        <v>203</v>
      </c>
      <c r="K32" s="151">
        <v>1626</v>
      </c>
      <c r="L32" s="206">
        <f t="shared" si="2"/>
        <v>23.716666666666665</v>
      </c>
      <c r="M32" s="151">
        <v>954147</v>
      </c>
      <c r="N32" s="152" t="s">
        <v>238</v>
      </c>
      <c r="O32" s="157" t="s">
        <v>47</v>
      </c>
      <c r="P32" s="184">
        <f>IF(D32=Inputs!F$4,Inputs!I$4,IF(D32=Inputs!F$2,Inputs!I$2,IF(D32=Inputs!F$3,Inputs!I$3,IF(D32=Inputs!F$5,Inputs!I$5,"NA"))))</f>
        <v>30.607142857142858</v>
      </c>
      <c r="Q32" s="255">
        <f t="shared" si="3"/>
        <v>23</v>
      </c>
      <c r="R32" s="142">
        <f t="shared" ref="R32:R37" si="5">IF(O32="MED",72,(IF(D32="7169-E6",3,0)+IF(D32="7168-E7",14,0)+IF(D32="7169-E10",36,0)+IF(D32="7168-E11",59,0))+IF(O32="Brown",11,0)+(Q32-18))</f>
        <v>64</v>
      </c>
      <c r="U32" s="142" t="s">
        <v>50</v>
      </c>
      <c r="V32" s="142">
        <f>SUM(V25:V31)</f>
        <v>0</v>
      </c>
    </row>
    <row r="33" spans="1:22" x14ac:dyDescent="0.25">
      <c r="A33" s="148">
        <v>28</v>
      </c>
      <c r="B33" s="186">
        <f>Inputs!C$2</f>
        <v>53</v>
      </c>
      <c r="C33" s="151">
        <v>1262990</v>
      </c>
      <c r="D33" s="185" t="s">
        <v>4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1435</v>
      </c>
      <c r="J33" s="186">
        <f t="shared" si="1"/>
        <v>203</v>
      </c>
      <c r="K33" s="151">
        <v>1638</v>
      </c>
      <c r="L33" s="206">
        <f t="shared" si="2"/>
        <v>23.916666666666668</v>
      </c>
      <c r="M33" s="151">
        <v>954147</v>
      </c>
      <c r="N33" s="152" t="s">
        <v>238</v>
      </c>
      <c r="O33" s="157" t="s">
        <v>47</v>
      </c>
      <c r="P33" s="184">
        <f>IF(D33=Inputs!F$4,Inputs!I$4,IF(D33=Inputs!F$2,Inputs!I$2,IF(D33=Inputs!F$3,Inputs!I$3,IF(D33=Inputs!F$5,Inputs!I$5,"NA"))))</f>
        <v>30.607142857142858</v>
      </c>
      <c r="Q33" s="255">
        <f t="shared" si="3"/>
        <v>23</v>
      </c>
      <c r="R33" s="142">
        <f t="shared" si="5"/>
        <v>64</v>
      </c>
    </row>
    <row r="34" spans="1:22" x14ac:dyDescent="0.25">
      <c r="A34" s="148">
        <v>1</v>
      </c>
      <c r="B34" s="186">
        <f>Inputs!C$2</f>
        <v>53</v>
      </c>
      <c r="C34" s="151">
        <v>1262991</v>
      </c>
      <c r="D34" s="185" t="s">
        <v>167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1405</v>
      </c>
      <c r="J34" s="186">
        <f t="shared" si="1"/>
        <v>203</v>
      </c>
      <c r="K34" s="151">
        <v>1608</v>
      </c>
      <c r="L34" s="206">
        <f t="shared" si="2"/>
        <v>23.416666666666668</v>
      </c>
      <c r="M34" s="151">
        <v>954147</v>
      </c>
      <c r="N34" s="152" t="s">
        <v>238</v>
      </c>
      <c r="O34" s="157" t="s">
        <v>236</v>
      </c>
      <c r="P34" s="184">
        <f>IF(D34=Inputs!F$4,Inputs!I$4,IF(D34=Inputs!F$2,Inputs!I$2,IF(D34=Inputs!F$3,Inputs!I$3,IF(D34=Inputs!F$5,Inputs!I$5,"NA"))))</f>
        <v>64.892857142857139</v>
      </c>
      <c r="Q34" s="255">
        <f t="shared" si="3"/>
        <v>23</v>
      </c>
      <c r="R34" s="142">
        <f t="shared" si="5"/>
        <v>19</v>
      </c>
      <c r="T34" s="142" t="s">
        <v>195</v>
      </c>
      <c r="U34" s="142" t="s">
        <v>214</v>
      </c>
      <c r="V34" s="142" t="s">
        <v>106</v>
      </c>
    </row>
    <row r="35" spans="1:22" x14ac:dyDescent="0.25">
      <c r="A35" s="148">
        <v>5</v>
      </c>
      <c r="B35" s="186">
        <f>Inputs!C$2</f>
        <v>53</v>
      </c>
      <c r="C35" s="151">
        <v>1262992</v>
      </c>
      <c r="D35" s="185" t="s">
        <v>167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1469</v>
      </c>
      <c r="J35" s="186">
        <f t="shared" si="1"/>
        <v>203</v>
      </c>
      <c r="K35" s="151">
        <v>1672</v>
      </c>
      <c r="L35" s="206">
        <f t="shared" si="2"/>
        <v>24.483333333333334</v>
      </c>
      <c r="M35" s="151">
        <v>954147</v>
      </c>
      <c r="N35" s="152" t="s">
        <v>238</v>
      </c>
      <c r="O35" s="157" t="s">
        <v>47</v>
      </c>
      <c r="P35" s="184">
        <f>IF(D35=Inputs!F$4,Inputs!I$4,IF(D35=Inputs!F$2,Inputs!I$2,IF(D35=Inputs!F$3,Inputs!I$3,IF(D35=Inputs!F$5,Inputs!I$5,"NA"))))</f>
        <v>64.892857142857139</v>
      </c>
      <c r="Q35" s="255">
        <f t="shared" si="3"/>
        <v>24</v>
      </c>
      <c r="R35" s="142">
        <f t="shared" si="5"/>
        <v>20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53</v>
      </c>
      <c r="C36" s="151">
        <v>1262993</v>
      </c>
      <c r="D36" s="185" t="s">
        <v>167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1475</v>
      </c>
      <c r="J36" s="186">
        <f t="shared" si="1"/>
        <v>203</v>
      </c>
      <c r="K36" s="151">
        <v>1678</v>
      </c>
      <c r="L36" s="206">
        <f t="shared" si="2"/>
        <v>24.583333333333332</v>
      </c>
      <c r="M36" s="151">
        <v>954147</v>
      </c>
      <c r="N36" s="152" t="s">
        <v>238</v>
      </c>
      <c r="O36" s="157" t="s">
        <v>47</v>
      </c>
      <c r="P36" s="184">
        <f>IF(D36=Inputs!F$4,Inputs!I$4,IF(D36=Inputs!F$2,Inputs!I$2,IF(D36=Inputs!F$3,Inputs!I$3,IF(D36=Inputs!F$5,Inputs!I$5,"NA"))))</f>
        <v>64.892857142857139</v>
      </c>
      <c r="Q36" s="255">
        <f t="shared" si="3"/>
        <v>24</v>
      </c>
      <c r="R36" s="142">
        <f t="shared" si="5"/>
        <v>20</v>
      </c>
      <c r="U36" s="142" t="s">
        <v>217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53</v>
      </c>
      <c r="C37" s="151">
        <v>1262994</v>
      </c>
      <c r="D37" s="185" t="s">
        <v>6</v>
      </c>
      <c r="E37" s="148">
        <v>60</v>
      </c>
      <c r="F37" s="185"/>
      <c r="G37" s="185" t="s">
        <v>10</v>
      </c>
      <c r="H37" s="188" t="s">
        <v>184</v>
      </c>
      <c r="I37" s="205" t="str">
        <f t="shared" si="0"/>
        <v>NA</v>
      </c>
      <c r="J37" s="186">
        <f t="shared" si="1"/>
        <v>203</v>
      </c>
      <c r="K37" s="151"/>
      <c r="L37" s="206" t="str">
        <f t="shared" si="2"/>
        <v>NA</v>
      </c>
      <c r="M37" s="151">
        <v>954147</v>
      </c>
      <c r="N37" s="152" t="s">
        <v>238</v>
      </c>
      <c r="O37" s="157" t="s">
        <v>10</v>
      </c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>
        <f t="shared" si="5"/>
        <v>72</v>
      </c>
      <c r="U37" s="142" t="s">
        <v>218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53</v>
      </c>
      <c r="C38" s="151">
        <v>1262995</v>
      </c>
      <c r="D38" s="185" t="s">
        <v>167</v>
      </c>
      <c r="E38" s="148">
        <v>60</v>
      </c>
      <c r="F38" s="185" t="s">
        <v>112</v>
      </c>
      <c r="G38" s="185"/>
      <c r="H38" s="188" t="s">
        <v>184</v>
      </c>
      <c r="I38" s="205">
        <f t="shared" si="0"/>
        <v>1475</v>
      </c>
      <c r="J38" s="186">
        <f t="shared" si="1"/>
        <v>203</v>
      </c>
      <c r="K38" s="151">
        <v>1678</v>
      </c>
      <c r="L38" s="206">
        <f t="shared" si="2"/>
        <v>24.583333333333332</v>
      </c>
      <c r="M38" s="151">
        <v>954147</v>
      </c>
      <c r="N38" s="152" t="s">
        <v>238</v>
      </c>
      <c r="O38" s="157" t="s">
        <v>47</v>
      </c>
      <c r="P38" s="184">
        <f>IF(D38=Inputs!F$4,Inputs!I$4,IF(D38=Inputs!F$2,Inputs!I$2,IF(D38=Inputs!F$3,Inputs!I$3,IF(D38=Inputs!F$5,Inputs!I$5,"NA"))))</f>
        <v>64.892857142857139</v>
      </c>
      <c r="Q38" s="255">
        <f t="shared" si="3"/>
        <v>24</v>
      </c>
      <c r="R38" s="142">
        <f>IF(O38="MED",72,(IF(D38="7169-E6",3,0)+IF(D38="7168-E7",14,0)+IF(D38="7169-E10",36,0)+IF(D38="7168-E11",59,0))+IF(O38="Brown",11,0)+(Q38-18))</f>
        <v>20</v>
      </c>
      <c r="U38" s="142" t="s">
        <v>219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53</v>
      </c>
      <c r="C39" s="151">
        <v>1262996</v>
      </c>
      <c r="D39" s="185" t="s">
        <v>208</v>
      </c>
      <c r="E39" s="148">
        <v>60</v>
      </c>
      <c r="F39" s="185" t="s">
        <v>112</v>
      </c>
      <c r="G39" s="185"/>
      <c r="H39" s="188" t="s">
        <v>184</v>
      </c>
      <c r="I39" s="205">
        <f t="shared" ref="I39:I70" si="6">IF(K39&gt;0,K39-J39,"NA")</f>
        <v>1513</v>
      </c>
      <c r="J39" s="186">
        <f t="shared" ref="J39:J72" si="7">IF(H39="NEW",203, IF(H39="OLD",192,0))</f>
        <v>203</v>
      </c>
      <c r="K39" s="151">
        <v>1716</v>
      </c>
      <c r="L39" s="206">
        <f t="shared" ref="L39:L72" si="8">IF(K39&gt;0,I39/E39,"NA")</f>
        <v>25.216666666666665</v>
      </c>
      <c r="M39" s="151">
        <v>954220</v>
      </c>
      <c r="N39" s="152" t="s">
        <v>239</v>
      </c>
      <c r="O39" s="157" t="s">
        <v>48</v>
      </c>
      <c r="P39" s="184">
        <f>IF(D39=Inputs!F$4,Inputs!I$4,IF(D39=Inputs!F$2,Inputs!I$2,IF(D39=Inputs!F$3,Inputs!I$3,IF(D39=Inputs!F$5,Inputs!I$5,"NA"))))</f>
        <v>51.892857142857146</v>
      </c>
      <c r="Q39" s="255">
        <f t="shared" si="3"/>
        <v>24</v>
      </c>
      <c r="R39" s="142">
        <f>IF(O39="MED",72,(IF(D39="7169-E6",3,0)+IF(D39="7168-E7",14,0)+IF(D39="7169-E10",36,0)+IF(D39="7168-E11",59,0))+IF(O39="Brown",11,0)+(Q39-18))</f>
        <v>53</v>
      </c>
      <c r="U39" s="142" t="s">
        <v>220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53</v>
      </c>
      <c r="C40" s="151">
        <v>1262997</v>
      </c>
      <c r="D40" s="185" t="s">
        <v>208</v>
      </c>
      <c r="E40" s="148">
        <v>60</v>
      </c>
      <c r="F40" s="185" t="s">
        <v>112</v>
      </c>
      <c r="G40" s="185"/>
      <c r="H40" s="188" t="s">
        <v>184</v>
      </c>
      <c r="I40" s="205">
        <f t="shared" si="6"/>
        <v>1507</v>
      </c>
      <c r="J40" s="186">
        <f t="shared" si="7"/>
        <v>203</v>
      </c>
      <c r="K40" s="151">
        <v>1710</v>
      </c>
      <c r="L40" s="206">
        <f t="shared" si="8"/>
        <v>25.116666666666667</v>
      </c>
      <c r="M40" s="151">
        <v>954220</v>
      </c>
      <c r="N40" s="152" t="s">
        <v>239</v>
      </c>
      <c r="O40" s="157" t="s">
        <v>47</v>
      </c>
      <c r="P40" s="184">
        <f>IF(D40=Inputs!F$4,Inputs!I$4,IF(D40=Inputs!F$2,Inputs!I$2,IF(D40=Inputs!F$3,Inputs!I$3,IF(D40=Inputs!F$5,Inputs!I$5,"NA"))))</f>
        <v>51.892857142857146</v>
      </c>
      <c r="Q40" s="255">
        <f t="shared" si="3"/>
        <v>24</v>
      </c>
      <c r="R40" s="142">
        <f t="shared" ref="R40:R82" si="9">IF(O40="MED",72,(IF(D40="7169-E6",3,0)+IF(D40="7168-E7",14,0)+IF(D40="7169-E10",36,0)+IF(D40="7168-E11",59,0))+IF(O40="Brown",11,0)+(Q40-18))</f>
        <v>42</v>
      </c>
      <c r="U40" s="142" t="s">
        <v>221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53</v>
      </c>
      <c r="C41" s="151">
        <v>1262998</v>
      </c>
      <c r="D41" s="185" t="s">
        <v>4</v>
      </c>
      <c r="E41" s="148">
        <v>60</v>
      </c>
      <c r="F41" s="185" t="s">
        <v>112</v>
      </c>
      <c r="G41" s="185"/>
      <c r="H41" s="188" t="s">
        <v>184</v>
      </c>
      <c r="I41" s="205">
        <f t="shared" si="6"/>
        <v>1427</v>
      </c>
      <c r="J41" s="186">
        <f t="shared" si="7"/>
        <v>203</v>
      </c>
      <c r="K41" s="151">
        <v>1630</v>
      </c>
      <c r="L41" s="206">
        <f t="shared" si="8"/>
        <v>23.783333333333335</v>
      </c>
      <c r="M41" s="151">
        <v>954220</v>
      </c>
      <c r="N41" s="152" t="s">
        <v>239</v>
      </c>
      <c r="O41" s="157" t="s">
        <v>47</v>
      </c>
      <c r="P41" s="184">
        <f>IF(D41=Inputs!F$4,Inputs!I$4,IF(D41=Inputs!F$2,Inputs!I$2,IF(D41=Inputs!F$3,Inputs!I$3,IF(D41=Inputs!F$5,Inputs!I$5,"NA"))))</f>
        <v>30.607142857142858</v>
      </c>
      <c r="Q41" s="255">
        <f t="shared" si="3"/>
        <v>23</v>
      </c>
      <c r="R41" s="142">
        <f t="shared" si="9"/>
        <v>64</v>
      </c>
      <c r="U41" s="142" t="s">
        <v>222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53</v>
      </c>
      <c r="C42" s="151">
        <v>1262999</v>
      </c>
      <c r="D42" s="185" t="s">
        <v>4</v>
      </c>
      <c r="E42" s="148">
        <v>60</v>
      </c>
      <c r="F42" s="185" t="s">
        <v>112</v>
      </c>
      <c r="G42" s="185"/>
      <c r="H42" s="188" t="s">
        <v>184</v>
      </c>
      <c r="I42" s="205">
        <f t="shared" si="6"/>
        <v>1425</v>
      </c>
      <c r="J42" s="186">
        <f t="shared" si="7"/>
        <v>203</v>
      </c>
      <c r="K42" s="151">
        <v>1628</v>
      </c>
      <c r="L42" s="206">
        <f t="shared" si="8"/>
        <v>23.75</v>
      </c>
      <c r="M42" s="151">
        <v>954220</v>
      </c>
      <c r="N42" s="152" t="s">
        <v>239</v>
      </c>
      <c r="O42" s="157" t="s">
        <v>47</v>
      </c>
      <c r="P42" s="184">
        <f>IF(D42=Inputs!F$4,Inputs!I$4,IF(D42=Inputs!F$2,Inputs!I$2,IF(D42=Inputs!F$3,Inputs!I$3,IF(D42=Inputs!F$5,Inputs!I$5,"NA"))))</f>
        <v>30.607142857142858</v>
      </c>
      <c r="Q42" s="255">
        <f t="shared" si="3"/>
        <v>23</v>
      </c>
      <c r="R42" s="142">
        <f t="shared" si="9"/>
        <v>64</v>
      </c>
      <c r="U42" s="142" t="s">
        <v>223</v>
      </c>
      <c r="V42" s="142">
        <f>COUNTIF(R$7:R$82,42)*60</f>
        <v>660</v>
      </c>
    </row>
    <row r="43" spans="1:22" x14ac:dyDescent="0.25">
      <c r="A43" s="148">
        <v>37</v>
      </c>
      <c r="B43" s="186">
        <f>Inputs!C$2</f>
        <v>53</v>
      </c>
      <c r="C43" s="151">
        <v>1263000</v>
      </c>
      <c r="D43" s="185" t="s">
        <v>167</v>
      </c>
      <c r="E43" s="148">
        <v>60</v>
      </c>
      <c r="F43" s="185" t="s">
        <v>112</v>
      </c>
      <c r="G43" s="185"/>
      <c r="H43" s="188" t="s">
        <v>184</v>
      </c>
      <c r="I43" s="205">
        <f t="shared" si="6"/>
        <v>1465</v>
      </c>
      <c r="J43" s="186">
        <f t="shared" si="7"/>
        <v>203</v>
      </c>
      <c r="K43" s="151">
        <v>1668</v>
      </c>
      <c r="L43" s="206">
        <f t="shared" si="8"/>
        <v>24.416666666666668</v>
      </c>
      <c r="M43" s="151">
        <v>954220</v>
      </c>
      <c r="N43" s="152" t="s">
        <v>239</v>
      </c>
      <c r="O43" s="157" t="s">
        <v>47</v>
      </c>
      <c r="P43" s="184">
        <f>IF(D43=Inputs!F$4,Inputs!I$4,IF(D43=Inputs!F$2,Inputs!I$2,IF(D43=Inputs!F$3,Inputs!I$3,IF(D43=Inputs!F$5,Inputs!I$5,"NA"))))</f>
        <v>64.892857142857139</v>
      </c>
      <c r="Q43" s="255">
        <f t="shared" si="3"/>
        <v>24</v>
      </c>
      <c r="R43" s="142">
        <f t="shared" si="9"/>
        <v>20</v>
      </c>
      <c r="U43" s="142" t="s">
        <v>50</v>
      </c>
      <c r="V43" s="142">
        <f>SUM(V36:V42)</f>
        <v>660</v>
      </c>
    </row>
    <row r="44" spans="1:22" x14ac:dyDescent="0.25">
      <c r="A44" s="148">
        <v>38</v>
      </c>
      <c r="B44" s="186">
        <f>Inputs!C$2</f>
        <v>53</v>
      </c>
      <c r="C44" s="151">
        <v>1263001</v>
      </c>
      <c r="D44" s="185" t="s">
        <v>167</v>
      </c>
      <c r="E44" s="148">
        <v>60</v>
      </c>
      <c r="F44" s="185" t="s">
        <v>112</v>
      </c>
      <c r="G44" s="185"/>
      <c r="H44" s="188" t="s">
        <v>184</v>
      </c>
      <c r="I44" s="205">
        <f t="shared" si="6"/>
        <v>1481</v>
      </c>
      <c r="J44" s="186">
        <f t="shared" si="7"/>
        <v>203</v>
      </c>
      <c r="K44" s="151">
        <v>1684</v>
      </c>
      <c r="L44" s="206">
        <f t="shared" si="8"/>
        <v>24.683333333333334</v>
      </c>
      <c r="M44" s="151">
        <v>954220</v>
      </c>
      <c r="N44" s="152" t="s">
        <v>239</v>
      </c>
      <c r="O44" s="157" t="s">
        <v>47</v>
      </c>
      <c r="P44" s="184">
        <f>IF(D44=Inputs!F$4,Inputs!I$4,IF(D44=Inputs!F$2,Inputs!I$2,IF(D44=Inputs!F$3,Inputs!I$3,IF(D44=Inputs!F$5,Inputs!I$5,"NA"))))</f>
        <v>64.892857142857139</v>
      </c>
      <c r="Q44" s="255">
        <f t="shared" si="3"/>
        <v>24</v>
      </c>
      <c r="R44" s="142">
        <f t="shared" si="9"/>
        <v>20</v>
      </c>
    </row>
    <row r="45" spans="1:22" x14ac:dyDescent="0.25">
      <c r="A45" s="148">
        <v>39</v>
      </c>
      <c r="B45" s="186">
        <f>Inputs!C$2</f>
        <v>53</v>
      </c>
      <c r="C45" s="151">
        <v>1263002</v>
      </c>
      <c r="D45" s="185" t="s">
        <v>167</v>
      </c>
      <c r="E45" s="148">
        <v>60</v>
      </c>
      <c r="F45" s="185" t="s">
        <v>112</v>
      </c>
      <c r="G45" s="185"/>
      <c r="H45" s="188" t="s">
        <v>184</v>
      </c>
      <c r="I45" s="205">
        <f t="shared" si="6"/>
        <v>1469</v>
      </c>
      <c r="J45" s="186">
        <f t="shared" si="7"/>
        <v>203</v>
      </c>
      <c r="K45" s="151">
        <v>1672</v>
      </c>
      <c r="L45" s="206">
        <f t="shared" si="8"/>
        <v>24.483333333333334</v>
      </c>
      <c r="M45" s="151">
        <v>954220</v>
      </c>
      <c r="N45" s="152" t="s">
        <v>239</v>
      </c>
      <c r="O45" s="157" t="s">
        <v>47</v>
      </c>
      <c r="P45" s="184">
        <f>IF(D45=Inputs!F$4,Inputs!I$4,IF(D45=Inputs!F$2,Inputs!I$2,IF(D45=Inputs!F$3,Inputs!I$3,IF(D45=Inputs!F$5,Inputs!I$5,"NA"))))</f>
        <v>64.892857142857139</v>
      </c>
      <c r="Q45" s="255">
        <f t="shared" si="3"/>
        <v>24</v>
      </c>
      <c r="R45" s="142">
        <f t="shared" si="9"/>
        <v>20</v>
      </c>
      <c r="T45" s="142" t="s">
        <v>196</v>
      </c>
      <c r="U45" s="142" t="s">
        <v>214</v>
      </c>
      <c r="V45" s="142" t="s">
        <v>106</v>
      </c>
    </row>
    <row r="46" spans="1:22" x14ac:dyDescent="0.25">
      <c r="A46" s="148">
        <v>40</v>
      </c>
      <c r="B46" s="186">
        <f>Inputs!C$2</f>
        <v>53</v>
      </c>
      <c r="C46" s="151">
        <v>1263003</v>
      </c>
      <c r="D46" s="185" t="s">
        <v>167</v>
      </c>
      <c r="E46" s="148">
        <v>60</v>
      </c>
      <c r="F46" s="185" t="s">
        <v>112</v>
      </c>
      <c r="G46" s="185"/>
      <c r="H46" s="188" t="s">
        <v>184</v>
      </c>
      <c r="I46" s="205">
        <f t="shared" si="6"/>
        <v>1477</v>
      </c>
      <c r="J46" s="186">
        <f t="shared" si="7"/>
        <v>203</v>
      </c>
      <c r="K46" s="151">
        <v>1680</v>
      </c>
      <c r="L46" s="206">
        <f t="shared" si="8"/>
        <v>24.616666666666667</v>
      </c>
      <c r="M46" s="151">
        <v>954220</v>
      </c>
      <c r="N46" s="152" t="s">
        <v>239</v>
      </c>
      <c r="O46" s="157" t="s">
        <v>47</v>
      </c>
      <c r="P46" s="184">
        <f>IF(D46=Inputs!F$4,Inputs!I$4,IF(D46=Inputs!F$2,Inputs!I$2,IF(D46=Inputs!F$3,Inputs!I$3,IF(D46=Inputs!F$5,Inputs!I$5,"NA"))))</f>
        <v>64.892857142857139</v>
      </c>
      <c r="Q46" s="255">
        <f t="shared" si="3"/>
        <v>24</v>
      </c>
      <c r="R46" s="142">
        <f t="shared" si="9"/>
        <v>20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53</v>
      </c>
      <c r="C47" s="151">
        <v>1263004</v>
      </c>
      <c r="D47" s="185" t="s">
        <v>5</v>
      </c>
      <c r="E47" s="148">
        <v>60</v>
      </c>
      <c r="F47" s="185" t="s">
        <v>112</v>
      </c>
      <c r="G47" s="185"/>
      <c r="H47" s="188" t="s">
        <v>184</v>
      </c>
      <c r="I47" s="205">
        <f t="shared" si="6"/>
        <v>1503</v>
      </c>
      <c r="J47" s="186">
        <f t="shared" si="7"/>
        <v>203</v>
      </c>
      <c r="K47" s="151">
        <v>1706</v>
      </c>
      <c r="L47" s="206">
        <f t="shared" si="8"/>
        <v>25.05</v>
      </c>
      <c r="M47" s="151">
        <v>954220</v>
      </c>
      <c r="N47" s="152" t="s">
        <v>239</v>
      </c>
      <c r="O47" s="157" t="s">
        <v>47</v>
      </c>
      <c r="P47" s="184">
        <f>IF(D47=Inputs!F$4,Inputs!I$4,IF(D47=Inputs!F$2,Inputs!I$2,IF(D47=Inputs!F$3,Inputs!I$3,IF(D47=Inputs!F$5,Inputs!I$5,"NA"))))</f>
        <v>39.464285714285715</v>
      </c>
      <c r="Q47" s="255">
        <f t="shared" si="3"/>
        <v>24</v>
      </c>
      <c r="R47" s="142">
        <f t="shared" si="9"/>
        <v>9</v>
      </c>
      <c r="U47" s="142" t="s">
        <v>217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53</v>
      </c>
      <c r="C48" s="151">
        <v>1263005</v>
      </c>
      <c r="D48" s="185" t="s">
        <v>167</v>
      </c>
      <c r="E48" s="148">
        <v>60</v>
      </c>
      <c r="F48" s="185" t="s">
        <v>112</v>
      </c>
      <c r="G48" s="185"/>
      <c r="H48" s="188" t="s">
        <v>184</v>
      </c>
      <c r="I48" s="205">
        <f t="shared" si="6"/>
        <v>1475</v>
      </c>
      <c r="J48" s="186">
        <f t="shared" si="7"/>
        <v>203</v>
      </c>
      <c r="K48" s="151">
        <v>1678</v>
      </c>
      <c r="L48" s="206">
        <f t="shared" si="8"/>
        <v>24.583333333333332</v>
      </c>
      <c r="M48" s="151">
        <v>954220</v>
      </c>
      <c r="N48" s="152" t="s">
        <v>239</v>
      </c>
      <c r="O48" s="157" t="s">
        <v>47</v>
      </c>
      <c r="P48" s="184">
        <f>IF(D48=Inputs!F$4,Inputs!I$4,IF(D48=Inputs!F$2,Inputs!I$2,IF(D48=Inputs!F$3,Inputs!I$3,IF(D48=Inputs!F$5,Inputs!I$5,"NA"))))</f>
        <v>64.892857142857139</v>
      </c>
      <c r="Q48" s="255">
        <f t="shared" si="3"/>
        <v>24</v>
      </c>
      <c r="R48" s="142">
        <f t="shared" si="9"/>
        <v>20</v>
      </c>
      <c r="U48" s="142" t="s">
        <v>218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53</v>
      </c>
      <c r="C49" s="151">
        <v>1263006</v>
      </c>
      <c r="D49" s="185" t="s">
        <v>167</v>
      </c>
      <c r="E49" s="148">
        <v>60</v>
      </c>
      <c r="F49" s="185" t="s">
        <v>112</v>
      </c>
      <c r="G49" s="185"/>
      <c r="H49" s="188" t="s">
        <v>184</v>
      </c>
      <c r="I49" s="205">
        <f t="shared" si="6"/>
        <v>1471</v>
      </c>
      <c r="J49" s="186">
        <f t="shared" si="7"/>
        <v>203</v>
      </c>
      <c r="K49" s="151">
        <v>1674</v>
      </c>
      <c r="L49" s="206">
        <f t="shared" si="8"/>
        <v>24.516666666666666</v>
      </c>
      <c r="M49" s="151">
        <v>954220</v>
      </c>
      <c r="N49" s="152" t="s">
        <v>239</v>
      </c>
      <c r="O49" s="157" t="s">
        <v>47</v>
      </c>
      <c r="P49" s="184">
        <f>IF(D49=Inputs!F$4,Inputs!I$4,IF(D49=Inputs!F$2,Inputs!I$2,IF(D49=Inputs!F$3,Inputs!I$3,IF(D49=Inputs!F$5,Inputs!I$5,"NA"))))</f>
        <v>64.892857142857139</v>
      </c>
      <c r="Q49" s="255">
        <f t="shared" si="3"/>
        <v>24</v>
      </c>
      <c r="R49" s="142">
        <f t="shared" si="9"/>
        <v>20</v>
      </c>
      <c r="U49" s="142" t="s">
        <v>219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53</v>
      </c>
      <c r="C50" s="151">
        <v>1263007</v>
      </c>
      <c r="D50" s="185" t="s">
        <v>167</v>
      </c>
      <c r="E50" s="148">
        <v>60</v>
      </c>
      <c r="F50" s="185" t="s">
        <v>112</v>
      </c>
      <c r="G50" s="185"/>
      <c r="H50" s="188" t="s">
        <v>184</v>
      </c>
      <c r="I50" s="205">
        <f t="shared" si="6"/>
        <v>1467</v>
      </c>
      <c r="J50" s="186">
        <f t="shared" si="7"/>
        <v>203</v>
      </c>
      <c r="K50" s="151">
        <v>1670</v>
      </c>
      <c r="L50" s="206">
        <f t="shared" si="8"/>
        <v>24.45</v>
      </c>
      <c r="M50" s="151">
        <v>954220</v>
      </c>
      <c r="N50" s="152" t="s">
        <v>239</v>
      </c>
      <c r="O50" s="157" t="s">
        <v>47</v>
      </c>
      <c r="P50" s="184">
        <f>IF(D50=Inputs!F$4,Inputs!I$4,IF(D50=Inputs!F$2,Inputs!I$2,IF(D50=Inputs!F$3,Inputs!I$3,IF(D50=Inputs!F$5,Inputs!I$5,"NA"))))</f>
        <v>64.892857142857139</v>
      </c>
      <c r="Q50" s="255">
        <f t="shared" si="3"/>
        <v>24</v>
      </c>
      <c r="R50" s="142">
        <f t="shared" si="9"/>
        <v>20</v>
      </c>
      <c r="U50" s="142" t="s">
        <v>220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53</v>
      </c>
      <c r="C51" s="151">
        <v>1263008</v>
      </c>
      <c r="D51" s="185" t="s">
        <v>5</v>
      </c>
      <c r="E51" s="148">
        <v>60</v>
      </c>
      <c r="F51" s="185" t="s">
        <v>112</v>
      </c>
      <c r="G51" s="185"/>
      <c r="H51" s="188" t="s">
        <v>184</v>
      </c>
      <c r="I51" s="205">
        <f t="shared" si="6"/>
        <v>1489</v>
      </c>
      <c r="J51" s="186">
        <f t="shared" si="7"/>
        <v>203</v>
      </c>
      <c r="K51" s="151">
        <v>1692</v>
      </c>
      <c r="L51" s="206">
        <f t="shared" si="8"/>
        <v>24.816666666666666</v>
      </c>
      <c r="M51" s="151">
        <v>954220</v>
      </c>
      <c r="N51" s="152" t="s">
        <v>239</v>
      </c>
      <c r="O51" s="157" t="s">
        <v>47</v>
      </c>
      <c r="P51" s="184">
        <f>IF(D51=Inputs!F$4,Inputs!I$4,IF(D51=Inputs!F$2,Inputs!I$2,IF(D51=Inputs!F$3,Inputs!I$3,IF(D51=Inputs!F$5,Inputs!I$5,"NA"))))</f>
        <v>39.464285714285715</v>
      </c>
      <c r="Q51" s="255">
        <f t="shared" si="3"/>
        <v>24</v>
      </c>
      <c r="R51" s="142">
        <f t="shared" si="9"/>
        <v>9</v>
      </c>
      <c r="U51" s="142" t="s">
        <v>221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53</v>
      </c>
      <c r="C52" s="151">
        <v>1263009</v>
      </c>
      <c r="D52" s="185" t="s">
        <v>5</v>
      </c>
      <c r="E52" s="148">
        <v>60</v>
      </c>
      <c r="F52" s="185" t="s">
        <v>112</v>
      </c>
      <c r="G52" s="185"/>
      <c r="H52" s="188" t="s">
        <v>184</v>
      </c>
      <c r="I52" s="205">
        <f t="shared" si="6"/>
        <v>1505</v>
      </c>
      <c r="J52" s="186">
        <f t="shared" si="7"/>
        <v>203</v>
      </c>
      <c r="K52" s="151">
        <v>1708</v>
      </c>
      <c r="L52" s="206">
        <f t="shared" si="8"/>
        <v>25.083333333333332</v>
      </c>
      <c r="M52" s="151">
        <v>954220</v>
      </c>
      <c r="N52" s="152" t="s">
        <v>239</v>
      </c>
      <c r="O52" s="157" t="s">
        <v>47</v>
      </c>
      <c r="P52" s="184">
        <f>IF(D52=Inputs!F$4,Inputs!I$4,IF(D52=Inputs!F$2,Inputs!I$2,IF(D52=Inputs!F$3,Inputs!I$3,IF(D52=Inputs!F$5,Inputs!I$5,"NA"))))</f>
        <v>39.464285714285715</v>
      </c>
      <c r="Q52" s="255">
        <f t="shared" si="3"/>
        <v>24</v>
      </c>
      <c r="R52" s="142">
        <f t="shared" si="9"/>
        <v>9</v>
      </c>
      <c r="U52" s="142" t="s">
        <v>222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53</v>
      </c>
      <c r="C53" s="151">
        <v>1263010</v>
      </c>
      <c r="D53" s="185" t="s">
        <v>167</v>
      </c>
      <c r="E53" s="148">
        <v>60</v>
      </c>
      <c r="F53" s="185" t="s">
        <v>112</v>
      </c>
      <c r="G53" s="185"/>
      <c r="H53" s="188" t="s">
        <v>184</v>
      </c>
      <c r="I53" s="205">
        <f t="shared" si="6"/>
        <v>1457</v>
      </c>
      <c r="J53" s="186">
        <f t="shared" si="7"/>
        <v>203</v>
      </c>
      <c r="K53" s="151">
        <v>1660</v>
      </c>
      <c r="L53" s="206">
        <f t="shared" si="8"/>
        <v>24.283333333333335</v>
      </c>
      <c r="M53" s="151">
        <v>954220</v>
      </c>
      <c r="N53" s="152" t="s">
        <v>239</v>
      </c>
      <c r="O53" s="157" t="s">
        <v>47</v>
      </c>
      <c r="P53" s="184">
        <f>IF(D53=Inputs!F$4,Inputs!I$4,IF(D53=Inputs!F$2,Inputs!I$2,IF(D53=Inputs!F$3,Inputs!I$3,IF(D53=Inputs!F$5,Inputs!I$5,"NA"))))</f>
        <v>64.892857142857139</v>
      </c>
      <c r="Q53" s="255">
        <f t="shared" si="3"/>
        <v>24</v>
      </c>
      <c r="R53" s="142">
        <f t="shared" si="9"/>
        <v>20</v>
      </c>
      <c r="U53" s="142" t="s">
        <v>223</v>
      </c>
      <c r="V53" s="142">
        <f>COUNTIF(R$7:R$82,53)*60</f>
        <v>120</v>
      </c>
    </row>
    <row r="54" spans="1:22" x14ac:dyDescent="0.25">
      <c r="A54" s="148">
        <v>48</v>
      </c>
      <c r="B54" s="186">
        <f>Inputs!C$2</f>
        <v>53</v>
      </c>
      <c r="C54" s="151">
        <v>1263011</v>
      </c>
      <c r="D54" s="185" t="s">
        <v>208</v>
      </c>
      <c r="E54" s="148">
        <v>60</v>
      </c>
      <c r="F54" s="185" t="s">
        <v>112</v>
      </c>
      <c r="G54" s="185"/>
      <c r="H54" s="188" t="s">
        <v>184</v>
      </c>
      <c r="I54" s="205">
        <f t="shared" si="6"/>
        <v>1515</v>
      </c>
      <c r="J54" s="186">
        <f t="shared" si="7"/>
        <v>203</v>
      </c>
      <c r="K54" s="151">
        <v>1718</v>
      </c>
      <c r="L54" s="206">
        <f t="shared" si="8"/>
        <v>25.25</v>
      </c>
      <c r="M54" s="151">
        <v>954220</v>
      </c>
      <c r="N54" s="152" t="s">
        <v>239</v>
      </c>
      <c r="O54" s="157" t="s">
        <v>47</v>
      </c>
      <c r="P54" s="184">
        <f>IF(D54=Inputs!F$4,Inputs!I$4,IF(D54=Inputs!F$2,Inputs!I$2,IF(D54=Inputs!F$3,Inputs!I$3,IF(D54=Inputs!F$5,Inputs!I$5,"NA"))))</f>
        <v>51.892857142857146</v>
      </c>
      <c r="Q54" s="255">
        <f t="shared" si="3"/>
        <v>24</v>
      </c>
      <c r="R54" s="142">
        <f t="shared" si="9"/>
        <v>42</v>
      </c>
      <c r="U54" s="142" t="s">
        <v>50</v>
      </c>
      <c r="V54" s="142">
        <f>SUM(V47:V53)</f>
        <v>120</v>
      </c>
    </row>
    <row r="55" spans="1:22" x14ac:dyDescent="0.25">
      <c r="A55" s="148">
        <v>49</v>
      </c>
      <c r="B55" s="186">
        <f>Inputs!C$2</f>
        <v>53</v>
      </c>
      <c r="C55" s="151">
        <v>1263012</v>
      </c>
      <c r="D55" s="185" t="s">
        <v>208</v>
      </c>
      <c r="E55" s="148">
        <v>60</v>
      </c>
      <c r="F55" s="185" t="s">
        <v>112</v>
      </c>
      <c r="G55" s="185"/>
      <c r="H55" s="188" t="s">
        <v>184</v>
      </c>
      <c r="I55" s="205">
        <f t="shared" si="6"/>
        <v>1509</v>
      </c>
      <c r="J55" s="186">
        <f t="shared" si="7"/>
        <v>203</v>
      </c>
      <c r="K55" s="151">
        <v>1712</v>
      </c>
      <c r="L55" s="206">
        <f t="shared" si="8"/>
        <v>25.15</v>
      </c>
      <c r="M55" s="151">
        <v>954220</v>
      </c>
      <c r="N55" s="152" t="s">
        <v>239</v>
      </c>
      <c r="O55" s="157" t="s">
        <v>47</v>
      </c>
      <c r="P55" s="184">
        <f>IF(D55=Inputs!F$4,Inputs!I$4,IF(D55=Inputs!F$2,Inputs!I$2,IF(D55=Inputs!F$3,Inputs!I$3,IF(D55=Inputs!F$5,Inputs!I$5,"NA"))))</f>
        <v>51.892857142857146</v>
      </c>
      <c r="Q55" s="255">
        <f t="shared" si="3"/>
        <v>24</v>
      </c>
      <c r="R55" s="142">
        <f t="shared" si="9"/>
        <v>42</v>
      </c>
    </row>
    <row r="56" spans="1:22" x14ac:dyDescent="0.25">
      <c r="A56" s="148">
        <v>50</v>
      </c>
      <c r="B56" s="186">
        <f>Inputs!C$2</f>
        <v>53</v>
      </c>
      <c r="C56" s="151">
        <v>1263013</v>
      </c>
      <c r="D56" s="185" t="s">
        <v>4</v>
      </c>
      <c r="E56" s="148">
        <v>60</v>
      </c>
      <c r="F56" s="185" t="s">
        <v>112</v>
      </c>
      <c r="G56" s="185"/>
      <c r="H56" s="188" t="s">
        <v>184</v>
      </c>
      <c r="I56" s="205">
        <f t="shared" si="6"/>
        <v>1437</v>
      </c>
      <c r="J56" s="186">
        <f t="shared" si="7"/>
        <v>203</v>
      </c>
      <c r="K56" s="151">
        <v>1640</v>
      </c>
      <c r="L56" s="206">
        <f t="shared" si="8"/>
        <v>23.95</v>
      </c>
      <c r="M56" s="151">
        <v>954220</v>
      </c>
      <c r="N56" s="152" t="s">
        <v>239</v>
      </c>
      <c r="O56" s="157" t="s">
        <v>47</v>
      </c>
      <c r="P56" s="184">
        <f>IF(D56=Inputs!F$4,Inputs!I$4,IF(D56=Inputs!F$2,Inputs!I$2,IF(D56=Inputs!F$3,Inputs!I$3,IF(D56=Inputs!F$5,Inputs!I$5,"NA"))))</f>
        <v>30.607142857142858</v>
      </c>
      <c r="Q56" s="255">
        <f t="shared" si="3"/>
        <v>23</v>
      </c>
      <c r="R56" s="142">
        <f t="shared" si="9"/>
        <v>64</v>
      </c>
    </row>
    <row r="57" spans="1:22" x14ac:dyDescent="0.25">
      <c r="A57" s="148">
        <v>51</v>
      </c>
      <c r="B57" s="186">
        <f>Inputs!C$2</f>
        <v>53</v>
      </c>
      <c r="C57" s="151">
        <v>1263014</v>
      </c>
      <c r="D57" s="185" t="s">
        <v>208</v>
      </c>
      <c r="E57" s="148">
        <v>60</v>
      </c>
      <c r="F57" s="185" t="s">
        <v>112</v>
      </c>
      <c r="G57" s="185"/>
      <c r="H57" s="188" t="s">
        <v>184</v>
      </c>
      <c r="I57" s="205">
        <f t="shared" si="6"/>
        <v>1523</v>
      </c>
      <c r="J57" s="186">
        <f t="shared" si="7"/>
        <v>203</v>
      </c>
      <c r="K57" s="151">
        <v>1726</v>
      </c>
      <c r="L57" s="206">
        <f t="shared" si="8"/>
        <v>25.383333333333333</v>
      </c>
      <c r="M57" s="151">
        <v>954220</v>
      </c>
      <c r="N57" s="152" t="s">
        <v>239</v>
      </c>
      <c r="O57" s="157" t="s">
        <v>47</v>
      </c>
      <c r="P57" s="184">
        <f>IF(D57=Inputs!F$4,Inputs!I$4,IF(D57=Inputs!F$2,Inputs!I$2,IF(D57=Inputs!F$3,Inputs!I$3,IF(D57=Inputs!F$5,Inputs!I$5,"NA"))))</f>
        <v>51.892857142857146</v>
      </c>
      <c r="Q57" s="255">
        <f t="shared" si="3"/>
        <v>24</v>
      </c>
      <c r="R57" s="142">
        <f t="shared" si="9"/>
        <v>42</v>
      </c>
      <c r="T57" s="142" t="s">
        <v>191</v>
      </c>
      <c r="U57" s="142" t="s">
        <v>214</v>
      </c>
      <c r="V57" s="142" t="s">
        <v>106</v>
      </c>
    </row>
    <row r="58" spans="1:22" x14ac:dyDescent="0.25">
      <c r="A58" s="148">
        <v>52</v>
      </c>
      <c r="B58" s="186">
        <f>Inputs!C$2</f>
        <v>53</v>
      </c>
      <c r="C58" s="151">
        <v>1263015</v>
      </c>
      <c r="D58" s="185" t="s">
        <v>208</v>
      </c>
      <c r="E58" s="148">
        <v>60</v>
      </c>
      <c r="F58" s="185" t="s">
        <v>112</v>
      </c>
      <c r="G58" s="185"/>
      <c r="H58" s="188" t="s">
        <v>184</v>
      </c>
      <c r="I58" s="205">
        <f t="shared" si="6"/>
        <v>1507</v>
      </c>
      <c r="J58" s="186">
        <f t="shared" si="7"/>
        <v>203</v>
      </c>
      <c r="K58" s="151">
        <v>1710</v>
      </c>
      <c r="L58" s="206">
        <f t="shared" si="8"/>
        <v>25.116666666666667</v>
      </c>
      <c r="M58" s="151">
        <v>954220</v>
      </c>
      <c r="N58" s="152" t="s">
        <v>239</v>
      </c>
      <c r="O58" s="157" t="s">
        <v>47</v>
      </c>
      <c r="P58" s="184">
        <f>IF(D58=Inputs!F$4,Inputs!I$4,IF(D58=Inputs!F$2,Inputs!I$2,IF(D58=Inputs!F$3,Inputs!I$3,IF(D58=Inputs!F$5,Inputs!I$5,"NA"))))</f>
        <v>51.892857142857146</v>
      </c>
      <c r="Q58" s="255">
        <f t="shared" si="3"/>
        <v>24</v>
      </c>
      <c r="R58" s="142">
        <f t="shared" si="9"/>
        <v>42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53</v>
      </c>
      <c r="C59" s="151">
        <v>1263016</v>
      </c>
      <c r="D59" s="185" t="s">
        <v>4</v>
      </c>
      <c r="E59" s="148">
        <v>60</v>
      </c>
      <c r="F59" s="185" t="s">
        <v>112</v>
      </c>
      <c r="G59" s="185"/>
      <c r="H59" s="188" t="s">
        <v>184</v>
      </c>
      <c r="I59" s="205">
        <f t="shared" si="6"/>
        <v>1419</v>
      </c>
      <c r="J59" s="186">
        <f t="shared" si="7"/>
        <v>203</v>
      </c>
      <c r="K59" s="151">
        <v>1622</v>
      </c>
      <c r="L59" s="206">
        <f t="shared" si="8"/>
        <v>23.65</v>
      </c>
      <c r="M59" s="151">
        <v>954220</v>
      </c>
      <c r="N59" s="152" t="s">
        <v>239</v>
      </c>
      <c r="O59" s="157" t="s">
        <v>47</v>
      </c>
      <c r="P59" s="184">
        <f>IF(D59=Inputs!F$4,Inputs!I$4,IF(D59=Inputs!F$2,Inputs!I$2,IF(D59=Inputs!F$3,Inputs!I$3,IF(D59=Inputs!F$5,Inputs!I$5,"NA"))))</f>
        <v>30.607142857142858</v>
      </c>
      <c r="Q59" s="255">
        <f t="shared" si="3"/>
        <v>23</v>
      </c>
      <c r="R59" s="142">
        <f t="shared" si="9"/>
        <v>64</v>
      </c>
      <c r="U59" s="142" t="s">
        <v>217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53</v>
      </c>
      <c r="C60" s="151">
        <v>1263017</v>
      </c>
      <c r="D60" s="185" t="s">
        <v>167</v>
      </c>
      <c r="E60" s="148">
        <v>60</v>
      </c>
      <c r="F60" s="185" t="s">
        <v>112</v>
      </c>
      <c r="G60" s="185"/>
      <c r="H60" s="188" t="s">
        <v>184</v>
      </c>
      <c r="I60" s="205">
        <f t="shared" si="6"/>
        <v>1469</v>
      </c>
      <c r="J60" s="186">
        <f t="shared" si="7"/>
        <v>203</v>
      </c>
      <c r="K60" s="151">
        <v>1672</v>
      </c>
      <c r="L60" s="206">
        <f t="shared" si="8"/>
        <v>24.483333333333334</v>
      </c>
      <c r="M60" s="151">
        <v>954220</v>
      </c>
      <c r="N60" s="152" t="s">
        <v>239</v>
      </c>
      <c r="O60" s="157" t="s">
        <v>47</v>
      </c>
      <c r="P60" s="184">
        <f>IF(D60=Inputs!F$4,Inputs!I$4,IF(D60=Inputs!F$2,Inputs!I$2,IF(D60=Inputs!F$3,Inputs!I$3,IF(D60=Inputs!F$5,Inputs!I$5,"NA"))))</f>
        <v>64.892857142857139</v>
      </c>
      <c r="Q60" s="255">
        <f t="shared" si="3"/>
        <v>24</v>
      </c>
      <c r="R60" s="142">
        <f t="shared" si="9"/>
        <v>20</v>
      </c>
      <c r="U60" s="142" t="s">
        <v>218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53</v>
      </c>
      <c r="C61" s="151">
        <v>1263018</v>
      </c>
      <c r="D61" s="185" t="s">
        <v>5</v>
      </c>
      <c r="E61" s="148">
        <v>60</v>
      </c>
      <c r="F61" s="185" t="s">
        <v>112</v>
      </c>
      <c r="G61" s="185"/>
      <c r="H61" s="188" t="s">
        <v>184</v>
      </c>
      <c r="I61" s="205">
        <f t="shared" si="6"/>
        <v>1467</v>
      </c>
      <c r="J61" s="186">
        <f t="shared" si="7"/>
        <v>203</v>
      </c>
      <c r="K61" s="151">
        <v>1670</v>
      </c>
      <c r="L61" s="206">
        <f t="shared" si="8"/>
        <v>24.45</v>
      </c>
      <c r="M61" s="151">
        <v>954220</v>
      </c>
      <c r="N61" s="152" t="s">
        <v>239</v>
      </c>
      <c r="O61" s="157" t="s">
        <v>47</v>
      </c>
      <c r="P61" s="184">
        <f>IF(D61=Inputs!F$4,Inputs!I$4,IF(D61=Inputs!F$2,Inputs!I$2,IF(D61=Inputs!F$3,Inputs!I$3,IF(D61=Inputs!F$5,Inputs!I$5,"NA"))))</f>
        <v>39.464285714285715</v>
      </c>
      <c r="Q61" s="255">
        <f t="shared" si="3"/>
        <v>24</v>
      </c>
      <c r="R61" s="142">
        <f t="shared" si="9"/>
        <v>9</v>
      </c>
      <c r="U61" s="142" t="s">
        <v>219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53</v>
      </c>
      <c r="C62" s="151">
        <v>1263019</v>
      </c>
      <c r="D62" s="185" t="s">
        <v>5</v>
      </c>
      <c r="E62" s="148">
        <v>60</v>
      </c>
      <c r="F62" s="185" t="s">
        <v>112</v>
      </c>
      <c r="G62" s="185"/>
      <c r="H62" s="188" t="s">
        <v>184</v>
      </c>
      <c r="I62" s="205">
        <f t="shared" si="6"/>
        <v>1469</v>
      </c>
      <c r="J62" s="186">
        <f t="shared" si="7"/>
        <v>203</v>
      </c>
      <c r="K62" s="151">
        <v>1672</v>
      </c>
      <c r="L62" s="206">
        <f t="shared" si="8"/>
        <v>24.483333333333334</v>
      </c>
      <c r="M62" s="151">
        <v>954220</v>
      </c>
      <c r="N62" s="152" t="s">
        <v>239</v>
      </c>
      <c r="O62" s="157" t="s">
        <v>47</v>
      </c>
      <c r="P62" s="184">
        <f>IF(D62=Inputs!F$4,Inputs!I$4,IF(D62=Inputs!F$2,Inputs!I$2,IF(D62=Inputs!F$3,Inputs!I$3,IF(D62=Inputs!F$5,Inputs!I$5,"NA"))))</f>
        <v>39.464285714285715</v>
      </c>
      <c r="Q62" s="255">
        <f t="shared" si="3"/>
        <v>24</v>
      </c>
      <c r="R62" s="142">
        <f t="shared" si="9"/>
        <v>9</v>
      </c>
      <c r="U62" s="142" t="s">
        <v>220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53</v>
      </c>
      <c r="C63" s="151">
        <v>1263020</v>
      </c>
      <c r="D63" s="185" t="s">
        <v>5</v>
      </c>
      <c r="E63" s="148">
        <v>60</v>
      </c>
      <c r="F63" s="185" t="s">
        <v>112</v>
      </c>
      <c r="G63" s="185"/>
      <c r="H63" s="188" t="s">
        <v>184</v>
      </c>
      <c r="I63" s="205">
        <f t="shared" si="6"/>
        <v>1495</v>
      </c>
      <c r="J63" s="186">
        <f t="shared" si="7"/>
        <v>203</v>
      </c>
      <c r="K63" s="151">
        <v>1698</v>
      </c>
      <c r="L63" s="206">
        <f t="shared" si="8"/>
        <v>24.916666666666668</v>
      </c>
      <c r="M63" s="151">
        <v>954220</v>
      </c>
      <c r="N63" s="152" t="s">
        <v>239</v>
      </c>
      <c r="O63" s="157" t="s">
        <v>47</v>
      </c>
      <c r="P63" s="184">
        <f>IF(D63=Inputs!F$4,Inputs!I$4,IF(D63=Inputs!F$2,Inputs!I$2,IF(D63=Inputs!F$3,Inputs!I$3,IF(D63=Inputs!F$5,Inputs!I$5,"NA"))))</f>
        <v>39.464285714285715</v>
      </c>
      <c r="Q63" s="255">
        <f t="shared" si="3"/>
        <v>24</v>
      </c>
      <c r="R63" s="142">
        <f t="shared" si="9"/>
        <v>9</v>
      </c>
      <c r="U63" s="142" t="s">
        <v>221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53</v>
      </c>
      <c r="C64" s="151">
        <v>1263021</v>
      </c>
      <c r="D64" s="185" t="s">
        <v>5</v>
      </c>
      <c r="E64" s="148">
        <v>60</v>
      </c>
      <c r="F64" s="185" t="s">
        <v>112</v>
      </c>
      <c r="G64" s="185"/>
      <c r="H64" s="188" t="s">
        <v>184</v>
      </c>
      <c r="I64" s="205">
        <f t="shared" si="6"/>
        <v>1509</v>
      </c>
      <c r="J64" s="186">
        <f t="shared" si="7"/>
        <v>203</v>
      </c>
      <c r="K64" s="151">
        <v>1712</v>
      </c>
      <c r="L64" s="206">
        <f t="shared" si="8"/>
        <v>25.15</v>
      </c>
      <c r="M64" s="151">
        <v>954220</v>
      </c>
      <c r="N64" s="152" t="s">
        <v>239</v>
      </c>
      <c r="O64" s="157" t="s">
        <v>47</v>
      </c>
      <c r="P64" s="184">
        <f>IF(D64=Inputs!F$4,Inputs!I$4,IF(D64=Inputs!F$2,Inputs!I$2,IF(D64=Inputs!F$3,Inputs!I$3,IF(D64=Inputs!F$5,Inputs!I$5,"NA"))))</f>
        <v>39.464285714285715</v>
      </c>
      <c r="Q64" s="255">
        <f t="shared" si="3"/>
        <v>24</v>
      </c>
      <c r="R64" s="142">
        <f t="shared" si="9"/>
        <v>9</v>
      </c>
      <c r="U64" s="142" t="s">
        <v>222</v>
      </c>
      <c r="V64" s="142">
        <f>COUNTIF(R$7:R$82,64)*60</f>
        <v>900</v>
      </c>
    </row>
    <row r="65" spans="1:24" x14ac:dyDescent="0.25">
      <c r="A65" s="148">
        <v>59</v>
      </c>
      <c r="B65" s="186">
        <f>Inputs!C$2</f>
        <v>53</v>
      </c>
      <c r="C65" s="151">
        <v>1263022</v>
      </c>
      <c r="D65" s="185" t="s">
        <v>4</v>
      </c>
      <c r="E65" s="148">
        <v>60</v>
      </c>
      <c r="F65" s="185" t="s">
        <v>112</v>
      </c>
      <c r="G65" s="185"/>
      <c r="H65" s="188" t="s">
        <v>184</v>
      </c>
      <c r="I65" s="205">
        <f t="shared" si="6"/>
        <v>1419</v>
      </c>
      <c r="J65" s="186">
        <f t="shared" si="7"/>
        <v>203</v>
      </c>
      <c r="K65" s="151">
        <v>1622</v>
      </c>
      <c r="L65" s="206">
        <f t="shared" si="8"/>
        <v>23.65</v>
      </c>
      <c r="M65" s="151">
        <v>954220</v>
      </c>
      <c r="N65" s="152" t="s">
        <v>239</v>
      </c>
      <c r="O65" s="157" t="s">
        <v>47</v>
      </c>
      <c r="P65" s="184">
        <f>IF(D65=Inputs!F$4,Inputs!I$4,IF(D65=Inputs!F$2,Inputs!I$2,IF(D65=Inputs!F$3,Inputs!I$3,IF(D65=Inputs!F$5,Inputs!I$5,"NA"))))</f>
        <v>30.607142857142858</v>
      </c>
      <c r="Q65" s="255">
        <f t="shared" si="3"/>
        <v>23</v>
      </c>
      <c r="R65" s="142">
        <f t="shared" si="9"/>
        <v>64</v>
      </c>
      <c r="U65" s="142" t="s">
        <v>223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53</v>
      </c>
      <c r="C66" s="151">
        <v>1263023</v>
      </c>
      <c r="D66" s="185" t="s">
        <v>4</v>
      </c>
      <c r="E66" s="148">
        <v>60</v>
      </c>
      <c r="F66" s="185" t="s">
        <v>112</v>
      </c>
      <c r="G66" s="185"/>
      <c r="H66" s="188" t="s">
        <v>184</v>
      </c>
      <c r="I66" s="205">
        <f t="shared" si="6"/>
        <v>1437</v>
      </c>
      <c r="J66" s="186">
        <f t="shared" si="7"/>
        <v>203</v>
      </c>
      <c r="K66" s="151">
        <v>1640</v>
      </c>
      <c r="L66" s="206">
        <f t="shared" si="8"/>
        <v>23.95</v>
      </c>
      <c r="M66" s="151">
        <v>954220</v>
      </c>
      <c r="N66" s="152" t="s">
        <v>239</v>
      </c>
      <c r="O66" s="157" t="s">
        <v>47</v>
      </c>
      <c r="P66" s="184">
        <f>IF(D66=Inputs!F$4,Inputs!I$4,IF(D66=Inputs!F$2,Inputs!I$2,IF(D66=Inputs!F$3,Inputs!I$3,IF(D66=Inputs!F$5,Inputs!I$5,"NA"))))</f>
        <v>30.607142857142858</v>
      </c>
      <c r="Q66" s="255">
        <f t="shared" si="3"/>
        <v>23</v>
      </c>
      <c r="R66" s="142">
        <f t="shared" si="9"/>
        <v>64</v>
      </c>
      <c r="U66" s="142" t="s">
        <v>50</v>
      </c>
      <c r="V66" s="142">
        <f>SUM(V59:V65)</f>
        <v>900</v>
      </c>
    </row>
    <row r="67" spans="1:24" x14ac:dyDescent="0.25">
      <c r="A67" s="148">
        <v>61</v>
      </c>
      <c r="B67" s="186">
        <f>Inputs!C$2</f>
        <v>53</v>
      </c>
      <c r="C67" s="151">
        <v>1263024</v>
      </c>
      <c r="D67" s="185" t="s">
        <v>5</v>
      </c>
      <c r="E67" s="148">
        <v>60</v>
      </c>
      <c r="F67" s="185" t="s">
        <v>112</v>
      </c>
      <c r="G67" s="185"/>
      <c r="H67" s="188" t="s">
        <v>184</v>
      </c>
      <c r="I67" s="205">
        <f t="shared" si="6"/>
        <v>1469</v>
      </c>
      <c r="J67" s="186">
        <f t="shared" si="7"/>
        <v>203</v>
      </c>
      <c r="K67" s="151">
        <v>1672</v>
      </c>
      <c r="L67" s="206">
        <f t="shared" si="8"/>
        <v>24.483333333333334</v>
      </c>
      <c r="M67" s="151">
        <v>954220</v>
      </c>
      <c r="N67" s="152" t="s">
        <v>239</v>
      </c>
      <c r="O67" s="157" t="s">
        <v>47</v>
      </c>
      <c r="P67" s="184">
        <f>IF(D67=Inputs!F$4,Inputs!I$4,IF(D67=Inputs!F$2,Inputs!I$2,IF(D67=Inputs!F$3,Inputs!I$3,IF(D67=Inputs!F$5,Inputs!I$5,"NA"))))</f>
        <v>39.464285714285715</v>
      </c>
      <c r="Q67" s="255">
        <f t="shared" si="3"/>
        <v>24</v>
      </c>
      <c r="R67" s="142">
        <f t="shared" si="9"/>
        <v>9</v>
      </c>
    </row>
    <row r="68" spans="1:24" x14ac:dyDescent="0.25">
      <c r="A68" s="148">
        <v>62</v>
      </c>
      <c r="B68" s="186">
        <f>Inputs!C$2</f>
        <v>53</v>
      </c>
      <c r="C68" s="151">
        <v>1263025</v>
      </c>
      <c r="D68" s="185" t="s">
        <v>208</v>
      </c>
      <c r="E68" s="148">
        <v>60</v>
      </c>
      <c r="F68" s="185" t="s">
        <v>112</v>
      </c>
      <c r="G68" s="185"/>
      <c r="H68" s="188" t="s">
        <v>184</v>
      </c>
      <c r="I68" s="205">
        <f t="shared" si="6"/>
        <v>1515</v>
      </c>
      <c r="J68" s="186">
        <f t="shared" si="7"/>
        <v>203</v>
      </c>
      <c r="K68" s="151">
        <v>1718</v>
      </c>
      <c r="L68" s="206">
        <f t="shared" si="8"/>
        <v>25.25</v>
      </c>
      <c r="M68" s="151">
        <v>954220</v>
      </c>
      <c r="N68" s="152" t="s">
        <v>239</v>
      </c>
      <c r="O68" s="157" t="s">
        <v>47</v>
      </c>
      <c r="P68" s="184">
        <f>IF(D68=Inputs!F$4,Inputs!I$4,IF(D68=Inputs!F$2,Inputs!I$2,IF(D68=Inputs!F$3,Inputs!I$3,IF(D68=Inputs!F$5,Inputs!I$5,"NA"))))</f>
        <v>51.892857142857146</v>
      </c>
      <c r="Q68" s="255">
        <f t="shared" si="3"/>
        <v>24</v>
      </c>
      <c r="R68" s="142">
        <f t="shared" si="9"/>
        <v>42</v>
      </c>
    </row>
    <row r="69" spans="1:24" x14ac:dyDescent="0.25">
      <c r="A69" s="148">
        <v>63</v>
      </c>
      <c r="B69" s="186">
        <f>Inputs!C$2</f>
        <v>53</v>
      </c>
      <c r="C69" s="151">
        <v>1263026</v>
      </c>
      <c r="D69" s="185" t="s">
        <v>208</v>
      </c>
      <c r="E69" s="148">
        <v>60</v>
      </c>
      <c r="F69" s="185" t="s">
        <v>112</v>
      </c>
      <c r="G69" s="185"/>
      <c r="H69" s="188" t="s">
        <v>184</v>
      </c>
      <c r="I69" s="205">
        <f t="shared" si="6"/>
        <v>1527</v>
      </c>
      <c r="J69" s="186">
        <f t="shared" si="7"/>
        <v>203</v>
      </c>
      <c r="K69" s="151">
        <v>1730</v>
      </c>
      <c r="L69" s="206">
        <f t="shared" si="8"/>
        <v>25.45</v>
      </c>
      <c r="M69" s="151">
        <v>954220</v>
      </c>
      <c r="N69" s="152" t="s">
        <v>239</v>
      </c>
      <c r="O69" s="157" t="s">
        <v>47</v>
      </c>
      <c r="P69" s="184">
        <f>IF(D69=Inputs!F$4,Inputs!I$4,IF(D69=Inputs!F$2,Inputs!I$2,IF(D69=Inputs!F$3,Inputs!I$3,IF(D69=Inputs!F$5,Inputs!I$5,"NA"))))</f>
        <v>51.892857142857146</v>
      </c>
      <c r="Q69" s="255">
        <f t="shared" si="3"/>
        <v>24</v>
      </c>
      <c r="R69" s="142">
        <f t="shared" si="9"/>
        <v>42</v>
      </c>
    </row>
    <row r="70" spans="1:24" x14ac:dyDescent="0.25">
      <c r="A70" s="148">
        <v>64</v>
      </c>
      <c r="B70" s="186">
        <f>Inputs!C$2</f>
        <v>53</v>
      </c>
      <c r="C70" s="151">
        <v>1263027</v>
      </c>
      <c r="D70" s="185" t="s">
        <v>167</v>
      </c>
      <c r="E70" s="148">
        <v>60</v>
      </c>
      <c r="F70" s="185" t="s">
        <v>112</v>
      </c>
      <c r="G70" s="185"/>
      <c r="H70" s="188" t="s">
        <v>184</v>
      </c>
      <c r="I70" s="205">
        <f t="shared" si="6"/>
        <v>1467</v>
      </c>
      <c r="J70" s="186">
        <f t="shared" si="7"/>
        <v>203</v>
      </c>
      <c r="K70" s="151">
        <v>1670</v>
      </c>
      <c r="L70" s="206">
        <f t="shared" si="8"/>
        <v>24.45</v>
      </c>
      <c r="M70" s="151">
        <v>954220</v>
      </c>
      <c r="N70" s="152" t="s">
        <v>239</v>
      </c>
      <c r="O70" s="157" t="s">
        <v>47</v>
      </c>
      <c r="P70" s="184">
        <f>IF(D70=Inputs!F$4,Inputs!I$4,IF(D70=Inputs!F$2,Inputs!I$2,IF(D70=Inputs!F$3,Inputs!I$3,IF(D70=Inputs!F$5,Inputs!I$5,"NA"))))</f>
        <v>64.892857142857139</v>
      </c>
      <c r="Q70" s="255">
        <f t="shared" si="3"/>
        <v>24</v>
      </c>
      <c r="R70" s="142">
        <f t="shared" si="9"/>
        <v>20</v>
      </c>
      <c r="U70" s="142" t="s">
        <v>229</v>
      </c>
    </row>
    <row r="71" spans="1:24" x14ac:dyDescent="0.25">
      <c r="A71" s="148">
        <v>65</v>
      </c>
      <c r="B71" s="186">
        <f>Inputs!C$2</f>
        <v>53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53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227</v>
      </c>
      <c r="W72" s="142">
        <f>COUNTIF(R$7:R$82,72)*60</f>
        <v>120</v>
      </c>
    </row>
    <row r="73" spans="1:24" x14ac:dyDescent="0.25">
      <c r="A73" s="148">
        <v>67</v>
      </c>
      <c r="B73" s="186">
        <f>Inputs!C$2</f>
        <v>53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228</v>
      </c>
    </row>
    <row r="74" spans="1:24" x14ac:dyDescent="0.25">
      <c r="A74" s="148">
        <v>68</v>
      </c>
      <c r="B74" s="186">
        <f>Inputs!C$2</f>
        <v>53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53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53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53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53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53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53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53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53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38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tabSelected="1" topLeftCell="E1" zoomScaleNormal="100" workbookViewId="0">
      <selection activeCell="V71" sqref="V71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2025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53</v>
      </c>
      <c r="D2" s="166" t="s">
        <v>237</v>
      </c>
      <c r="F2" s="166" t="s">
        <v>5</v>
      </c>
      <c r="G2" s="183">
        <v>45750</v>
      </c>
      <c r="I2" s="200">
        <f>(C$3-G2)/7</f>
        <v>39.464285714285715</v>
      </c>
      <c r="J2" s="223">
        <f>I2-19</f>
        <v>20.464285714285715</v>
      </c>
      <c r="K2" s="166" t="s">
        <v>184</v>
      </c>
      <c r="L2">
        <v>203</v>
      </c>
      <c r="N2" s="167" t="s">
        <v>188</v>
      </c>
      <c r="O2" s="124" t="s">
        <v>214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215</v>
      </c>
      <c r="AD2" s="249"/>
      <c r="AE2" s="124" t="s">
        <v>216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C2*7+(C1-1900)*365.25-1</f>
        <v>46026.25</v>
      </c>
      <c r="D3" s="265"/>
      <c r="F3" s="166" t="s">
        <v>167</v>
      </c>
      <c r="G3" s="183">
        <v>45572</v>
      </c>
      <c r="I3" s="200">
        <f>(C$3-G3)/7</f>
        <v>64.892857142857139</v>
      </c>
      <c r="J3" s="223">
        <f>I3-19</f>
        <v>45.892857142857139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215</v>
      </c>
      <c r="AC3" s="127" t="s">
        <v>111</v>
      </c>
      <c r="AD3" s="250" t="s">
        <v>216</v>
      </c>
      <c r="AE3" s="127" t="s">
        <v>111</v>
      </c>
      <c r="AF3" s="127" t="s">
        <v>67</v>
      </c>
      <c r="AG3" s="127" t="s">
        <v>111</v>
      </c>
      <c r="AH3" s="238" t="s">
        <v>230</v>
      </c>
    </row>
    <row r="4" spans="1:34" x14ac:dyDescent="0.2">
      <c r="F4" s="166" t="s">
        <v>208</v>
      </c>
      <c r="G4" s="183">
        <v>45663</v>
      </c>
      <c r="I4" s="200">
        <f>(C$3-G4)/7</f>
        <v>51.892857142857146</v>
      </c>
      <c r="J4" s="223">
        <f>I4-19</f>
        <v>32.892857142857146</v>
      </c>
      <c r="O4" s="139" t="s">
        <v>217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213</v>
      </c>
      <c r="C5" s="266"/>
      <c r="F5" s="166" t="s">
        <v>4</v>
      </c>
      <c r="G5" s="183">
        <v>45812</v>
      </c>
      <c r="I5" s="200">
        <f>(C$3-G5)/7</f>
        <v>30.607142857142858</v>
      </c>
      <c r="J5" s="223">
        <f>I5-19</f>
        <v>11.607142857142858</v>
      </c>
      <c r="O5" s="139" t="s">
        <v>218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219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220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221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222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264</v>
      </c>
      <c r="C10" s="165"/>
      <c r="E10" s="139">
        <v>6</v>
      </c>
      <c r="F10" s="168">
        <v>270</v>
      </c>
      <c r="G10" s="165"/>
      <c r="O10" s="139" t="s">
        <v>223</v>
      </c>
      <c r="P10" s="227">
        <f t="shared" si="0"/>
        <v>4611.1881661974221</v>
      </c>
      <c r="Q10" s="226">
        <v>0.36596731477757316</v>
      </c>
      <c r="R10" s="227">
        <f t="shared" si="1"/>
        <v>6266.8635147892701</v>
      </c>
      <c r="S10" s="226">
        <v>0.49737012022137062</v>
      </c>
      <c r="T10" s="227">
        <f t="shared" si="2"/>
        <v>1064.3315737148082</v>
      </c>
      <c r="U10" s="227">
        <v>8.4470759818635568E-2</v>
      </c>
      <c r="V10" s="227">
        <f t="shared" si="3"/>
        <v>18.581094225722101</v>
      </c>
      <c r="W10" s="226">
        <v>1.4746900179144523E-3</v>
      </c>
      <c r="X10" s="227">
        <f t="shared" si="4"/>
        <v>2.4512126568409696</v>
      </c>
      <c r="Y10" s="226">
        <v>1.9454068705087059E-4</v>
      </c>
      <c r="Z10" s="227">
        <f t="shared" si="5"/>
        <v>71.178403358034828</v>
      </c>
      <c r="AA10" s="226">
        <v>5.6490796315900654E-3</v>
      </c>
      <c r="AB10" s="227">
        <f t="shared" si="6"/>
        <v>361.84711011599637</v>
      </c>
      <c r="AC10" s="226">
        <v>2.8718024612380665E-2</v>
      </c>
      <c r="AD10" s="227">
        <f t="shared" si="7"/>
        <v>203.55892494190633</v>
      </c>
      <c r="AE10" s="226">
        <v>1.6155470233484629E-2</v>
      </c>
      <c r="AF10" s="139">
        <f t="shared" si="8"/>
        <v>12600</v>
      </c>
      <c r="AG10" s="226">
        <f t="shared" si="9"/>
        <v>1.0000000000000002</v>
      </c>
      <c r="AH10" s="252">
        <f>'Pallet Information'!V9</f>
        <v>840</v>
      </c>
    </row>
    <row r="11" spans="1:34" x14ac:dyDescent="0.2">
      <c r="A11" s="139">
        <v>7</v>
      </c>
      <c r="B11" s="168">
        <v>186</v>
      </c>
      <c r="C11" s="168">
        <v>18</v>
      </c>
      <c r="E11" s="139">
        <v>7</v>
      </c>
      <c r="F11" s="168">
        <v>197</v>
      </c>
      <c r="G11" s="168">
        <v>22</v>
      </c>
      <c r="O11" s="139" t="s">
        <v>50</v>
      </c>
      <c r="P11" s="227">
        <f>SUM(P4:P10)</f>
        <v>4611.1881661974221</v>
      </c>
      <c r="Q11" s="243">
        <f>P11/AF11</f>
        <v>0.36596731477757316</v>
      </c>
      <c r="R11" s="139">
        <f>SUM(R4:R10)</f>
        <v>6266.8635147892701</v>
      </c>
      <c r="S11" s="243">
        <f>R11/AF11</f>
        <v>0.49737012022137062</v>
      </c>
      <c r="T11" s="227">
        <f>SUM(T4:T10)</f>
        <v>1064.3315737148082</v>
      </c>
      <c r="U11" s="243">
        <f>T11/AF11</f>
        <v>8.4470759818635568E-2</v>
      </c>
      <c r="V11" s="227">
        <f>SUM(V4:V10)</f>
        <v>18.581094225722101</v>
      </c>
      <c r="W11" s="243">
        <f>V11/AF11</f>
        <v>1.4746900179144525E-3</v>
      </c>
      <c r="X11" s="227">
        <f>SUM(X4:X10)</f>
        <v>2.4512126568409696</v>
      </c>
      <c r="Y11" s="243">
        <f>X11/AF11</f>
        <v>1.9454068705087061E-4</v>
      </c>
      <c r="Z11" s="227">
        <f>SUM(Z4:Z10)</f>
        <v>71.178403358034828</v>
      </c>
      <c r="AA11" s="243">
        <f>Z11/AF11</f>
        <v>5.6490796315900654E-3</v>
      </c>
      <c r="AB11" s="227">
        <f>SUM(AB4:AB10)</f>
        <v>361.84711011599637</v>
      </c>
      <c r="AC11" s="243">
        <f>AB11/AF11</f>
        <v>2.8718024612380665E-2</v>
      </c>
      <c r="AD11" s="227">
        <f>SUM(AD4:AD10)</f>
        <v>203.55892494190633</v>
      </c>
      <c r="AE11" s="243">
        <f>AD11/AF11</f>
        <v>1.6155470233484629E-2</v>
      </c>
      <c r="AF11" s="139">
        <f>SUM(AF4:AF10)</f>
        <v>12600</v>
      </c>
      <c r="AG11" s="244">
        <f>Q11+S11+U11+W11+Y11+AA11+AC11+AE11</f>
        <v>1.0000000000000002</v>
      </c>
      <c r="AH11" s="139">
        <f t="shared" ref="AH11" si="10">AF11/15</f>
        <v>840</v>
      </c>
    </row>
    <row r="12" spans="1:34" x14ac:dyDescent="0.2">
      <c r="A12" s="139">
        <v>10</v>
      </c>
      <c r="B12" s="224">
        <v>150</v>
      </c>
      <c r="C12" s="168">
        <v>10</v>
      </c>
      <c r="E12" s="139">
        <v>10</v>
      </c>
      <c r="F12" s="168">
        <v>148</v>
      </c>
      <c r="G12" s="168">
        <v>12</v>
      </c>
    </row>
    <row r="13" spans="1:34" x14ac:dyDescent="0.2">
      <c r="A13" s="139">
        <v>11</v>
      </c>
      <c r="B13" s="168">
        <v>131</v>
      </c>
      <c r="C13" s="165"/>
      <c r="E13" s="139">
        <v>11</v>
      </c>
      <c r="F13" s="168">
        <v>152</v>
      </c>
      <c r="G13" s="165"/>
      <c r="N13" s="167" t="s">
        <v>189</v>
      </c>
      <c r="O13" s="124" t="s">
        <v>214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215</v>
      </c>
      <c r="AD13" s="249"/>
      <c r="AE13" s="124" t="s">
        <v>216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215</v>
      </c>
      <c r="AC14" s="127" t="s">
        <v>111</v>
      </c>
      <c r="AD14" s="250" t="s">
        <v>216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217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276</v>
      </c>
      <c r="C16" s="165"/>
      <c r="E16" s="139">
        <v>6</v>
      </c>
      <c r="F16" s="168">
        <v>270</v>
      </c>
      <c r="G16" s="165"/>
      <c r="O16" s="139" t="s">
        <v>218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199</v>
      </c>
      <c r="C17" s="168">
        <v>22</v>
      </c>
      <c r="E17" s="139">
        <v>7</v>
      </c>
      <c r="F17" s="168">
        <v>182</v>
      </c>
      <c r="G17" s="168">
        <v>21</v>
      </c>
      <c r="O17" s="139" t="s">
        <v>219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157</v>
      </c>
      <c r="C18" s="168">
        <v>11</v>
      </c>
      <c r="E18" s="139">
        <v>10</v>
      </c>
      <c r="F18" s="168">
        <v>151</v>
      </c>
      <c r="G18" s="168">
        <v>11</v>
      </c>
      <c r="O18" s="139" t="s">
        <v>220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145</v>
      </c>
      <c r="C19" s="165"/>
      <c r="E19" s="139">
        <v>11</v>
      </c>
      <c r="F19" s="168">
        <v>137</v>
      </c>
      <c r="G19" s="165"/>
      <c r="O19" s="139" t="s">
        <v>221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222</v>
      </c>
      <c r="P20" s="227">
        <f t="shared" si="12"/>
        <v>155.31971309582397</v>
      </c>
      <c r="Q20" s="226">
        <v>0.17257745899535998</v>
      </c>
      <c r="R20" s="227">
        <f t="shared" si="13"/>
        <v>548.42252596931837</v>
      </c>
      <c r="S20" s="226">
        <v>0.60935836218813155</v>
      </c>
      <c r="T20" s="227">
        <f t="shared" si="14"/>
        <v>164.49727134110617</v>
      </c>
      <c r="U20" s="226">
        <v>0.18277474593456242</v>
      </c>
      <c r="V20" s="227">
        <f t="shared" si="15"/>
        <v>3.3301053589666245</v>
      </c>
      <c r="W20" s="226">
        <v>3.7001170655184719E-3</v>
      </c>
      <c r="X20" s="227">
        <f t="shared" si="16"/>
        <v>0.18247126762628976</v>
      </c>
      <c r="Y20" s="226">
        <v>2.0274585291809972E-4</v>
      </c>
      <c r="Z20" s="227">
        <f t="shared" si="17"/>
        <v>2.8988268165293452</v>
      </c>
      <c r="AA20" s="226">
        <v>3.2209186850326059E-3</v>
      </c>
      <c r="AB20" s="227">
        <f t="shared" si="18"/>
        <v>16.070096181540674</v>
      </c>
      <c r="AC20" s="226">
        <v>1.785566242393408E-2</v>
      </c>
      <c r="AD20" s="227">
        <f t="shared" si="19"/>
        <v>9.2789899690885544</v>
      </c>
      <c r="AE20" s="226">
        <v>1.0309988854542838E-2</v>
      </c>
      <c r="AF20" s="139">
        <f t="shared" si="11"/>
        <v>900</v>
      </c>
      <c r="AG20" s="226">
        <f t="shared" si="20"/>
        <v>1</v>
      </c>
      <c r="AH20" s="139">
        <f>'Pallet Information'!V19</f>
        <v>60</v>
      </c>
    </row>
    <row r="21" spans="1:34" x14ac:dyDescent="0.2">
      <c r="A21" s="167" t="s">
        <v>173</v>
      </c>
      <c r="E21" s="167" t="s">
        <v>174</v>
      </c>
      <c r="O21" s="139" t="s">
        <v>223</v>
      </c>
      <c r="P21" s="227">
        <f t="shared" si="12"/>
        <v>6258.0410826965008</v>
      </c>
      <c r="Q21" s="226">
        <v>0.36596731477757316</v>
      </c>
      <c r="R21" s="227">
        <f t="shared" si="13"/>
        <v>8505.0290557854369</v>
      </c>
      <c r="S21" s="226">
        <v>0.49737012022137062</v>
      </c>
      <c r="T21" s="227">
        <f t="shared" si="14"/>
        <v>1444.4499928986681</v>
      </c>
      <c r="U21" s="227">
        <v>8.4470759818635568E-2</v>
      </c>
      <c r="V21" s="227">
        <f t="shared" si="15"/>
        <v>25.217199306337136</v>
      </c>
      <c r="W21" s="226">
        <v>1.4746900179144523E-3</v>
      </c>
      <c r="X21" s="227">
        <f t="shared" si="16"/>
        <v>3.326645748569887</v>
      </c>
      <c r="Y21" s="226">
        <v>1.9454068705087059E-4</v>
      </c>
      <c r="Z21" s="227">
        <f t="shared" si="17"/>
        <v>96.599261700190112</v>
      </c>
      <c r="AA21" s="226">
        <v>5.6490796315900654E-3</v>
      </c>
      <c r="AB21" s="227">
        <f t="shared" si="18"/>
        <v>491.07822087170939</v>
      </c>
      <c r="AC21" s="226">
        <v>2.8718024612380665E-2</v>
      </c>
      <c r="AD21" s="227">
        <f t="shared" si="19"/>
        <v>276.25854099258714</v>
      </c>
      <c r="AE21" s="226">
        <v>1.6155470233484629E-2</v>
      </c>
      <c r="AF21" s="139">
        <f t="shared" si="11"/>
        <v>17100</v>
      </c>
      <c r="AG21" s="226">
        <f t="shared" si="20"/>
        <v>1.0000000000000002</v>
      </c>
      <c r="AH21" s="168">
        <f>'Pallet Information'!V20</f>
        <v>1140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6413.360795792325</v>
      </c>
      <c r="Q22" s="139">
        <f>P22/AF22</f>
        <v>0.35629782198846249</v>
      </c>
      <c r="R22" s="139">
        <f>SUM(R15:R21)</f>
        <v>9053.4515817547544</v>
      </c>
      <c r="S22" s="139">
        <f>R22/AF22</f>
        <v>0.50296953231970853</v>
      </c>
      <c r="T22" s="227">
        <f>SUM(T15:T21)</f>
        <v>1608.9472642397743</v>
      </c>
      <c r="U22" s="139">
        <f>T22/AF22</f>
        <v>8.938595912443191E-2</v>
      </c>
      <c r="V22" s="227">
        <f>SUM(V15:V21)</f>
        <v>28.547304665303759</v>
      </c>
      <c r="W22" s="139">
        <f>V22/AF22</f>
        <v>1.5859613702946533E-3</v>
      </c>
      <c r="X22" s="227">
        <f>SUM(X15:X21)</f>
        <v>3.5091170161961767</v>
      </c>
      <c r="Y22" s="139">
        <f>X22/AF22</f>
        <v>1.9495094534423204E-4</v>
      </c>
      <c r="Z22" s="227">
        <f>SUM(Z15:Z21)</f>
        <v>99.498088516719463</v>
      </c>
      <c r="AA22" s="139">
        <f>Z22/AF22</f>
        <v>5.5276715842621921E-3</v>
      </c>
      <c r="AB22" s="227">
        <f>SUM(AB15:AB21)</f>
        <v>507.14831705325008</v>
      </c>
      <c r="AC22" s="139">
        <f>AB22/AF22</f>
        <v>2.8174906502958338E-2</v>
      </c>
      <c r="AD22" s="227">
        <f>SUM(AD15:AD21)</f>
        <v>285.53753096167571</v>
      </c>
      <c r="AE22" s="139">
        <f>AD22/AF22</f>
        <v>1.5863196164537539E-2</v>
      </c>
      <c r="AF22" s="139">
        <f>SUM(AF15:AF21)</f>
        <v>18000</v>
      </c>
      <c r="AG22" s="253">
        <f>Q22+S22+U22+W22+Y22+AA22+AC22+AE22</f>
        <v>0.99999999999999989</v>
      </c>
      <c r="AH22" s="139">
        <f t="shared" ref="AH22" si="21">AF22/15</f>
        <v>1200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270</v>
      </c>
      <c r="G23" s="165"/>
    </row>
    <row r="24" spans="1:34" x14ac:dyDescent="0.2">
      <c r="A24" s="139">
        <v>7</v>
      </c>
      <c r="B24" s="168">
        <v>189</v>
      </c>
      <c r="C24" s="168">
        <v>22</v>
      </c>
      <c r="E24" s="139">
        <v>7</v>
      </c>
      <c r="F24" s="168">
        <v>194</v>
      </c>
      <c r="G24" s="168">
        <v>22</v>
      </c>
      <c r="N24" s="167" t="s">
        <v>190</v>
      </c>
      <c r="O24" s="124" t="s">
        <v>214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215</v>
      </c>
      <c r="AD24" s="249"/>
      <c r="AE24" s="124" t="s">
        <v>216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147</v>
      </c>
      <c r="C25" s="168">
        <v>11</v>
      </c>
      <c r="E25" s="139">
        <v>10</v>
      </c>
      <c r="F25" s="168">
        <v>153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215</v>
      </c>
      <c r="AC25" s="127" t="s">
        <v>111</v>
      </c>
      <c r="AD25" s="250" t="s">
        <v>216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139</v>
      </c>
      <c r="C26" s="165"/>
      <c r="E26" s="139">
        <v>11</v>
      </c>
      <c r="F26" s="168">
        <v>140</v>
      </c>
      <c r="G26" s="165"/>
      <c r="O26" s="139" t="s">
        <v>217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218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219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270</v>
      </c>
      <c r="C29" s="165"/>
      <c r="E29" s="139">
        <v>6</v>
      </c>
      <c r="F29" s="198">
        <f>B10+F10+B16+F16+B23+F23+B29</f>
        <v>1890</v>
      </c>
      <c r="G29" s="199">
        <f t="shared" ref="F29:G31" si="32">C10+G10+C16+G16+C23+G23+C29</f>
        <v>0</v>
      </c>
      <c r="I29" s="139">
        <v>6</v>
      </c>
      <c r="J29" s="198">
        <f>F29*15</f>
        <v>28350</v>
      </c>
      <c r="K29" s="199">
        <f t="shared" ref="J29:K31" si="33">G29*15</f>
        <v>0</v>
      </c>
      <c r="O29" s="139" t="s">
        <v>220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189</v>
      </c>
      <c r="C30" s="168">
        <v>21</v>
      </c>
      <c r="E30" s="139">
        <v>7</v>
      </c>
      <c r="F30" s="198">
        <f t="shared" si="32"/>
        <v>1336</v>
      </c>
      <c r="G30" s="198">
        <f t="shared" si="32"/>
        <v>148</v>
      </c>
      <c r="I30" s="139">
        <v>7</v>
      </c>
      <c r="J30" s="198">
        <f t="shared" si="33"/>
        <v>20040</v>
      </c>
      <c r="K30" s="198">
        <f t="shared" si="33"/>
        <v>2220</v>
      </c>
      <c r="O30" s="139" t="s">
        <v>221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148</v>
      </c>
      <c r="C31" s="168">
        <v>11</v>
      </c>
      <c r="E31" s="139">
        <v>10</v>
      </c>
      <c r="F31" s="198">
        <f t="shared" si="32"/>
        <v>1054</v>
      </c>
      <c r="G31" s="198">
        <f t="shared" si="32"/>
        <v>77</v>
      </c>
      <c r="I31" s="139">
        <v>10</v>
      </c>
      <c r="J31" s="198">
        <f t="shared" si="33"/>
        <v>15810</v>
      </c>
      <c r="K31" s="198">
        <f t="shared" si="33"/>
        <v>1155</v>
      </c>
      <c r="O31" s="139" t="s">
        <v>222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143</v>
      </c>
      <c r="C32" s="165"/>
      <c r="E32" s="139">
        <v>11</v>
      </c>
      <c r="F32" s="198">
        <f t="shared" ref="F32:G32" si="34">B13+F13+B19+F19+B26+F26+B32</f>
        <v>987</v>
      </c>
      <c r="G32" s="199">
        <f t="shared" si="34"/>
        <v>0</v>
      </c>
      <c r="I32" s="139">
        <v>11</v>
      </c>
      <c r="J32" s="198">
        <f>F32*15</f>
        <v>14805</v>
      </c>
      <c r="K32" s="199">
        <f>G32*180/12</f>
        <v>0</v>
      </c>
      <c r="O32" s="139" t="s">
        <v>223</v>
      </c>
      <c r="P32" s="227">
        <f t="shared" si="22"/>
        <v>0</v>
      </c>
      <c r="Q32" s="226">
        <v>0.36596731477757316</v>
      </c>
      <c r="R32" s="227">
        <f t="shared" si="23"/>
        <v>0</v>
      </c>
      <c r="S32" s="226">
        <v>0.49737012022137062</v>
      </c>
      <c r="T32" s="227">
        <f t="shared" si="24"/>
        <v>0</v>
      </c>
      <c r="U32" s="227">
        <v>8.4470759818635568E-2</v>
      </c>
      <c r="V32" s="227">
        <f t="shared" si="25"/>
        <v>0</v>
      </c>
      <c r="W32" s="226">
        <v>1.4746900179144523E-3</v>
      </c>
      <c r="X32" s="227">
        <f t="shared" si="26"/>
        <v>0</v>
      </c>
      <c r="Y32" s="226">
        <v>1.9454068705087059E-4</v>
      </c>
      <c r="Z32" s="227">
        <f t="shared" si="27"/>
        <v>0</v>
      </c>
      <c r="AA32" s="226">
        <v>5.6490796315900654E-3</v>
      </c>
      <c r="AB32" s="227">
        <f t="shared" si="28"/>
        <v>0</v>
      </c>
      <c r="AC32" s="226">
        <v>2.8718024612380665E-2</v>
      </c>
      <c r="AD32" s="227">
        <f t="shared" si="29"/>
        <v>0</v>
      </c>
      <c r="AE32" s="226">
        <v>1.6155470233484629E-2</v>
      </c>
      <c r="AF32" s="139">
        <f t="shared" si="31"/>
        <v>0</v>
      </c>
      <c r="AG32" s="226">
        <f t="shared" si="30"/>
        <v>1.0000000000000002</v>
      </c>
      <c r="AH32" s="168">
        <f>'Pallet Information'!V31</f>
        <v>0</v>
      </c>
    </row>
    <row r="33" spans="1:34" x14ac:dyDescent="0.2">
      <c r="O33" s="139" t="s">
        <v>50</v>
      </c>
      <c r="P33" s="227">
        <f>SUM(P26:P32)</f>
        <v>0</v>
      </c>
      <c r="Q33" s="139" t="e">
        <f>P33/AF33</f>
        <v>#DIV/0!</v>
      </c>
      <c r="R33" s="139">
        <f>SUM(R26:R32)</f>
        <v>0</v>
      </c>
      <c r="S33" s="139" t="e">
        <f>R33/AF33</f>
        <v>#DIV/0!</v>
      </c>
      <c r="T33" s="227">
        <f>SUM(T26:T32)</f>
        <v>0</v>
      </c>
      <c r="U33" s="139" t="e">
        <f>T33/AF33</f>
        <v>#DIV/0!</v>
      </c>
      <c r="V33" s="227">
        <f>SUM(V26:V32)</f>
        <v>0</v>
      </c>
      <c r="W33" s="139" t="e">
        <f>V33/AF33</f>
        <v>#DIV/0!</v>
      </c>
      <c r="X33" s="227">
        <f>SUM(X26:X32)</f>
        <v>0</v>
      </c>
      <c r="Y33" s="139" t="e">
        <f>X33/AF33</f>
        <v>#DIV/0!</v>
      </c>
      <c r="Z33" s="227">
        <f>SUM(Z26:Z32)</f>
        <v>0</v>
      </c>
      <c r="AA33" s="139" t="e">
        <f>Z33/AF33</f>
        <v>#DIV/0!</v>
      </c>
      <c r="AB33" s="227">
        <f>SUM(AB26:AB32)</f>
        <v>0</v>
      </c>
      <c r="AC33" s="139" t="e">
        <f>AB33/AF33</f>
        <v>#DIV/0!</v>
      </c>
      <c r="AD33" s="227">
        <f>SUM(AD26:AD32)</f>
        <v>0</v>
      </c>
      <c r="AE33" s="139" t="e">
        <f>AD33/AF33</f>
        <v>#DIV/0!</v>
      </c>
      <c r="AF33" s="139">
        <f>SUM(AF26:AF32)</f>
        <v>0</v>
      </c>
      <c r="AG33" s="253" t="e">
        <f>Q33+S33+U33+W33+Y33+AA33+AC33+AE33</f>
        <v>#DIV/0!</v>
      </c>
      <c r="AH33" s="139">
        <f t="shared" ref="AH33" si="35">AF33/15</f>
        <v>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840</v>
      </c>
      <c r="N35" s="167" t="s">
        <v>195</v>
      </c>
      <c r="O35" s="124" t="s">
        <v>214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215</v>
      </c>
      <c r="AD35" s="249"/>
      <c r="AE35" s="124" t="s">
        <v>216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f>AH22</f>
        <v>1200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215</v>
      </c>
      <c r="AC36" s="127" t="s">
        <v>111</v>
      </c>
      <c r="AD36" s="250" t="s">
        <v>216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f>AH33</f>
        <v>0</v>
      </c>
      <c r="O37" s="139" t="s">
        <v>217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660</v>
      </c>
      <c r="O38" s="139" t="s">
        <v>218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f>AH55</f>
        <v>120</v>
      </c>
      <c r="O39" s="139" t="s">
        <v>219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900</v>
      </c>
      <c r="O40" s="139" t="s">
        <v>220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120</v>
      </c>
      <c r="O41" s="139" t="s">
        <v>221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222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68">
        <f>'Pallet Information'!V41</f>
        <v>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223</v>
      </c>
      <c r="P43" s="227">
        <f t="shared" si="37"/>
        <v>3623.0764162979744</v>
      </c>
      <c r="Q43" s="226">
        <v>0.36596731477757316</v>
      </c>
      <c r="R43" s="227">
        <f t="shared" si="38"/>
        <v>4923.9641901915693</v>
      </c>
      <c r="S43" s="226">
        <v>0.49737012022137062</v>
      </c>
      <c r="T43" s="227">
        <f t="shared" si="39"/>
        <v>836.26052220449208</v>
      </c>
      <c r="U43" s="227">
        <v>8.4470759818635568E-2</v>
      </c>
      <c r="V43" s="227">
        <f t="shared" si="40"/>
        <v>14.599431177353079</v>
      </c>
      <c r="W43" s="226">
        <v>1.4746900179144523E-3</v>
      </c>
      <c r="X43" s="227">
        <f t="shared" si="41"/>
        <v>1.9259528018036187</v>
      </c>
      <c r="Y43" s="226">
        <v>1.9454068705087059E-4</v>
      </c>
      <c r="Z43" s="227">
        <f t="shared" si="42"/>
        <v>55.925888352741644</v>
      </c>
      <c r="AA43" s="226">
        <v>5.6490796315900654E-3</v>
      </c>
      <c r="AB43" s="227">
        <f t="shared" si="43"/>
        <v>284.30844366256861</v>
      </c>
      <c r="AC43" s="226">
        <v>2.8718024612380665E-2</v>
      </c>
      <c r="AD43" s="227">
        <f t="shared" si="44"/>
        <v>159.93915531149784</v>
      </c>
      <c r="AE43" s="226">
        <v>1.6155470233484629E-2</v>
      </c>
      <c r="AF43" s="139">
        <f t="shared" si="36"/>
        <v>9900</v>
      </c>
      <c r="AG43" s="226">
        <f t="shared" si="45"/>
        <v>1.0000000000000002</v>
      </c>
      <c r="AH43" s="139">
        <f>'Pallet Information'!V42</f>
        <v>660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3623.0764162979744</v>
      </c>
      <c r="Q44" s="139">
        <f>P44/AF44</f>
        <v>0.36596731477757316</v>
      </c>
      <c r="R44" s="139">
        <f>SUM(R37:R43)</f>
        <v>4923.9641901915693</v>
      </c>
      <c r="S44" s="139">
        <f>R44/AF44</f>
        <v>0.49737012022137062</v>
      </c>
      <c r="T44" s="227">
        <f>SUM(T37:T43)</f>
        <v>836.26052220449208</v>
      </c>
      <c r="U44" s="139">
        <f>T44/AF44</f>
        <v>8.4470759818635568E-2</v>
      </c>
      <c r="V44" s="227">
        <f>SUM(V37:V43)</f>
        <v>14.599431177353079</v>
      </c>
      <c r="W44" s="139">
        <f>V44/AF44</f>
        <v>1.4746900179144523E-3</v>
      </c>
      <c r="X44" s="227">
        <f>SUM(X37:X43)</f>
        <v>1.9259528018036187</v>
      </c>
      <c r="Y44" s="139">
        <f>X44/AF44</f>
        <v>1.9454068705087059E-4</v>
      </c>
      <c r="Z44" s="227">
        <f>SUM(Z37:Z43)</f>
        <v>55.925888352741644</v>
      </c>
      <c r="AA44" s="139">
        <f>Z44/AF44</f>
        <v>5.6490796315900654E-3</v>
      </c>
      <c r="AB44" s="227">
        <f>SUM(AB37:AB43)</f>
        <v>284.30844366256861</v>
      </c>
      <c r="AC44" s="139">
        <f>AB44/AF44</f>
        <v>2.8718024612380669E-2</v>
      </c>
      <c r="AD44" s="227">
        <f>SUM(AD37:AD43)</f>
        <v>159.93915531149784</v>
      </c>
      <c r="AE44" s="139">
        <f>AD44/AF44</f>
        <v>1.6155470233484629E-2</v>
      </c>
      <c r="AF44" s="139">
        <f>SUM(AF37:AF43)</f>
        <v>9900</v>
      </c>
      <c r="AG44" s="253">
        <f>Q44+S44+U44+W44+Y44+AA44+AC44+AE44</f>
        <v>1.0000000000000002</v>
      </c>
      <c r="AH44" s="139">
        <f t="shared" ref="AH44" si="46">AF44/15</f>
        <v>660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214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215</v>
      </c>
      <c r="AD46" s="249"/>
      <c r="AE46" s="124" t="s">
        <v>216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215</v>
      </c>
      <c r="AC47" s="127" t="s">
        <v>111</v>
      </c>
      <c r="AD47" s="250" t="s">
        <v>216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217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218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219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220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221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222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68">
        <f>'Pallet Information'!V52</f>
        <v>0</v>
      </c>
    </row>
    <row r="54" spans="1:34" x14ac:dyDescent="0.2">
      <c r="O54" s="139" t="s">
        <v>223</v>
      </c>
      <c r="P54" s="227">
        <f t="shared" si="48"/>
        <v>658.7411665996317</v>
      </c>
      <c r="Q54" s="226">
        <v>0.36596731477757316</v>
      </c>
      <c r="R54" s="227">
        <f t="shared" si="49"/>
        <v>895.26621639846712</v>
      </c>
      <c r="S54" s="226">
        <v>0.49737012022137062</v>
      </c>
      <c r="T54" s="227">
        <f t="shared" si="50"/>
        <v>152.04736767354402</v>
      </c>
      <c r="U54" s="227">
        <v>8.4470759818635568E-2</v>
      </c>
      <c r="V54" s="227">
        <f t="shared" si="51"/>
        <v>2.6544420322460143</v>
      </c>
      <c r="W54" s="226">
        <v>1.4746900179144523E-3</v>
      </c>
      <c r="X54" s="227">
        <f t="shared" si="52"/>
        <v>0.35017323669156708</v>
      </c>
      <c r="Y54" s="226">
        <v>1.9454068705087059E-4</v>
      </c>
      <c r="Z54" s="227">
        <f t="shared" si="53"/>
        <v>10.168343336862117</v>
      </c>
      <c r="AA54" s="226">
        <v>5.6490796315900654E-3</v>
      </c>
      <c r="AB54" s="227">
        <f t="shared" si="54"/>
        <v>51.692444302285196</v>
      </c>
      <c r="AC54" s="226">
        <v>2.8718024612380665E-2</v>
      </c>
      <c r="AD54" s="227">
        <f t="shared" si="55"/>
        <v>29.079846420272332</v>
      </c>
      <c r="AE54" s="226">
        <v>1.6155470233484629E-2</v>
      </c>
      <c r="AF54" s="139">
        <f t="shared" si="47"/>
        <v>1800</v>
      </c>
      <c r="AG54" s="226">
        <f t="shared" si="56"/>
        <v>1.0000000000000002</v>
      </c>
      <c r="AH54" s="139">
        <f>'Pallet Information'!V53</f>
        <v>120</v>
      </c>
    </row>
    <row r="55" spans="1:34" x14ac:dyDescent="0.2">
      <c r="O55" s="139" t="s">
        <v>50</v>
      </c>
      <c r="P55" s="227">
        <f>SUM(P48:P54)</f>
        <v>658.7411665996317</v>
      </c>
      <c r="Q55" s="139">
        <f>P55/AF55</f>
        <v>0.36596731477757316</v>
      </c>
      <c r="R55" s="139">
        <f>SUM(R48:R54)</f>
        <v>895.26621639846712</v>
      </c>
      <c r="S55" s="139">
        <f>R55/AF55</f>
        <v>0.49737012022137062</v>
      </c>
      <c r="T55" s="227">
        <f>SUM(T48:T54)</f>
        <v>152.04736767354402</v>
      </c>
      <c r="U55" s="139">
        <f>T55/AF55</f>
        <v>8.4470759818635568E-2</v>
      </c>
      <c r="V55" s="227">
        <f>SUM(V48:V54)</f>
        <v>2.6544420322460143</v>
      </c>
      <c r="W55" s="139">
        <f>V55/AF55</f>
        <v>1.4746900179144523E-3</v>
      </c>
      <c r="X55" s="227">
        <f>SUM(X48:X54)</f>
        <v>0.35017323669156708</v>
      </c>
      <c r="Y55" s="139">
        <f>X55/AF55</f>
        <v>1.9454068705087061E-4</v>
      </c>
      <c r="Z55" s="227">
        <f>SUM(Z48:Z54)</f>
        <v>10.168343336862117</v>
      </c>
      <c r="AA55" s="139">
        <f>Z55/AF55</f>
        <v>5.6490796315900654E-3</v>
      </c>
      <c r="AB55" s="227">
        <f>SUM(AB48:AB54)</f>
        <v>51.692444302285196</v>
      </c>
      <c r="AC55" s="139">
        <f>AB55/AF55</f>
        <v>2.8718024612380665E-2</v>
      </c>
      <c r="AD55" s="227">
        <f>SUM(AD48:AD54)</f>
        <v>29.079846420272332</v>
      </c>
      <c r="AE55" s="139">
        <f>AD55/AF55</f>
        <v>1.6155470233484629E-2</v>
      </c>
      <c r="AF55" s="139">
        <f>SUM(AF48:AF54)</f>
        <v>1800</v>
      </c>
      <c r="AG55" s="253">
        <f>Q55+S55+U55+W55+Y55+AA55+AC55+AE55</f>
        <v>1.0000000000000002</v>
      </c>
      <c r="AH55" s="139">
        <f t="shared" ref="AH55" si="57">AF55/15</f>
        <v>120</v>
      </c>
    </row>
    <row r="58" spans="1:34" x14ac:dyDescent="0.2">
      <c r="N58" s="167" t="s">
        <v>191</v>
      </c>
      <c r="O58" s="124" t="s">
        <v>214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215</v>
      </c>
      <c r="AD58" s="249"/>
      <c r="AE58" s="124" t="s">
        <v>216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215</v>
      </c>
      <c r="AC59" s="127" t="s">
        <v>111</v>
      </c>
      <c r="AD59" s="250" t="s">
        <v>216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217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218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219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220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221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222</v>
      </c>
      <c r="P65" s="227">
        <f t="shared" si="59"/>
        <v>2329.7956964373598</v>
      </c>
      <c r="Q65" s="226">
        <v>0.17257745899535998</v>
      </c>
      <c r="R65" s="227">
        <f t="shared" si="60"/>
        <v>8226.3378895397764</v>
      </c>
      <c r="S65" s="226">
        <v>0.60935836218813155</v>
      </c>
      <c r="T65" s="227">
        <f t="shared" si="61"/>
        <v>2467.4590701165926</v>
      </c>
      <c r="U65" s="226">
        <v>0.18277474593456242</v>
      </c>
      <c r="V65" s="227">
        <f t="shared" si="62"/>
        <v>49.951580384499373</v>
      </c>
      <c r="W65" s="226">
        <v>3.7001170655184719E-3</v>
      </c>
      <c r="X65" s="227">
        <f t="shared" si="63"/>
        <v>2.7370690143943461</v>
      </c>
      <c r="Y65" s="226">
        <v>2.0274585291809972E-4</v>
      </c>
      <c r="Z65" s="227">
        <f t="shared" si="64"/>
        <v>43.482402247940179</v>
      </c>
      <c r="AA65" s="226">
        <v>3.2209186850326059E-3</v>
      </c>
      <c r="AB65" s="227">
        <f t="shared" si="65"/>
        <v>241.05144272311009</v>
      </c>
      <c r="AC65" s="226">
        <v>1.785566242393408E-2</v>
      </c>
      <c r="AD65" s="227">
        <f t="shared" si="66"/>
        <v>139.18484953632833</v>
      </c>
      <c r="AE65" s="226">
        <v>1.0309988854542838E-2</v>
      </c>
      <c r="AF65" s="139">
        <f t="shared" si="58"/>
        <v>13500</v>
      </c>
      <c r="AG65" s="226">
        <f t="shared" si="67"/>
        <v>1</v>
      </c>
      <c r="AH65" s="139">
        <f>'Pallet Information'!V64</f>
        <v>900</v>
      </c>
    </row>
    <row r="66" spans="14:34" x14ac:dyDescent="0.2">
      <c r="O66" s="139" t="s">
        <v>223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2329.7956964373598</v>
      </c>
      <c r="Q67" s="139">
        <f>P67/AF67</f>
        <v>0.17257745899535998</v>
      </c>
      <c r="R67" s="139">
        <f>SUM(R60:R66)</f>
        <v>8226.3378895397764</v>
      </c>
      <c r="S67" s="139">
        <f>R67/AF67</f>
        <v>0.60935836218813155</v>
      </c>
      <c r="T67" s="227">
        <f>SUM(T60:T66)</f>
        <v>2467.4590701165926</v>
      </c>
      <c r="U67" s="139">
        <f>T67/AF67</f>
        <v>0.18277474593456242</v>
      </c>
      <c r="V67" s="227">
        <f>SUM(V60:V66)</f>
        <v>49.951580384499373</v>
      </c>
      <c r="W67" s="139">
        <f>V67/AF67</f>
        <v>3.7001170655184719E-3</v>
      </c>
      <c r="X67" s="227">
        <f>SUM(X60:X66)</f>
        <v>2.7370690143943461</v>
      </c>
      <c r="Y67" s="139">
        <f>X67/AF67</f>
        <v>2.0274585291809972E-4</v>
      </c>
      <c r="Z67" s="227">
        <f>SUM(Z60:Z66)</f>
        <v>43.482402247940179</v>
      </c>
      <c r="AA67" s="139">
        <f>Z67/AF67</f>
        <v>3.2209186850326059E-3</v>
      </c>
      <c r="AB67" s="227">
        <f>SUM(AB60:AB66)</f>
        <v>241.05144272311009</v>
      </c>
      <c r="AC67" s="139">
        <f>AB67/AF67</f>
        <v>1.785566242393408E-2</v>
      </c>
      <c r="AD67" s="227">
        <f>SUM(AD60:AD66)</f>
        <v>139.18484953632833</v>
      </c>
      <c r="AE67" s="139">
        <f>AD67/AF67</f>
        <v>1.0309988854542838E-2</v>
      </c>
      <c r="AF67" s="139">
        <f>SUM(AF60:AF66)</f>
        <v>13500</v>
      </c>
      <c r="AG67" s="253">
        <f>Q67+S67+U67+W67+Y67+AA67+AC67+AE67</f>
        <v>1</v>
      </c>
      <c r="AH67" s="139">
        <f t="shared" ref="AH67" si="68">AF67/15</f>
        <v>900</v>
      </c>
    </row>
    <row r="71" spans="14:34" x14ac:dyDescent="0.2">
      <c r="O71" s="257" t="s">
        <v>229</v>
      </c>
      <c r="P71" s="257"/>
      <c r="Q71" s="257"/>
      <c r="R71" s="257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227</v>
      </c>
      <c r="O73" s="211"/>
      <c r="P73" s="251"/>
      <c r="Q73" s="211">
        <f>'Pallet Information'!W72</f>
        <v>120</v>
      </c>
      <c r="R73" s="211"/>
    </row>
    <row r="74" spans="14:34" x14ac:dyDescent="0.2">
      <c r="N74" s="248" t="s">
        <v>228</v>
      </c>
      <c r="O74" s="211"/>
      <c r="P74" s="251"/>
      <c r="Q74" s="211"/>
      <c r="R74" s="211"/>
    </row>
    <row r="78" spans="14:34" x14ac:dyDescent="0.2">
      <c r="N78" s="167" t="s">
        <v>232</v>
      </c>
      <c r="O78" s="124" t="s">
        <v>214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215</v>
      </c>
      <c r="AD78" s="249"/>
      <c r="AE78" s="124" t="s">
        <v>216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215</v>
      </c>
      <c r="AC79" s="127" t="s">
        <v>111</v>
      </c>
      <c r="AD79" s="250" t="s">
        <v>216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6413.360795792325</v>
      </c>
      <c r="Q80" s="253">
        <f>P80/AF80</f>
        <v>0.35629782198846249</v>
      </c>
      <c r="R80" s="242">
        <f>R22</f>
        <v>9053.4515817547544</v>
      </c>
      <c r="S80" s="253">
        <f>R80/AF80</f>
        <v>0.50296953231970853</v>
      </c>
      <c r="T80" s="242">
        <f>T22</f>
        <v>1608.9472642397743</v>
      </c>
      <c r="U80" s="253">
        <f>T80/AF80</f>
        <v>8.938595912443191E-2</v>
      </c>
      <c r="V80" s="242">
        <f>V22</f>
        <v>28.547304665303759</v>
      </c>
      <c r="W80" s="253">
        <f>V80/AF80</f>
        <v>1.5859613702946533E-3</v>
      </c>
      <c r="X80" s="242">
        <f>X22</f>
        <v>3.5091170161961767</v>
      </c>
      <c r="Y80" s="253">
        <f>X80/AF80</f>
        <v>1.9495094534423204E-4</v>
      </c>
      <c r="Z80" s="242">
        <f>Z22</f>
        <v>99.498088516719463</v>
      </c>
      <c r="AA80" s="253">
        <f>Z80/AF80</f>
        <v>5.5276715842621921E-3</v>
      </c>
      <c r="AB80" s="242">
        <f>AB22</f>
        <v>507.14831705325008</v>
      </c>
      <c r="AC80" s="253">
        <f>AB80/AF80</f>
        <v>2.8174906502958338E-2</v>
      </c>
      <c r="AD80" s="242">
        <f>AD22</f>
        <v>285.53753096167571</v>
      </c>
      <c r="AE80" s="253">
        <f>AD80/AF80</f>
        <v>1.5863196164537539E-2</v>
      </c>
      <c r="AF80" s="139">
        <f t="shared" ref="AF80:AF81" si="69">(AH80*15)</f>
        <v>18000</v>
      </c>
      <c r="AG80" s="226">
        <f t="shared" ref="AG80:AG81" si="70">SUM(Q80+S80+U80+W80+Y80+AA80+AC80+AE80)</f>
        <v>0.99999999999999989</v>
      </c>
      <c r="AH80" s="139">
        <f>AH22</f>
        <v>1200</v>
      </c>
    </row>
    <row r="81" spans="14:34" x14ac:dyDescent="0.2">
      <c r="O81" s="139" t="s">
        <v>48</v>
      </c>
      <c r="P81" s="242">
        <f>P33</f>
        <v>0</v>
      </c>
      <c r="Q81" s="253" t="e">
        <f>P81/AF81</f>
        <v>#DIV/0!</v>
      </c>
      <c r="R81" s="242">
        <f>R33</f>
        <v>0</v>
      </c>
      <c r="S81" s="253" t="e">
        <f>R81/AF81</f>
        <v>#DIV/0!</v>
      </c>
      <c r="T81" s="242">
        <f>T33</f>
        <v>0</v>
      </c>
      <c r="U81" s="253" t="e">
        <f>T81/AF81</f>
        <v>#DIV/0!</v>
      </c>
      <c r="V81" s="242">
        <f>V33</f>
        <v>0</v>
      </c>
      <c r="W81" s="253" t="e">
        <f>V81/AF81</f>
        <v>#DIV/0!</v>
      </c>
      <c r="X81" s="242">
        <f>X33</f>
        <v>0</v>
      </c>
      <c r="Y81" s="253" t="e">
        <f>X81/AF81</f>
        <v>#DIV/0!</v>
      </c>
      <c r="Z81" s="242">
        <f>Z33</f>
        <v>0</v>
      </c>
      <c r="AA81" s="253" t="e">
        <f>Z81/AF81</f>
        <v>#DIV/0!</v>
      </c>
      <c r="AB81" s="242">
        <f>AB33</f>
        <v>0</v>
      </c>
      <c r="AC81" s="253" t="e">
        <f>AB81/AF81</f>
        <v>#DIV/0!</v>
      </c>
      <c r="AD81" s="242">
        <f>AD33</f>
        <v>0</v>
      </c>
      <c r="AE81" s="253" t="e">
        <f>AD81/AF81</f>
        <v>#DIV/0!</v>
      </c>
      <c r="AF81" s="139">
        <f t="shared" si="69"/>
        <v>0</v>
      </c>
      <c r="AG81" s="226" t="e">
        <f t="shared" si="70"/>
        <v>#DIV/0!</v>
      </c>
      <c r="AH81" s="139">
        <f>AH33</f>
        <v>0</v>
      </c>
    </row>
    <row r="82" spans="14:34" x14ac:dyDescent="0.2">
      <c r="O82" s="139" t="s">
        <v>50</v>
      </c>
      <c r="P82" s="227">
        <f>SUM(P80:P81)</f>
        <v>6413.360795792325</v>
      </c>
      <c r="Q82" s="253">
        <f>P82/AF82</f>
        <v>0.35629782198846249</v>
      </c>
      <c r="R82" s="227">
        <f>SUM(R80:R81)</f>
        <v>9053.4515817547544</v>
      </c>
      <c r="S82" s="253">
        <f>R82/AF82</f>
        <v>0.50296953231970853</v>
      </c>
      <c r="T82" s="227">
        <f>SUM(T80:T81)</f>
        <v>1608.9472642397743</v>
      </c>
      <c r="U82" s="253">
        <f>T82/AF82</f>
        <v>8.938595912443191E-2</v>
      </c>
      <c r="V82" s="227">
        <f>SUM(V80:V81)</f>
        <v>28.547304665303759</v>
      </c>
      <c r="W82" s="253">
        <f>V82/AF82</f>
        <v>1.5859613702946533E-3</v>
      </c>
      <c r="X82" s="227">
        <f>SUM(X80:X81)</f>
        <v>3.5091170161961767</v>
      </c>
      <c r="Y82" s="253">
        <f>X82/AF82</f>
        <v>1.9495094534423204E-4</v>
      </c>
      <c r="Z82" s="227">
        <f>SUM(Z80:Z81)</f>
        <v>99.498088516719463</v>
      </c>
      <c r="AA82" s="253">
        <f>Z82/AF82</f>
        <v>5.5276715842621921E-3</v>
      </c>
      <c r="AB82" s="227">
        <f>SUM(AB80:AB81)</f>
        <v>507.14831705325008</v>
      </c>
      <c r="AC82" s="253">
        <f>AB82/AF82</f>
        <v>2.8174906502958338E-2</v>
      </c>
      <c r="AD82" s="227">
        <f>SUM(AD80:AD81)</f>
        <v>285.53753096167571</v>
      </c>
      <c r="AE82" s="253">
        <f>AD82/AF82</f>
        <v>1.5863196164537539E-2</v>
      </c>
      <c r="AF82" s="252">
        <f>SUM(AF80:AF81)</f>
        <v>18000</v>
      </c>
      <c r="AG82" s="253">
        <f>SUM(Q82+S82+U82+W82+Y82+AA82+AC82+AE82)</f>
        <v>0.99999999999999989</v>
      </c>
      <c r="AH82" s="139">
        <f t="shared" ref="AH82" si="71">AF82/15</f>
        <v>1200</v>
      </c>
    </row>
    <row r="85" spans="14:34" x14ac:dyDescent="0.2">
      <c r="N85" s="167" t="s">
        <v>233</v>
      </c>
      <c r="O85" s="124" t="s">
        <v>214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215</v>
      </c>
      <c r="AD85" s="249"/>
      <c r="AE85" s="124" t="s">
        <v>216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215</v>
      </c>
      <c r="AC86" s="127" t="s">
        <v>111</v>
      </c>
      <c r="AD86" s="250" t="s">
        <v>216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3623.0764162979744</v>
      </c>
      <c r="Q87" s="226">
        <f>P87/AF87</f>
        <v>0.36596731477757316</v>
      </c>
      <c r="R87" s="227">
        <f>R44</f>
        <v>4923.9641901915693</v>
      </c>
      <c r="S87" s="226">
        <f>R87/AF87</f>
        <v>0.49737012022137062</v>
      </c>
      <c r="T87" s="227">
        <f>T44</f>
        <v>836.26052220449208</v>
      </c>
      <c r="U87" s="226">
        <f>T87/AF87</f>
        <v>8.4470759818635568E-2</v>
      </c>
      <c r="V87" s="227">
        <f>V44</f>
        <v>14.599431177353079</v>
      </c>
      <c r="W87" s="226">
        <f>V87/AF87</f>
        <v>1.4746900179144523E-3</v>
      </c>
      <c r="X87" s="227">
        <f>X44</f>
        <v>1.9259528018036187</v>
      </c>
      <c r="Y87" s="226">
        <f>X87/AF87</f>
        <v>1.9454068705087059E-4</v>
      </c>
      <c r="Z87" s="227">
        <f>Z44</f>
        <v>55.925888352741644</v>
      </c>
      <c r="AA87" s="226">
        <f>Z87/AF87</f>
        <v>5.6490796315900654E-3</v>
      </c>
      <c r="AB87" s="227">
        <f>AB44</f>
        <v>284.30844366256861</v>
      </c>
      <c r="AC87" s="226">
        <f>AB87/AF87</f>
        <v>2.8718024612380669E-2</v>
      </c>
      <c r="AD87" s="227">
        <f>AD44</f>
        <v>159.93915531149784</v>
      </c>
      <c r="AE87" s="226">
        <f>AD87/AF87</f>
        <v>1.6155470233484629E-2</v>
      </c>
      <c r="AF87" s="139">
        <f t="shared" ref="AF87:AF88" si="72">(AH87*15)</f>
        <v>9900</v>
      </c>
      <c r="AG87" s="226">
        <f t="shared" ref="AG87:AG88" si="73">SUM(Q87+S87+U87+W87+Y87+AA87+AC87+AE87)</f>
        <v>1.0000000000000002</v>
      </c>
      <c r="AH87" s="139">
        <f>AH44</f>
        <v>660</v>
      </c>
    </row>
    <row r="88" spans="14:34" x14ac:dyDescent="0.2">
      <c r="O88" s="139" t="s">
        <v>48</v>
      </c>
      <c r="P88" s="227">
        <f>P55</f>
        <v>658.7411665996317</v>
      </c>
      <c r="Q88" s="226">
        <f>P88/AF88</f>
        <v>0.36596731477757316</v>
      </c>
      <c r="R88" s="227">
        <f>R55</f>
        <v>895.26621639846712</v>
      </c>
      <c r="S88" s="226">
        <f>R88/AF88</f>
        <v>0.49737012022137062</v>
      </c>
      <c r="T88" s="227">
        <f>T55</f>
        <v>152.04736767354402</v>
      </c>
      <c r="U88" s="241">
        <f>T88/AF88</f>
        <v>8.4470759818635568E-2</v>
      </c>
      <c r="V88" s="227">
        <f>V55</f>
        <v>2.6544420322460143</v>
      </c>
      <c r="W88" s="226">
        <f>V88/AF88</f>
        <v>1.4746900179144523E-3</v>
      </c>
      <c r="X88" s="227">
        <f>X55</f>
        <v>0.35017323669156708</v>
      </c>
      <c r="Y88" s="226">
        <f>X88/AF88</f>
        <v>1.9454068705087061E-4</v>
      </c>
      <c r="Z88" s="227">
        <f>Z55</f>
        <v>10.168343336862117</v>
      </c>
      <c r="AA88" s="226">
        <f>Z88/AF88</f>
        <v>5.6490796315900654E-3</v>
      </c>
      <c r="AB88" s="227">
        <f>AB55</f>
        <v>51.692444302285196</v>
      </c>
      <c r="AC88" s="226">
        <f>AB88/AF88</f>
        <v>2.8718024612380665E-2</v>
      </c>
      <c r="AD88" s="227">
        <f>AD55</f>
        <v>29.079846420272332</v>
      </c>
      <c r="AE88" s="226">
        <f>AD88/AF88</f>
        <v>1.6155470233484629E-2</v>
      </c>
      <c r="AF88" s="139">
        <f t="shared" si="72"/>
        <v>1800</v>
      </c>
      <c r="AG88" s="226">
        <f t="shared" si="73"/>
        <v>1.0000000000000002</v>
      </c>
      <c r="AH88" s="139">
        <f>AH55</f>
        <v>120</v>
      </c>
    </row>
    <row r="89" spans="14:34" x14ac:dyDescent="0.2">
      <c r="O89" s="139" t="s">
        <v>50</v>
      </c>
      <c r="P89" s="227">
        <f>SUM(P87:P88)</f>
        <v>4281.8175828976064</v>
      </c>
      <c r="Q89" s="253">
        <f>P89/AF89</f>
        <v>0.36596731477757322</v>
      </c>
      <c r="R89" s="227">
        <f>SUM(R87:R88)</f>
        <v>5819.2304065900362</v>
      </c>
      <c r="S89" s="253">
        <f>R89/AF89</f>
        <v>0.49737012022137062</v>
      </c>
      <c r="T89" s="227">
        <f>SUM(T87:T88)</f>
        <v>988.30788987803612</v>
      </c>
      <c r="U89" s="253">
        <f>T89/AF89</f>
        <v>8.4470759818635568E-2</v>
      </c>
      <c r="V89" s="227">
        <f>SUM(V87:V88)</f>
        <v>17.253873209599092</v>
      </c>
      <c r="W89" s="253">
        <f>V89/AF89</f>
        <v>1.4746900179144523E-3</v>
      </c>
      <c r="X89" s="227">
        <f>SUM(X87:X88)</f>
        <v>2.2761260384951858</v>
      </c>
      <c r="Y89" s="253">
        <f>X89/AF89</f>
        <v>1.9454068705087059E-4</v>
      </c>
      <c r="Z89" s="227">
        <f>SUM(Z87:Z88)</f>
        <v>66.09423168960376</v>
      </c>
      <c r="AA89" s="253">
        <f>Z89/AF89</f>
        <v>5.6490796315900645E-3</v>
      </c>
      <c r="AB89" s="227">
        <f>SUM(AB87:AB88)</f>
        <v>336.0008879648538</v>
      </c>
      <c r="AC89" s="253">
        <f>AB89/AF89</f>
        <v>2.8718024612380665E-2</v>
      </c>
      <c r="AD89" s="227">
        <f>SUM(AD87:AD88)</f>
        <v>189.01900173177017</v>
      </c>
      <c r="AE89" s="253">
        <f>AD89/AF89</f>
        <v>1.6155470233484629E-2</v>
      </c>
      <c r="AF89" s="227">
        <f>SUM(AF87:AF88)</f>
        <v>11700</v>
      </c>
      <c r="AG89" s="253">
        <f>SUM(Q89+S89+U89+W89+Y89+AA89+AC89+AE89)</f>
        <v>1.0000000000000002</v>
      </c>
      <c r="AH89" s="139">
        <f t="shared" ref="AH89" si="74">AF89/15</f>
        <v>780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Declaration Summary</vt:lpstr>
      <vt:lpstr>Grade out Information</vt:lpstr>
      <vt:lpstr>Hilly Acres Farm Ltd.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2026-01-05T18:42:08Z</cp:lastPrinted>
  <dcterms:created xsi:type="dcterms:W3CDTF">2019-08-23T14:41:05Z</dcterms:created>
  <dcterms:modified xsi:type="dcterms:W3CDTF">2026-01-05T18:56:58Z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