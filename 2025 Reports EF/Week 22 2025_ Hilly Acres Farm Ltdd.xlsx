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129A0C37-3B6E-4311-BF6F-F62AEB5AC517}" xr6:coauthVersionLast="47" xr6:coauthVersionMax="47" xr10:uidLastSave="{00000000-0000-0000-0000-000000000000}"/>
  <bookViews>
    <workbookView xWindow="-120" yWindow="-120" windowWidth="29040" windowHeight="15720" tabRatio="500" firstSheet="2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<sst xmlns="http://schemas.openxmlformats.org/spreadsheetml/2006/main" count="483" uniqueCount="240">
  <si>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</si>
  <si>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</si>
  <si>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</si>
  <si>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</si>
  <si>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</si>
  <si>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</si>
  <si>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</si>
  <si>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</si>
  <si>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</si>
  <si>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</si>
  <si>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</si>
  <si>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</si>
  <si>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</si>
  <si>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</si>
  <si>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</si>
  <si>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</si>
  <si>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</si>
  <si>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</si>
  <si>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</si>
  <si>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</si>
  <si>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</si>
  <si>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</si>
  <si>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</si>
  <si>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</si>
  <si>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</si>
  <si>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</si>
  <si>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</si>
  <si>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</si>
  <si>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</si>
  <si>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</si>
  <si>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</si>
  <si>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</si>
  <si>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</si>
  <si>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</si>
  <si>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</si>
  <si>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</si>
  <si>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</si>
  <si>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</si>
  <si>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</si>
  <si>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</si>
  <si>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</si>
  <si>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</si>
  <si>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</si>
  <si>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</si>
  <si>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</si>
  <si>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</si>
  <si>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</si>
  <si>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</si>
  <si>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</si>
  <si>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</si>
  <si>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</si>
  <si>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</si>
  <si>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</si>
  <si>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</si>
  <si>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</si>
  <si>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</si>
  <si>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</si>
  <si>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</si>
  <si>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</si>
  <si>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</si>
  <si>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</si>
  <si>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</si>
  <si>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</si>
  <si>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</si>
  <si>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</si>
  <si>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</si>
  <si>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</si>
  <si>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</si>
  <si>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</si>
  <si>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</si>
  <si>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</si>
  <si>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</si>
  <si>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</si>
  <si>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</si>
  <si>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</si>
  <si>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</si>
  <si>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</si>
  <si>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</si>
  <si>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</si>
  <si>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</si>
  <si>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</si>
  <si>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</si>
  <si>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</si>
  <si>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</si>
  <si>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</si>
  <si>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</si>
  <si>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</si>
  <si>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</si>
  <si>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</si>
  <si>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</si>
  <si>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</si>
  <si>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</si>
  <si>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</si>
  <si>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</si>
  <si>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</si>
  <si>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</si>
  <si>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</si>
  <si>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</si>
  <si>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</si>
  <si>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</si>
  <si>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</si>
  <si>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</si>
  <si>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</si>
  <si>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</si>
  <si>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</si>
  <si>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</si>
  <si>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</si>
  <si>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</si>
  <si>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</si>
  <si>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</si>
  <si>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</si>
  <si>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</si>
  <si>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</si>
  <si>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</si>
  <si>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</si>
  <si>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</si>
  <si>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</si>
  <si>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</si>
  <si>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</si>
  <si>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</si>
  <si>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</si>
  <si>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</si>
  <si>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</si>
  <si>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</si>
  <si>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</si>
  <si>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</si>
  <si>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</si>
  <si>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</si>
  <si>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</si>
  <si>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</si>
  <si>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</si>
  <si>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</si>
  <si>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</si>
  <si>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</si>
  <si>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</si>
  <si>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</si>
  <si>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</si>
  <si>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</si>
  <si>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</si>
  <si>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</si>
  <si>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</si>
  <si>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</si>
  <si>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</si>
  <si>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</si>
  <si>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</si>
  <si>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</si>
  <si>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</si>
  <si>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</si>
  <si>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</si>
  <si>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</si>
  <si>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</si>
  <si>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</si>
  <si>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</si>
  <si>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</si>
  <si>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</si>
  <si>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</si>
  <si>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</si>
  <si>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</si>
  <si>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</si>
  <si>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</si>
  <si>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</si>
  <si>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</si>
  <si>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</si>
  <si>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</si>
  <si>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</si>
  <si>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</si>
  <si>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</si>
  <si>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</si>
  <si>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</si>
  <si>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</si>
  <si>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</si>
  <si>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</si>
  <si>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</si>
  <si>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</si>
  <si>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</si>
  <si>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</si>
  <si>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</si>
  <si>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</si>
  <si>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</si>
  <si>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</si>
  <si>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</si>
  <si>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</si>
  <si>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</si>
  <si>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</si>
  <si>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</si>
  <si>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</si>
  <si>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</si>
  <si>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</si>
  <si>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</si>
  <si>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</si>
  <si>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</si>
  <si>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</si>
  <si>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</si>
  <si>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</si>
  <si>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</si>
  <si>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</si>
  <si>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</si>
  <si>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</si>
  <si>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</si>
  <si>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</si>
  <si>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</si>
  <si>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</si>
  <si>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</si>
  <si>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</si>
  <si>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</si>
  <si>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</si>
  <si>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</si>
  <si>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</si>
  <si>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</si>
  <si>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</si>
  <si>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</si>
  <si>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</si>
  <si>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</si>
  <si>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</si>
  <si>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</si>
  <si>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</si>
  <si>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</si>
  <si>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</si>
  <si>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</si>
  <si>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</si>
  <si>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</si>
  <si>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</si>
  <si>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</si>
  <si>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</si>
  <si>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</si>
  <si>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</si>
  <si>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</si>
  <si>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</si>
  <si>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</si>
  <si>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</si>
  <si>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</si>
  <si>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30/25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</si>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</sst>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22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45809.25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22245.000000000004</v>
      </c>
      <c r="I10" s="27">
        <v>0</v>
      </c>
      <c r="J10" s="26">
        <f>IFERROR(H10-I10,"")</f>
        <v>22245.000000000004</v>
      </c>
      <c r="K10" s="26">
        <f>IFERROR(($E$30/($H$31+$H$32)*$H$31)*R32,"")</f>
        <v>88.98</v>
      </c>
      <c r="L10" s="26">
        <f>IFERROR(($E$30/($H$31+$H$32)*$H$31)*S32,"")</f>
        <v>22.245000000000001</v>
      </c>
      <c r="M10" s="28">
        <f>IFERROR(K10+L10,"")</f>
        <v>111.22500000000001</v>
      </c>
      <c r="N10" s="29">
        <f>IFERROR(O10+P10+Q10+R10+S10+T10+U10+V10,"")</f>
        <v>22133.775000000005</v>
      </c>
      <c r="O10" s="26">
        <f t="shared" ref="O10:V10" si="2">IFERROR(($E$30/($H$31+$H$32)*$H$31)*J32,"")</f>
        <v>778.57500000000005</v>
      </c>
      <c r="P10" s="26">
        <f t="shared" si="2"/>
        <v>7118.4000000000005</v>
      </c>
      <c r="Q10" s="26">
        <f t="shared" si="2"/>
        <v>13191.285</v>
      </c>
      <c r="R10" s="26">
        <f t="shared" si="2"/>
        <v>1001.025</v>
      </c>
      <c r="S10" s="26">
        <f t="shared" si="2"/>
        <v>0</v>
      </c>
      <c r="T10" s="26">
        <f t="shared" si="2"/>
        <v>0</v>
      </c>
      <c r="U10" s="26">
        <f t="shared" si="2"/>
        <v>44.49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20907.284214618976</v>
      </c>
      <c r="I13" s="27">
        <v>0</v>
      </c>
      <c r="J13" s="26">
        <f>IFERROR(H13-I13,"")</f>
        <v>20907.284214618976</v>
      </c>
      <c r="K13" s="26">
        <f>IFERROR(($E$34/($H$35+$H$36)*$H$35)*R36,"")</f>
        <v>41.814568429237951</v>
      </c>
      <c r="L13" s="26">
        <f>IFERROR(($E$34/($H$35+$H$36)*$H$35)*S36,"")</f>
        <v>41.814568429237951</v>
      </c>
      <c r="M13" s="28">
        <f>IFERROR(K13+L13,"")</f>
        <v>83.629136858475903</v>
      </c>
      <c r="N13" s="29">
        <f>IFERROR(O13+P13+Q13+R13+S13+T13+U13+V13,"")</f>
        <v>20823.655077760501</v>
      </c>
      <c r="O13" s="26">
        <f t="shared" ref="O13:V13" si="4">IFERROR(($E$34/($H$35+$H$36)*$H$35)*J36,"")</f>
        <v>83.629136858475903</v>
      </c>
      <c r="P13" s="26">
        <f t="shared" si="4"/>
        <v>1317.1589055209954</v>
      </c>
      <c r="Q13" s="26">
        <f t="shared" si="4"/>
        <v>15325.039329315709</v>
      </c>
      <c r="R13" s="26">
        <f t="shared" si="4"/>
        <v>4056.0131376360814</v>
      </c>
      <c r="S13" s="26">
        <f t="shared" si="4"/>
        <v>0</v>
      </c>
      <c r="T13" s="26">
        <f t="shared" si="4"/>
        <v>0</v>
      </c>
      <c r="U13" s="26">
        <f t="shared" si="4"/>
        <v>41.814568429237951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2327.7157853810263</v>
      </c>
      <c r="I14" s="27">
        <v>0</v>
      </c>
      <c r="J14" s="26">
        <f>IFERROR(H14-I14,"")</f>
        <v>2327.7157853810263</v>
      </c>
      <c r="K14" s="26">
        <f>IFERROR(($E$34/($H$35+$H$36)*$H$36)*R36,"")</f>
        <v>4.6554315707620528</v>
      </c>
      <c r="L14" s="26">
        <f>IFERROR(($E$34/($H$35+$H$36)*$H$36)*S36,"")</f>
        <v>4.6554315707620528</v>
      </c>
      <c r="M14" s="28">
        <f>IFERROR(K14+L14,"")</f>
        <v>9.3108631415241057</v>
      </c>
      <c r="N14" s="29">
        <f>IFERROR(O14+P14+Q14+R14+S14+T14+U14+V14,"")</f>
        <v>2318.4049222395024</v>
      </c>
      <c r="O14" s="26">
        <f t="shared" ref="O14:V14" si="5">IFERROR(($E$34/($H$35+$H$36)*$H$36)*J36,"")</f>
        <v>9.3108631415241057</v>
      </c>
      <c r="P14" s="26">
        <f t="shared" si="5"/>
        <v>146.64609447900466</v>
      </c>
      <c r="Q14" s="26">
        <f t="shared" si="5"/>
        <v>1706.2156706842923</v>
      </c>
      <c r="R14" s="26">
        <f t="shared" si="5"/>
        <v>451.57686236391913</v>
      </c>
      <c r="S14" s="26">
        <f t="shared" si="5"/>
        <v>0</v>
      </c>
      <c r="T14" s="26">
        <f t="shared" si="5"/>
        <v>0</v>
      </c>
      <c r="U14" s="26">
        <f t="shared" si="5"/>
        <v>4.6554315707620528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11640</v>
      </c>
      <c r="I16" s="27">
        <v>0</v>
      </c>
      <c r="J16" s="26">
        <f>IFERROR(H16-I16,"")</f>
        <v>11640</v>
      </c>
      <c r="K16" s="26">
        <f>IFERROR(($E$38/($H$39)*$H$39)*R40,"")</f>
        <v>69.84</v>
      </c>
      <c r="L16" s="26">
        <f>IFERROR(($E$38/($H$39)*$H$39)*S40,"")</f>
        <v>11.64</v>
      </c>
      <c r="M16" s="28">
        <f>IFERROR(K16+L16,"")</f>
        <v>81.48</v>
      </c>
      <c r="N16" s="29">
        <f>IFERROR(O16+P16+Q16+R16+S16+T16+U16+V16,"")</f>
        <v>11558.52</v>
      </c>
      <c r="O16" s="26">
        <f t="shared" ref="O16:V16" si="6">IFERROR(($E$38/($H$39)*$H$39)*J40,"")</f>
        <v>698.4</v>
      </c>
      <c r="P16" s="26">
        <f t="shared" si="6"/>
        <v>4306.8</v>
      </c>
      <c r="Q16" s="26">
        <f t="shared" si="6"/>
        <v>6064.4400000000005</v>
      </c>
      <c r="R16" s="26">
        <f t="shared" si="6"/>
        <v>465.6</v>
      </c>
      <c r="S16" s="26">
        <f t="shared" si="6"/>
        <v>0</v>
      </c>
      <c r="T16" s="26">
        <f t="shared" si="6"/>
        <v>0</v>
      </c>
      <c r="U16" s="26">
        <f t="shared" si="6"/>
        <v>23.28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57120.000000000007</v>
      </c>
      <c r="I19" s="37">
        <f t="shared" si="7"/>
        <v>0</v>
      </c>
      <c r="J19" s="37">
        <f t="shared" si="7"/>
        <v>57120.000000000007</v>
      </c>
      <c r="K19" s="37">
        <f t="shared" si="7"/>
        <v>205.29000000000002</v>
      </c>
      <c r="L19" s="37">
        <f t="shared" si="7"/>
        <v>80.355000000000004</v>
      </c>
      <c r="M19" s="37">
        <f t="shared" si="7"/>
        <v>285.64499999999998</v>
      </c>
      <c r="N19" s="37">
        <f t="shared" si="7"/>
        <v>56834.35500000001</v>
      </c>
      <c r="O19" s="37">
        <f t="shared" si="7"/>
        <v>1569.915</v>
      </c>
      <c r="P19" s="37">
        <f t="shared" si="7"/>
        <v>12889.005000000001</v>
      </c>
      <c r="Q19" s="37">
        <f t="shared" si="7"/>
        <v>36286.979999999996</v>
      </c>
      <c r="R19" s="37">
        <f t="shared" si="7"/>
        <v>5974.2150000000001</v>
      </c>
      <c r="S19" s="37">
        <f t="shared" si="7"/>
        <v>0</v>
      </c>
      <c r="T19" s="37">
        <f t="shared" si="7"/>
        <v>0</v>
      </c>
      <c r="U19" s="37">
        <f t="shared" si="7"/>
        <v>114.24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57120.000000000007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11985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238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238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22245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778.57500000000005</v>
      </c>
      <c r="K31" s="198">
        <f t="shared" ref="K31:S31" si="9">$E30*K32</f>
        <v>7118.4000000000005</v>
      </c>
      <c r="L31" s="198">
        <f t="shared" si="9"/>
        <v>13191.285</v>
      </c>
      <c r="M31" s="198">
        <f t="shared" si="9"/>
        <v>1001.025</v>
      </c>
      <c r="N31" s="198">
        <f t="shared" si="9"/>
        <v>0</v>
      </c>
      <c r="O31" s="198">
        <f t="shared" si="9"/>
        <v>0</v>
      </c>
      <c r="P31" s="198">
        <f t="shared" si="9"/>
        <v>44.49</v>
      </c>
      <c r="Q31" s="198">
        <f t="shared" si="9"/>
        <v>0</v>
      </c>
      <c r="R31" s="198">
        <f t="shared" si="9"/>
        <v>88.98</v>
      </c>
      <c r="S31" s="198">
        <f t="shared" si="9"/>
        <v>22.245000000000001</v>
      </c>
      <c r="T31" s="199">
        <f>SUM(J31:S31)</f>
        <v>22245.000000000004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23235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92.94</v>
      </c>
      <c r="K35" s="198">
        <f t="shared" ref="K35:S35" si="10">$E34*K36</f>
        <v>1463.8050000000001</v>
      </c>
      <c r="L35" s="198">
        <f t="shared" si="10"/>
        <v>17031.255000000001</v>
      </c>
      <c r="M35" s="198">
        <f t="shared" si="10"/>
        <v>4507.59</v>
      </c>
      <c r="N35" s="198">
        <f t="shared" si="10"/>
        <v>0</v>
      </c>
      <c r="O35" s="198">
        <f t="shared" si="10"/>
        <v>0</v>
      </c>
      <c r="P35" s="198">
        <f t="shared" si="10"/>
        <v>46.47</v>
      </c>
      <c r="Q35" s="198">
        <f t="shared" si="10"/>
        <v>0</v>
      </c>
      <c r="R35" s="198">
        <f t="shared" si="10"/>
        <v>46.47</v>
      </c>
      <c r="S35" s="198">
        <f t="shared" si="10"/>
        <v>46.47</v>
      </c>
      <c r="T35" s="199">
        <f>SUM(J35:S35)</f>
        <v>23235.000000000004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0.73299999999999998</v>
      </c>
      <c r="M36" s="197">
        <f>Inputs!D40</f>
        <v>0.19400000000000001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2E-3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698.4</v>
      </c>
      <c r="K39" s="198">
        <f t="shared" ref="K39:S39" si="11">$E38*K40</f>
        <v>4306.8</v>
      </c>
      <c r="L39" s="198">
        <f t="shared" si="11"/>
        <v>6064.4400000000005</v>
      </c>
      <c r="M39" s="198">
        <f t="shared" si="11"/>
        <v>465.6</v>
      </c>
      <c r="N39" s="198">
        <f t="shared" si="11"/>
        <v>0</v>
      </c>
      <c r="O39" s="198">
        <f t="shared" si="11"/>
        <v>0</v>
      </c>
      <c r="P39" s="198">
        <f t="shared" si="11"/>
        <v>23.28</v>
      </c>
      <c r="Q39" s="198">
        <f t="shared" si="11"/>
        <v>0</v>
      </c>
      <c r="R39" s="198">
        <f t="shared" si="11"/>
        <v>69.84</v>
      </c>
      <c r="S39" s="198">
        <f t="shared" si="11"/>
        <v>11.64</v>
      </c>
      <c r="T39" s="199">
        <f>SUM(J39:S39)</f>
        <v>11640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45809.25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600</v>
      </c>
      <c r="C27" s="222">
        <f>SUM(C13:C26)</f>
        <v>9000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E36" sqref="E3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22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1620</v>
      </c>
      <c r="Y15" s="209">
        <f>K15+M15+O15+Q15+S15+U15+W15</f>
        <v>0</v>
      </c>
      <c r="Z15" s="226">
        <f>Inputs!I35</f>
        <v>108</v>
      </c>
      <c r="AA15" s="3"/>
      <c r="AB15" s="133"/>
      <c r="AC15" s="3"/>
      <c r="AD15" s="133"/>
    </row>
    <row r="16" spans="1:30" ht="15" x14ac:dyDescent="0.25">
      <c r="A16" s="133"/>
      <c r="B16" s="133" t="s">
        <v>237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180</v>
      </c>
      <c r="Y16" s="209">
        <f>K16+M16+O16+Q16+S16+U16+W16</f>
        <v>0</v>
      </c>
      <c r="Z16" s="226">
        <f>Inputs!I36</f>
        <v>12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2700</v>
      </c>
      <c r="J20" s="133">
        <f>X20*K20</f>
        <v>180.9</v>
      </c>
      <c r="K20" s="184">
        <f>Inputs!D36</f>
        <v>6.7000000000000004E-2</v>
      </c>
      <c r="L20" s="133">
        <f t="shared" si="0"/>
        <v>1979.1</v>
      </c>
      <c r="M20" s="184">
        <f>Inputs!D39</f>
        <v>0.73299999999999998</v>
      </c>
      <c r="N20" s="133">
        <f t="shared" si="1"/>
        <v>523.80000000000007</v>
      </c>
      <c r="O20" s="184">
        <f>Inputs!D40</f>
        <v>0.19400000000000001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16.2</v>
      </c>
      <c r="W20" s="185">
        <f>Inputs!D43</f>
        <v>6.0000000000000001E-3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6.7000000000000004E-2</v>
      </c>
      <c r="L21" s="133">
        <f t="shared" si="0"/>
        <v>0</v>
      </c>
      <c r="M21" s="184">
        <f>M20</f>
        <v>0.73299999999999998</v>
      </c>
      <c r="N21" s="133">
        <f t="shared" si="1"/>
        <v>0</v>
      </c>
      <c r="O21" s="184">
        <f>O20</f>
        <v>0.19400000000000001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6.0000000000000001E-3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1913.4</v>
      </c>
      <c r="K26" s="139"/>
      <c r="L26" s="139">
        <f>SUM(L15:L25)</f>
        <v>4518</v>
      </c>
      <c r="M26" s="139"/>
      <c r="N26" s="139">
        <f>SUM(N15:N25)</f>
        <v>717.30000000000007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51.300000000000004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9000</v>
      </c>
      <c r="AC26" s="139">
        <f>H26+Z26</f>
        <v>600</v>
      </c>
      <c r="AD26" s="141">
        <f>I26+AA26</f>
        <v>0</v>
      </c>
    </row>
    <row r="30" spans="1:30" x14ac:dyDescent="0.2">
      <c r="A30" s="3" t="s">
        <v>106</v>
      </c>
      <c r="B30">
        <f>J26</f>
        <v>1913.4</v>
      </c>
    </row>
    <row r="31" spans="1:30" x14ac:dyDescent="0.2">
      <c r="A31" s="3" t="s">
        <v>107</v>
      </c>
      <c r="B31">
        <f>L26</f>
        <v>4518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717.30000000000007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51.300000000000004</v>
      </c>
    </row>
    <row r="38" spans="1:13" x14ac:dyDescent="0.2">
      <c r="A38" s="3" t="s">
        <v>127</v>
      </c>
      <c r="B38">
        <f>SUM(B30:B36)</f>
        <v>7200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4" sqref="I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238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238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F18" sqref="F1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22</v>
      </c>
      <c r="C7" s="151">
        <v>940742</v>
      </c>
      <c r="D7" s="188" t="s">
        <v>178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1447</v>
      </c>
      <c r="J7" s="189">
        <f>IF(H7="NEW",203, IF(H7="OLD",192,0))</f>
        <v>203</v>
      </c>
      <c r="K7" s="151">
        <v>1650</v>
      </c>
      <c r="L7" s="211">
        <f>IF(K7&gt;0,I7/E7,"NA")</f>
        <v>24.116666666666667</v>
      </c>
      <c r="M7" s="151">
        <v>944142</v>
      </c>
      <c r="N7" s="152" t="s">
        <v>231</v>
      </c>
      <c r="O7" s="157" t="s">
        <v>50</v>
      </c>
      <c r="P7" s="187">
        <f>IF(D7=Inputs!F$2,Inputs!I$2,IF(D7=Inputs!F$3,Inputs!I$3,IF(D7=Inputs!F$4,Inputs!I$4,IF(D7=Inputs!F$5,Inputs!I$5,"NA"))))</f>
        <v>33.892857142857146</v>
      </c>
    </row>
    <row r="8" spans="1:16" x14ac:dyDescent="0.25">
      <c r="A8" s="148">
        <v>2</v>
      </c>
      <c r="B8" s="189">
        <f>Inputs!C$2</f>
        <v>22</v>
      </c>
      <c r="C8" s="151">
        <v>940743</v>
      </c>
      <c r="D8" s="188" t="s">
        <v>178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1449</v>
      </c>
      <c r="J8" s="189">
        <f>IF(H8="NEW",203, IF(H8="OLD",192,0))</f>
        <v>203</v>
      </c>
      <c r="K8" s="151">
        <v>1652</v>
      </c>
      <c r="L8" s="211">
        <f>IF(K8&gt;0,I8/E8,"NA")</f>
        <v>24.15</v>
      </c>
      <c r="M8" s="151">
        <v>944142</v>
      </c>
      <c r="N8" s="152" t="s">
        <v>231</v>
      </c>
      <c r="O8" s="157" t="s">
        <v>50</v>
      </c>
      <c r="P8" s="187">
        <f>IF(D8=Inputs!F$2,Inputs!I$2,IF(D8=Inputs!F$3,Inputs!I$3,IF(D8=Inputs!F$4,Inputs!I$4,IF(D8=Inputs!F$5,Inputs!I$5,"NA"))))</f>
        <v>33.892857142857146</v>
      </c>
    </row>
    <row r="9" spans="1:16" x14ac:dyDescent="0.25">
      <c r="A9" s="148">
        <v>3</v>
      </c>
      <c r="B9" s="189">
        <f>Inputs!C$2</f>
        <v>22</v>
      </c>
      <c r="C9" s="151">
        <v>940744</v>
      </c>
      <c r="D9" s="188" t="s">
        <v>178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1437</v>
      </c>
      <c r="J9" s="189">
        <f>IF(H9="NEW",203, IF(H9="OLD",192,0))</f>
        <v>203</v>
      </c>
      <c r="K9" s="151">
        <v>1640</v>
      </c>
      <c r="L9" s="211">
        <f t="shared" ref="L9:L72" si="1">IF(K9&gt;0,I9/E9,"NA")</f>
        <v>23.95</v>
      </c>
      <c r="M9" s="151">
        <v>944142</v>
      </c>
      <c r="N9" s="152" t="s">
        <v>231</v>
      </c>
      <c r="O9" s="157" t="s">
        <v>50</v>
      </c>
      <c r="P9" s="187">
        <f>IF(D9=Inputs!F$2,Inputs!I$2,IF(D9=Inputs!F$3,Inputs!I$3,IF(D9=Inputs!F$4,Inputs!I$4,IF(D9=Inputs!F$5,Inputs!I$5,"NA"))))</f>
        <v>33.892857142857146</v>
      </c>
    </row>
    <row r="10" spans="1:16" x14ac:dyDescent="0.25">
      <c r="A10" s="148">
        <v>4</v>
      </c>
      <c r="B10" s="189">
        <f>Inputs!C$2</f>
        <v>22</v>
      </c>
      <c r="C10" s="151">
        <v>940745</v>
      </c>
      <c r="D10" s="188" t="s">
        <v>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1535</v>
      </c>
      <c r="J10" s="189">
        <f>IF(H10="NEW",203, IF(H10="OLD",192,0))</f>
        <v>203</v>
      </c>
      <c r="K10" s="151">
        <v>1738</v>
      </c>
      <c r="L10" s="211">
        <f t="shared" si="1"/>
        <v>25.583333333333332</v>
      </c>
      <c r="M10" s="151">
        <v>944142</v>
      </c>
      <c r="N10" s="152" t="s">
        <v>231</v>
      </c>
      <c r="O10" s="157" t="s">
        <v>50</v>
      </c>
      <c r="P10" s="187">
        <f>IF(D10=Inputs!F$2,Inputs!I$2,IF(D10=Inputs!F$3,Inputs!I$3,IF(D10=Inputs!F$4,Inputs!I$4,IF(D10=Inputs!F$5,Inputs!I$5,"NA"))))</f>
        <v>51.464285714285715</v>
      </c>
    </row>
    <row r="11" spans="1:16" x14ac:dyDescent="0.25">
      <c r="A11" s="148">
        <v>5</v>
      </c>
      <c r="B11" s="189">
        <f>Inputs!C$2</f>
        <v>22</v>
      </c>
      <c r="C11" s="151">
        <v>940746</v>
      </c>
      <c r="D11" s="188" t="s">
        <v>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1501</v>
      </c>
      <c r="J11" s="189">
        <f t="shared" ref="J11:J72" si="2">IF(H11="NEW",203, IF(H11="OLD",192,0))</f>
        <v>203</v>
      </c>
      <c r="K11" s="151">
        <v>1704</v>
      </c>
      <c r="L11" s="211">
        <f>IF(K11&gt;0,I11/E11,"NA")</f>
        <v>25.016666666666666</v>
      </c>
      <c r="M11" s="151">
        <v>944142</v>
      </c>
      <c r="N11" s="152" t="s">
        <v>231</v>
      </c>
      <c r="O11" s="157" t="s">
        <v>50</v>
      </c>
      <c r="P11" s="187">
        <f>IF(D11=Inputs!F$2,Inputs!I$2,IF(D11=Inputs!F$3,Inputs!I$3,IF(D11=Inputs!F$4,Inputs!I$4,IF(D11=Inputs!F$5,Inputs!I$5,"NA"))))</f>
        <v>51.464285714285715</v>
      </c>
    </row>
    <row r="12" spans="1:16" x14ac:dyDescent="0.25">
      <c r="A12" s="148">
        <v>6</v>
      </c>
      <c r="B12" s="189">
        <f>Inputs!C$2</f>
        <v>22</v>
      </c>
      <c r="C12" s="151">
        <v>940747</v>
      </c>
      <c r="D12" s="188" t="s">
        <v>6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1509</v>
      </c>
      <c r="J12" s="189">
        <f t="shared" si="2"/>
        <v>203</v>
      </c>
      <c r="K12" s="151">
        <v>1712</v>
      </c>
      <c r="L12" s="211">
        <f t="shared" si="1"/>
        <v>25.15</v>
      </c>
      <c r="M12" s="151">
        <v>944142</v>
      </c>
      <c r="N12" s="152" t="s">
        <v>231</v>
      </c>
      <c r="O12" s="157" t="s">
        <v>50</v>
      </c>
      <c r="P12" s="187">
        <f>IF(D12=Inputs!F$2,Inputs!I$2,IF(D12=Inputs!F$3,Inputs!I$3,IF(D12=Inputs!F$4,Inputs!I$4,IF(D12=Inputs!F$5,Inputs!I$5,"NA"))))</f>
        <v>59.892857142857146</v>
      </c>
    </row>
    <row r="13" spans="1:16" x14ac:dyDescent="0.25">
      <c r="A13" s="148">
        <v>7</v>
      </c>
      <c r="B13" s="189">
        <f>Inputs!C$2</f>
        <v>22</v>
      </c>
      <c r="C13" s="151">
        <v>940748</v>
      </c>
      <c r="D13" s="188" t="s">
        <v>6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1507</v>
      </c>
      <c r="J13" s="189">
        <f t="shared" si="2"/>
        <v>203</v>
      </c>
      <c r="K13" s="151">
        <v>1710</v>
      </c>
      <c r="L13" s="211">
        <f t="shared" si="1"/>
        <v>25.116666666666667</v>
      </c>
      <c r="M13" s="151">
        <v>944142</v>
      </c>
      <c r="N13" s="152" t="s">
        <v>231</v>
      </c>
      <c r="O13" s="157" t="s">
        <v>50</v>
      </c>
      <c r="P13" s="187">
        <f>IF(D13=Inputs!F$2,Inputs!I$2,IF(D13=Inputs!F$3,Inputs!I$3,IF(D13=Inputs!F$4,Inputs!I$4,IF(D13=Inputs!F$5,Inputs!I$5,"NA"))))</f>
        <v>59.892857142857146</v>
      </c>
    </row>
    <row r="14" spans="1:16" x14ac:dyDescent="0.25">
      <c r="A14" s="148">
        <v>8</v>
      </c>
      <c r="B14" s="189">
        <f>Inputs!C$2</f>
        <v>22</v>
      </c>
      <c r="C14" s="151">
        <v>940749</v>
      </c>
      <c r="D14" s="188" t="s">
        <v>6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1505</v>
      </c>
      <c r="J14" s="189">
        <f t="shared" si="2"/>
        <v>203</v>
      </c>
      <c r="K14" s="151">
        <v>1708</v>
      </c>
      <c r="L14" s="211">
        <f t="shared" si="1"/>
        <v>25.083333333333332</v>
      </c>
      <c r="M14" s="151">
        <v>944142</v>
      </c>
      <c r="N14" s="152" t="s">
        <v>231</v>
      </c>
      <c r="O14" s="157" t="s">
        <v>50</v>
      </c>
      <c r="P14" s="187">
        <f>IF(D14=Inputs!F$2,Inputs!I$2,IF(D14=Inputs!F$3,Inputs!I$3,IF(D14=Inputs!F$4,Inputs!I$4,IF(D14=Inputs!F$5,Inputs!I$5,"NA"))))</f>
        <v>59.892857142857146</v>
      </c>
    </row>
    <row r="15" spans="1:16" x14ac:dyDescent="0.25">
      <c r="A15" s="148">
        <v>9</v>
      </c>
      <c r="B15" s="189">
        <f>Inputs!C$2</f>
        <v>22</v>
      </c>
      <c r="C15" s="151">
        <v>940750</v>
      </c>
      <c r="D15" s="188" t="s">
        <v>235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1081</v>
      </c>
      <c r="J15" s="189">
        <f t="shared" si="2"/>
        <v>203</v>
      </c>
      <c r="K15" s="151">
        <v>1284</v>
      </c>
      <c r="L15" s="211">
        <f t="shared" si="1"/>
        <v>18.016666666666666</v>
      </c>
      <c r="M15" s="151">
        <v>944142</v>
      </c>
      <c r="N15" s="152" t="s">
        <v>231</v>
      </c>
      <c r="O15" s="157" t="s">
        <v>230</v>
      </c>
      <c r="P15" s="187">
        <f>IF(D15=Inputs!F$2,Inputs!I$2,IF(D15=Inputs!F$3,Inputs!I$3,IF(D15=Inputs!F$4,Inputs!I$4,IF(D15=Inputs!F$5,Inputs!I$5,"NA"))))</f>
        <v>20.892857142857142</v>
      </c>
    </row>
    <row r="16" spans="1:16" x14ac:dyDescent="0.25">
      <c r="A16" s="148">
        <v>10</v>
      </c>
      <c r="B16" s="189">
        <f>Inputs!C$2</f>
        <v>22</v>
      </c>
      <c r="C16" s="151">
        <v>940761</v>
      </c>
      <c r="D16" s="188" t="s">
        <v>235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1135</v>
      </c>
      <c r="J16" s="189">
        <f t="shared" si="2"/>
        <v>203</v>
      </c>
      <c r="K16" s="151">
        <v>1338</v>
      </c>
      <c r="L16" s="211">
        <f t="shared" si="1"/>
        <v>18.916666666666668</v>
      </c>
      <c r="M16" s="151">
        <v>944142</v>
      </c>
      <c r="N16" s="152" t="s">
        <v>231</v>
      </c>
      <c r="O16" s="157" t="s">
        <v>50</v>
      </c>
      <c r="P16" s="187">
        <f>IF(D16=Inputs!F$2,Inputs!I$2,IF(D16=Inputs!F$3,Inputs!I$3,IF(D16=Inputs!F$4,Inputs!I$4,IF(D16=Inputs!F$5,Inputs!I$5,"NA"))))</f>
        <v>20.892857142857142</v>
      </c>
    </row>
    <row r="17" spans="1:16" x14ac:dyDescent="0.25">
      <c r="A17" s="148">
        <v>11</v>
      </c>
      <c r="B17" s="189">
        <f>Inputs!C$2</f>
        <v>22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22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22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22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22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22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22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22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22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22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22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22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22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22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22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22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22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22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22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5" sqref="J15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22</v>
      </c>
      <c r="F2" s="166" t="s">
        <v>235</v>
      </c>
      <c r="G2" s="186">
        <v>45663</v>
      </c>
      <c r="I2" s="205">
        <f>(C$3-G2)/7</f>
        <v>20.892857142857142</v>
      </c>
      <c r="J2" s="230">
        <f>I2-19</f>
        <v>1.8928571428571423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45809.25</v>
      </c>
      <c r="D3" s="247"/>
      <c r="F3" s="166" t="s">
        <v>6</v>
      </c>
      <c r="G3" s="186">
        <v>45390</v>
      </c>
      <c r="I3" s="205">
        <f>(C$3-G3)/7</f>
        <v>59.892857142857146</v>
      </c>
      <c r="J3" s="230">
        <f>I3-19</f>
        <v>40.892857142857146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33.892857142857146</v>
      </c>
      <c r="J4" s="230">
        <f>I4-19</f>
        <v>14.892857142857146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51.464285714285715</v>
      </c>
      <c r="J5" s="230">
        <f>I5-19</f>
        <v>32.464285714285715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96</v>
      </c>
      <c r="C10" s="168">
        <v>10</v>
      </c>
      <c r="E10" s="139">
        <v>10</v>
      </c>
      <c r="F10" s="168">
        <v>100</v>
      </c>
      <c r="G10" s="168">
        <v>10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198</v>
      </c>
      <c r="C12" s="168">
        <v>22</v>
      </c>
      <c r="E12" s="139">
        <v>7</v>
      </c>
      <c r="F12" s="168">
        <v>200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110</v>
      </c>
      <c r="C16" s="168">
        <v>10</v>
      </c>
      <c r="E16" s="139">
        <v>10</v>
      </c>
      <c r="F16" s="168">
        <v>108</v>
      </c>
      <c r="G16" s="168">
        <v>10</v>
      </c>
    </row>
    <row r="17" spans="1:11" x14ac:dyDescent="0.2">
      <c r="A17" s="139">
        <v>6</v>
      </c>
      <c r="B17" s="168">
        <v>224</v>
      </c>
      <c r="C17" s="165"/>
      <c r="E17" s="139">
        <v>6</v>
      </c>
      <c r="F17" s="168">
        <v>206</v>
      </c>
      <c r="G17" s="165"/>
    </row>
    <row r="18" spans="1:11" x14ac:dyDescent="0.2">
      <c r="A18" s="139">
        <v>7</v>
      </c>
      <c r="B18" s="168">
        <v>194</v>
      </c>
      <c r="C18" s="168">
        <v>25</v>
      </c>
      <c r="E18" s="139">
        <v>7</v>
      </c>
      <c r="F18" s="168">
        <v>197</v>
      </c>
      <c r="G18" s="168">
        <v>22</v>
      </c>
    </row>
    <row r="19" spans="1:11" x14ac:dyDescent="0.2">
      <c r="A19" s="139">
        <v>11</v>
      </c>
      <c r="B19" s="168">
        <v>140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108</v>
      </c>
      <c r="C23" s="168">
        <v>10</v>
      </c>
      <c r="E23" s="139">
        <v>10</v>
      </c>
      <c r="F23" s="168">
        <v>104</v>
      </c>
      <c r="G23" s="168">
        <v>10</v>
      </c>
    </row>
    <row r="24" spans="1:11" x14ac:dyDescent="0.2">
      <c r="A24" s="139">
        <v>6</v>
      </c>
      <c r="B24" s="168">
        <v>206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204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103</v>
      </c>
      <c r="C29" s="168">
        <v>10</v>
      </c>
      <c r="E29" s="139">
        <v>10</v>
      </c>
      <c r="F29" s="203">
        <f t="shared" ref="F29:G32" si="0">B10+F10+B16+F16+B23+F23+B29</f>
        <v>729</v>
      </c>
      <c r="G29" s="203">
        <f t="shared" si="0"/>
        <v>70</v>
      </c>
      <c r="I29" s="139">
        <v>10</v>
      </c>
      <c r="J29" s="203">
        <f t="shared" ref="J29:K31" si="1">F29*15</f>
        <v>10935</v>
      </c>
      <c r="K29" s="203">
        <f t="shared" si="1"/>
        <v>1050</v>
      </c>
    </row>
    <row r="30" spans="1:11" x14ac:dyDescent="0.2">
      <c r="A30" s="139">
        <v>6</v>
      </c>
      <c r="B30" s="168">
        <v>210</v>
      </c>
      <c r="C30" s="165"/>
      <c r="E30" s="139">
        <v>6</v>
      </c>
      <c r="F30" s="203">
        <f t="shared" si="0"/>
        <v>1483</v>
      </c>
      <c r="G30" s="204">
        <f t="shared" si="0"/>
        <v>0</v>
      </c>
      <c r="I30" s="139">
        <v>6</v>
      </c>
      <c r="J30" s="203">
        <f t="shared" si="1"/>
        <v>22245</v>
      </c>
      <c r="K30" s="204">
        <f t="shared" si="1"/>
        <v>0</v>
      </c>
    </row>
    <row r="31" spans="1:11" x14ac:dyDescent="0.2">
      <c r="A31" s="139">
        <v>7</v>
      </c>
      <c r="B31" s="168">
        <v>196</v>
      </c>
      <c r="C31" s="168">
        <v>22</v>
      </c>
      <c r="E31" s="139">
        <v>7</v>
      </c>
      <c r="F31" s="203">
        <f t="shared" si="0"/>
        <v>1391</v>
      </c>
      <c r="G31" s="203">
        <f t="shared" si="0"/>
        <v>158</v>
      </c>
      <c r="I31" s="139">
        <v>7</v>
      </c>
      <c r="J31" s="203">
        <f t="shared" si="1"/>
        <v>20865</v>
      </c>
      <c r="K31" s="203">
        <f t="shared" si="1"/>
        <v>2370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776</v>
      </c>
      <c r="G32" s="204">
        <f t="shared" si="0"/>
        <v>0</v>
      </c>
      <c r="I32" s="139">
        <v>11</v>
      </c>
      <c r="J32" s="203">
        <f>F32*15</f>
        <v>11640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234</v>
      </c>
      <c r="C35" s="172" t="s">
        <v>181</v>
      </c>
      <c r="D35" s="172" t="s">
        <v>182</v>
      </c>
      <c r="E35" s="172" t="s">
        <v>180</v>
      </c>
      <c r="G35" s="245" t="s">
        <v>232</v>
      </c>
      <c r="H35" s="245"/>
      <c r="I35" s="225">
        <v>108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233</v>
      </c>
      <c r="H36" s="245"/>
      <c r="I36" s="225">
        <v>12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219</v>
      </c>
      <c r="H37" s="245"/>
      <c r="I37" s="225">
        <v>180</v>
      </c>
    </row>
    <row r="38" spans="1:9" x14ac:dyDescent="0.2">
      <c r="A38" s="172" t="s">
        <v>196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220</v>
      </c>
      <c r="H38" s="245"/>
      <c r="I38" s="225">
        <v>180</v>
      </c>
    </row>
    <row r="39" spans="1:9" x14ac:dyDescent="0.2">
      <c r="A39" s="172" t="s">
        <v>197</v>
      </c>
      <c r="B39" s="173">
        <v>0</v>
      </c>
      <c r="C39" s="173">
        <v>0.59299999999999997</v>
      </c>
      <c r="D39" s="173">
        <v>0.73299999999999998</v>
      </c>
      <c r="E39" s="173">
        <v>0.52100000000000002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222</v>
      </c>
      <c r="H40" s="245"/>
      <c r="I40" s="225">
        <v>120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7.0000000000000001E-3</v>
      </c>
      <c r="D43" s="202">
        <f>SUM(D47:D50)</f>
        <v>6.0000000000000001E-3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227</v>
      </c>
      <c r="B45" s="231">
        <f>J29+K29</f>
        <v>11985</v>
      </c>
      <c r="C45" s="231">
        <f>J30</f>
        <v>22245</v>
      </c>
      <c r="D45" s="231">
        <f>J31</f>
        <v>20865</v>
      </c>
      <c r="E45" s="231">
        <f>J32</f>
        <v>11640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2E-3</v>
      </c>
    </row>
    <row r="49" spans="1:5" x14ac:dyDescent="0.2">
      <c r="A49" s="172" t="s">
        <v>201</v>
      </c>
      <c r="B49" s="173">
        <v>0</v>
      </c>
      <c r="C49" s="173">
        <v>2E-3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235</v>
      </c>
      <c r="B4" s="3" t="s">
        <v>239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2025-06-03T13:53:05Z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