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27AA20FB-6CB3-426C-B9E3-78E33AEA5D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E38" i="2" l="1"/>
  <c r="B3" i="4"/>
  <c r="E11" i="5"/>
  <c r="J7" i="6"/>
  <c r="I11" i="6"/>
  <c r="I71" i="6"/>
  <c r="I30" i="6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G11" i="5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I33" i="6" s="1"/>
  <c r="L33" i="6" s="1"/>
  <c r="J34" i="6"/>
  <c r="I34" i="6" s="1"/>
  <c r="L34" i="6" s="1"/>
  <c r="J35" i="6"/>
  <c r="I35" i="6" s="1"/>
  <c r="L35" i="6" s="1"/>
  <c r="J36" i="6"/>
  <c r="I36" i="6" s="1"/>
  <c r="L36" i="6" s="1"/>
  <c r="J37" i="6"/>
  <c r="I37" i="6" s="1"/>
  <c r="L37" i="6" s="1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K39" i="2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<sst xmlns="http://schemas.openxmlformats.org/spreadsheetml/2006/main" count="504" uniqueCount="237">
  <si>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</si>
  <si>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</si>
  <si>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</si>
  <si>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</si>
  <si>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</si>
  <si>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</si>
  <si>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</si>
  <si>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</si>
  <si>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</si>
  <si>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</si>
  <si>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</si>
  <si>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</si>
  <si>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</si>
  <si>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</si>
  <si>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</si>
  <si>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</si>
  <si>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</si>
  <si>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</si>
  <si>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</si>
  <si>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</si>
  <si>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</si>
  <si>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</si>
  <si>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</si>
  <si>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</si>
  <si>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</si>
  <si>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</si>
  <si>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</si>
  <si>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</si>
  <si>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</si>
  <si>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</si>
  <si>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</si>
  <si>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</si>
  <si>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</si>
  <si>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</si>
  <si>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</si>
  <si>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</si>
  <si>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</si>
  <si>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</si>
  <si>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</si>
  <si>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</si>
  <si>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</si>
  <si>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</si>
  <si>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</si>
  <si>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</si>
  <si>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</si>
  <si>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</si>
  <si>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</si>
  <si>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</si>
  <si>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</si>
  <si>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</si>
  <si>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</si>
  <si>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</si>
  <si>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</si>
  <si>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</si>
  <si>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</si>
  <si>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</si>
  <si>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</si>
  <si>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</si>
  <si>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</si>
  <si>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</si>
  <si>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</si>
  <si>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</si>
  <si>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</si>
  <si>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</si>
  <si>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</si>
  <si>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</si>
  <si>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</si>
  <si>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</si>
  <si>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</si>
  <si>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</si>
  <si>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</si>
  <si>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</si>
  <si>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</si>
  <si>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</si>
  <si>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</si>
  <si>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</si>
  <si>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</si>
  <si>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</si>
  <si>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</si>
  <si>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</si>
  <si>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</si>
  <si>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</si>
  <si>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</si>
  <si>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</si>
  <si>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</si>
  <si>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</si>
  <si>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</si>
  <si>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</si>
  <si>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</si>
  <si>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</si>
  <si>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</si>
  <si>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</si>
  <si>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</si>
  <si>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</si>
  <si>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</si>
  <si>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</si>
  <si>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</si>
  <si>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</si>
  <si>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</si>
  <si>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</si>
  <si>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</si>
  <si>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</si>
  <si>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</si>
  <si>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</si>
  <si>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</si>
  <si>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</si>
  <si>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</si>
  <si>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</si>
  <si>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</si>
  <si>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</si>
  <si>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</si>
  <si>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</si>
  <si>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</si>
  <si>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</si>
  <si>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</si>
  <si>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</si>
  <si>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</si>
  <si>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</si>
  <si>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</si>
  <si>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</si>
  <si>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</si>
  <si>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</si>
  <si>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</si>
  <si>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</si>
  <si>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</si>
  <si>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</si>
  <si>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</si>
  <si>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</si>
  <si>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</si>
  <si>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</si>
  <si>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</si>
  <si>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</si>
  <si>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</si>
  <si>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</si>
  <si>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</si>
  <si>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</si>
  <si>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</si>
  <si>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</si>
  <si>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</si>
  <si>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</si>
  <si>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</si>
  <si>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</si>
  <si>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</si>
  <si>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</si>
  <si>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</si>
  <si>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</si>
  <si>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</si>
  <si>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</si>
  <si>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</si>
  <si>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</si>
  <si>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</si>
  <si>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</si>
  <si>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</si>
  <si>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</si>
  <si>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</si>
  <si>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</si>
  <si>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</si>
  <si>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</si>
  <si>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</si>
  <si>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</si>
  <si>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</si>
  <si>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</si>
  <si>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</si>
  <si>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</si>
  <si>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</si>
  <si>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</si>
  <si>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</si>
  <si>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</si>
  <si>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</si>
  <si>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</si>
  <si>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</si>
  <si>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</si>
  <si>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</si>
  <si>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</si>
  <si>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</si>
  <si>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</si>
  <si>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</si>
  <si>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</si>
  <si>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</si>
  <si>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</si>
  <si>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</si>
  <si>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</si>
  <si>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</si>
  <si>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</si>
  <si>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</si>
  <si>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</si>
  <si>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</si>
  <si>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</si>
  <si>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</si>
  <si>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</si>
  <si>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</si>
  <si>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</si>
  <si>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</si>
  <si>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</si>
  <si>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</si>
  <si>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</si>
  <si>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</si>
  <si>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</si>
  <si>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</si>
  <si>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</si>
  <si>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</si>
  <si>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</si>
  <si>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</si>
  <si>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</si>
  <si>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</si>
  <si>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</si>
  <si>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</si>
  <si>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</si>
  <si>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</si>
  <si>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</si>
  <si>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</si>
  <si>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</si>
  <si>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</si>
  <si>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</si>
  <si>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</si>
  <si>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</si>
  <si>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</si>
  <si>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</si>
  <si>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</si>
  <si>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</si>
  <si>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</si>
  <si>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</si>
  <si>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</si>
  <si>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</si>
  <si>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</si>
  <si>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</si>
  <si>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</si>
  <si>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</si>
  <si>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</si>
  <si>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</si>
  <si>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</si>
  <si>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</si>
  <si>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</si>
  <si>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</si>
  <si>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Mix</t>
  </si>
  <si>
    <t>Nico Eyking</t>
  </si>
  <si>
    <t>Oct 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</si>
</sst>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E39" sqref="E39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43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45956.25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218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28004.999999999996</v>
      </c>
      <c r="I7" s="27">
        <v>0</v>
      </c>
      <c r="J7" s="26">
        <f>IFERROR(H7-I7,"")</f>
        <v>28004.999999999996</v>
      </c>
      <c r="K7" s="26">
        <f>IFERROR(($E$26/($H$27+$H$28)*$H$27)*R28,"")</f>
        <v>196.035</v>
      </c>
      <c r="L7" s="26">
        <f>IFERROR(($E$26/($H$27+$H$28)*$H$27)*S28,"")</f>
        <v>28.004999999999999</v>
      </c>
      <c r="M7" s="28">
        <f>IFERROR(K7+L7,"")</f>
        <v>224.04</v>
      </c>
      <c r="N7" s="29">
        <f>IFERROR(O7+P7+Q7+R7+S7+T7+U7+V7,"")</f>
        <v>27780.959999999995</v>
      </c>
      <c r="O7" s="26">
        <f t="shared" ref="O7:V7" si="0">IFERROR(($E$26/($H$27+$H$28)*$H$27)*J28,"")</f>
        <v>672.12</v>
      </c>
      <c r="P7" s="26">
        <f t="shared" si="0"/>
        <v>5292.9449999999997</v>
      </c>
      <c r="Q7" s="26">
        <f t="shared" si="0"/>
        <v>19351.454999999998</v>
      </c>
      <c r="R7" s="26">
        <f t="shared" si="0"/>
        <v>2380.4250000000002</v>
      </c>
      <c r="S7" s="26">
        <f t="shared" si="0"/>
        <v>0</v>
      </c>
      <c r="T7" s="26">
        <f t="shared" si="0"/>
        <v>0</v>
      </c>
      <c r="U7" s="26">
        <f t="shared" si="0"/>
        <v>84.015000000000001</v>
      </c>
      <c r="V7" s="26">
        <f t="shared" si="0"/>
        <v>0</v>
      </c>
    </row>
    <row r="8" spans="1:22" x14ac:dyDescent="0.2">
      <c r="A8" s="3" t="s">
        <v>218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219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20617.604791199621</v>
      </c>
      <c r="I10" s="27">
        <v>0</v>
      </c>
      <c r="J10" s="26">
        <f>IFERROR(H10-I10,"")</f>
        <v>20617.604791199621</v>
      </c>
      <c r="K10" s="26">
        <f>IFERROR(($E$30/($H$31+$H$32)*$H$31)*R32,"")</f>
        <v>144.32323353839737</v>
      </c>
      <c r="L10" s="26">
        <f>IFERROR(($E$30/($H$31+$H$32)*$H$31)*S32,"")</f>
        <v>20.617604791199625</v>
      </c>
      <c r="M10" s="28">
        <f>IFERROR(K10+L10,"")</f>
        <v>164.940838329597</v>
      </c>
      <c r="N10" s="29">
        <f>IFERROR(O10+P10+Q10+R10+S10+T10+U10+V10,"")</f>
        <v>20452.663952870025</v>
      </c>
      <c r="O10" s="26">
        <f t="shared" ref="O10:V10" si="2">IFERROR(($E$30/($H$31+$H$32)*$H$31)*J32,"")</f>
        <v>907.17461081278338</v>
      </c>
      <c r="P10" s="26">
        <f t="shared" si="2"/>
        <v>6164.6638325686872</v>
      </c>
      <c r="Q10" s="26">
        <f t="shared" si="2"/>
        <v>12267.474850763776</v>
      </c>
      <c r="R10" s="26">
        <f t="shared" si="2"/>
        <v>1072.1154491423804</v>
      </c>
      <c r="S10" s="26">
        <f t="shared" si="2"/>
        <v>0</v>
      </c>
      <c r="T10" s="26">
        <f t="shared" si="2"/>
        <v>0</v>
      </c>
      <c r="U10" s="26">
        <f t="shared" si="2"/>
        <v>41.23520958239925</v>
      </c>
      <c r="V10" s="26">
        <f t="shared" si="2"/>
        <v>0</v>
      </c>
    </row>
    <row r="11" spans="1:22" x14ac:dyDescent="0.2">
      <c r="A11" s="3" t="s">
        <v>219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2287.3952088003748</v>
      </c>
      <c r="I11" s="27">
        <v>0</v>
      </c>
      <c r="J11" s="26">
        <f>IFERROR(H11-I11,"")</f>
        <v>2287.3952088003748</v>
      </c>
      <c r="K11" s="26">
        <f>IFERROR(($E$30/($H$31+$H$32)*$H$32)*R32,"")</f>
        <v>16.011766461602626</v>
      </c>
      <c r="L11" s="26">
        <f>IFERROR(($E$30/($H$31+$H$32)*$H$32)*S32,"")</f>
        <v>2.2873952088003753</v>
      </c>
      <c r="M11" s="28">
        <f>IFERROR(K11+L11,"")</f>
        <v>18.299161670403002</v>
      </c>
      <c r="N11" s="29">
        <f>IFERROR(O11+P11+Q11+R11+S11+T11+U11+V11,"")</f>
        <v>2269.0960471299718</v>
      </c>
      <c r="O11" s="26">
        <f t="shared" ref="O11:V11" si="3">IFERROR(($E$30/($H$31+$H$32)*$H$32)*J32,"")</f>
        <v>100.64538918721651</v>
      </c>
      <c r="P11" s="26">
        <f t="shared" si="3"/>
        <v>683.93116743131213</v>
      </c>
      <c r="Q11" s="26">
        <f t="shared" si="3"/>
        <v>1361.0001492362233</v>
      </c>
      <c r="R11" s="26">
        <f t="shared" si="3"/>
        <v>118.9445508576195</v>
      </c>
      <c r="S11" s="26">
        <f t="shared" si="3"/>
        <v>0</v>
      </c>
      <c r="T11" s="26">
        <f t="shared" si="3"/>
        <v>0</v>
      </c>
      <c r="U11" s="26">
        <f t="shared" si="3"/>
        <v>4.5747904176007506</v>
      </c>
      <c r="V11" s="26">
        <f t="shared" si="3"/>
        <v>0</v>
      </c>
    </row>
    <row r="13" spans="1:22" x14ac:dyDescent="0.2">
      <c r="A13" s="3" t="s">
        <v>220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15954.393862941124</v>
      </c>
      <c r="I13" s="27">
        <v>0</v>
      </c>
      <c r="J13" s="26">
        <f>IFERROR(H13-I13,"")</f>
        <v>15954.393862941124</v>
      </c>
      <c r="K13" s="26">
        <f>IFERROR(($E$34/($H$35+$H$36)*$H$35)*R36,"")</f>
        <v>47.863181588823366</v>
      </c>
      <c r="L13" s="26">
        <f>IFERROR(($E$34/($H$35+$H$36)*$H$35)*S36,"")</f>
        <v>31.908787725882245</v>
      </c>
      <c r="M13" s="28">
        <f>IFERROR(K13+L13,"")</f>
        <v>79.771969314705615</v>
      </c>
      <c r="N13" s="29">
        <f>IFERROR(O13+P13+Q13+R13+S13+T13+U13+V13,"")</f>
        <v>15874.621893626418</v>
      </c>
      <c r="O13" s="26">
        <f t="shared" ref="O13:V13" si="4">IFERROR(($E$34/($H$35+$H$36)*$H$35)*J36,"")</f>
        <v>1260.3971151723488</v>
      </c>
      <c r="P13" s="26">
        <f t="shared" si="4"/>
        <v>5839.3081538364504</v>
      </c>
      <c r="Q13" s="26">
        <f t="shared" si="4"/>
        <v>8152.6952639629135</v>
      </c>
      <c r="R13" s="26">
        <f t="shared" si="4"/>
        <v>590.31257292882151</v>
      </c>
      <c r="S13" s="26">
        <f t="shared" si="4"/>
        <v>0</v>
      </c>
      <c r="T13" s="26">
        <f t="shared" si="4"/>
        <v>0</v>
      </c>
      <c r="U13" s="26">
        <f t="shared" si="4"/>
        <v>31.908787725882245</v>
      </c>
      <c r="V13" s="26">
        <f t="shared" si="4"/>
        <v>0</v>
      </c>
    </row>
    <row r="14" spans="1:22" x14ac:dyDescent="0.2">
      <c r="A14" s="3" t="s">
        <v>220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1070.6061370588793</v>
      </c>
      <c r="I14" s="27">
        <v>0</v>
      </c>
      <c r="J14" s="26">
        <f>IFERROR(H14-I14,"")</f>
        <v>1070.6061370588793</v>
      </c>
      <c r="K14" s="26">
        <f>IFERROR(($E$34/($H$35+$H$36)*$H$36)*R36,"")</f>
        <v>3.2118184111766381</v>
      </c>
      <c r="L14" s="26">
        <f>IFERROR(($E$34/($H$35+$H$36)*$H$36)*S36,"")</f>
        <v>2.1412122741177586</v>
      </c>
      <c r="M14" s="28">
        <f>IFERROR(K14+L14,"")</f>
        <v>5.3530306852943967</v>
      </c>
      <c r="N14" s="29">
        <f>IFERROR(O14+P14+Q14+R14+S14+T14+U14+V14,"")</f>
        <v>1065.2531063735848</v>
      </c>
      <c r="O14" s="26">
        <f t="shared" ref="O14:V14" si="5">IFERROR(($E$34/($H$35+$H$36)*$H$36)*J36,"")</f>
        <v>84.577884827651459</v>
      </c>
      <c r="P14" s="26">
        <f t="shared" si="5"/>
        <v>391.8418461635498</v>
      </c>
      <c r="Q14" s="26">
        <f t="shared" si="5"/>
        <v>547.07973603708729</v>
      </c>
      <c r="R14" s="26">
        <f t="shared" si="5"/>
        <v>39.61242707117853</v>
      </c>
      <c r="S14" s="26">
        <f t="shared" si="5"/>
        <v>0</v>
      </c>
      <c r="T14" s="26">
        <f t="shared" si="5"/>
        <v>0</v>
      </c>
      <c r="U14" s="26">
        <f t="shared" si="5"/>
        <v>2.1412122741177586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222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67934.999999999985</v>
      </c>
      <c r="I19" s="37">
        <f t="shared" si="7"/>
        <v>0</v>
      </c>
      <c r="J19" s="37">
        <f t="shared" si="7"/>
        <v>67934.999999999985</v>
      </c>
      <c r="K19" s="37">
        <f t="shared" si="7"/>
        <v>407.44499999999999</v>
      </c>
      <c r="L19" s="37">
        <f t="shared" si="7"/>
        <v>84.960000000000008</v>
      </c>
      <c r="M19" s="37">
        <f t="shared" si="7"/>
        <v>492.40500000000003</v>
      </c>
      <c r="N19" s="37">
        <f t="shared" si="7"/>
        <v>67442.594999999987</v>
      </c>
      <c r="O19" s="37">
        <f t="shared" si="7"/>
        <v>3024.915</v>
      </c>
      <c r="P19" s="37">
        <f t="shared" si="7"/>
        <v>18372.689999999999</v>
      </c>
      <c r="Q19" s="37">
        <f t="shared" si="7"/>
        <v>41679.704999999994</v>
      </c>
      <c r="R19" s="37">
        <f t="shared" si="7"/>
        <v>4201.4100000000008</v>
      </c>
      <c r="S19" s="37">
        <f t="shared" si="7"/>
        <v>0</v>
      </c>
      <c r="T19" s="37">
        <f t="shared" si="7"/>
        <v>0</v>
      </c>
      <c r="U19" s="37">
        <f t="shared" si="7"/>
        <v>163.87499999999997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67934.999999999985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28005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218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49130</v>
      </c>
      <c r="I27" s="26"/>
      <c r="J27" s="198">
        <f t="shared" ref="J27:S27" si="8">$E26*J28</f>
        <v>672.12</v>
      </c>
      <c r="K27" s="198">
        <f t="shared" si="8"/>
        <v>5292.9449999999997</v>
      </c>
      <c r="L27" s="198">
        <f t="shared" si="8"/>
        <v>19351.454999999998</v>
      </c>
      <c r="M27" s="198">
        <f t="shared" si="8"/>
        <v>2380.4250000000002</v>
      </c>
      <c r="N27" s="198">
        <f t="shared" si="8"/>
        <v>0</v>
      </c>
      <c r="O27" s="198">
        <f t="shared" si="8"/>
        <v>0</v>
      </c>
      <c r="P27" s="198">
        <f t="shared" si="8"/>
        <v>84.015000000000001</v>
      </c>
      <c r="Q27" s="198">
        <f t="shared" si="8"/>
        <v>0</v>
      </c>
      <c r="R27" s="198">
        <f t="shared" si="8"/>
        <v>196.035</v>
      </c>
      <c r="S27" s="198">
        <f t="shared" si="8"/>
        <v>28.004999999999999</v>
      </c>
      <c r="T27" s="199">
        <f>SUM(J27:S27)</f>
        <v>28004.999999999996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2.4E-2</v>
      </c>
      <c r="K28" s="197">
        <f>Inputs!B38</f>
        <v>0.189</v>
      </c>
      <c r="L28" s="197">
        <f>Inputs!B39</f>
        <v>0.69099999999999995</v>
      </c>
      <c r="M28" s="197">
        <f>Inputs!B40</f>
        <v>8.5000000000000006E-2</v>
      </c>
      <c r="N28" s="197">
        <f>Inputs!B41</f>
        <v>0</v>
      </c>
      <c r="O28" s="197">
        <v>0</v>
      </c>
      <c r="P28" s="197">
        <f>Inputs!B49</f>
        <v>3.0000000000000001E-3</v>
      </c>
      <c r="Q28" s="197">
        <f>Inputs!B42</f>
        <v>0</v>
      </c>
      <c r="R28" s="197">
        <f>Inputs!B48+Inputs!B50</f>
        <v>7.0000000000000001E-3</v>
      </c>
      <c r="S28" s="197">
        <f>Inputs!B47</f>
        <v>1E-3</v>
      </c>
      <c r="T28" s="200">
        <f>SUM(J28:S28)</f>
        <v>0.99999999999999989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22905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219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34531</v>
      </c>
      <c r="I31" s="30"/>
      <c r="J31" s="198">
        <f t="shared" ref="J31:S31" si="9">$E30*J32</f>
        <v>1007.8199999999999</v>
      </c>
      <c r="K31" s="198">
        <f t="shared" si="9"/>
        <v>6848.5949999999993</v>
      </c>
      <c r="L31" s="198">
        <f t="shared" si="9"/>
        <v>13628.474999999999</v>
      </c>
      <c r="M31" s="198">
        <f t="shared" si="9"/>
        <v>1191.06</v>
      </c>
      <c r="N31" s="198">
        <f t="shared" si="9"/>
        <v>0</v>
      </c>
      <c r="O31" s="198">
        <f t="shared" si="9"/>
        <v>0</v>
      </c>
      <c r="P31" s="198">
        <f t="shared" si="9"/>
        <v>45.81</v>
      </c>
      <c r="Q31" s="198">
        <f t="shared" si="9"/>
        <v>0</v>
      </c>
      <c r="R31" s="198">
        <f t="shared" si="9"/>
        <v>160.33500000000001</v>
      </c>
      <c r="S31" s="198">
        <f t="shared" si="9"/>
        <v>22.905000000000001</v>
      </c>
      <c r="T31" s="199">
        <f>SUM(J31:S31)</f>
        <v>22905</v>
      </c>
    </row>
    <row r="32" spans="1:22" x14ac:dyDescent="0.2">
      <c r="A32" s="3" t="s">
        <v>219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3831</v>
      </c>
      <c r="I32" s="30"/>
      <c r="J32" s="197">
        <f>Inputs!C37</f>
        <v>4.3999999999999997E-2</v>
      </c>
      <c r="K32" s="197">
        <f>Inputs!C38</f>
        <v>0.29899999999999999</v>
      </c>
      <c r="L32" s="197">
        <f>Inputs!C39</f>
        <v>0.59499999999999997</v>
      </c>
      <c r="M32" s="197">
        <f>Inputs!C40</f>
        <v>5.1999999999999998E-2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7.0000000000000001E-3</v>
      </c>
      <c r="S32" s="197">
        <f>Inputs!C47</f>
        <v>1E-3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221</v>
      </c>
      <c r="B34" s="51"/>
      <c r="C34" s="51"/>
      <c r="D34" s="51"/>
      <c r="E34" s="208">
        <f>Inputs!J31+Inputs!K31</f>
        <v>17025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220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29715</v>
      </c>
      <c r="I35" s="30"/>
      <c r="J35" s="198">
        <f t="shared" ref="J35:S35" si="10">$E$34*J36</f>
        <v>1344.9749999999999</v>
      </c>
      <c r="K35" s="198">
        <f t="shared" si="10"/>
        <v>6231.15</v>
      </c>
      <c r="L35" s="198">
        <f t="shared" si="10"/>
        <v>8699.7749999999996</v>
      </c>
      <c r="M35" s="198">
        <f t="shared" si="10"/>
        <v>629.92499999999995</v>
      </c>
      <c r="N35" s="198">
        <f t="shared" si="10"/>
        <v>0</v>
      </c>
      <c r="O35" s="198">
        <f t="shared" si="10"/>
        <v>0</v>
      </c>
      <c r="P35" s="198">
        <f t="shared" si="10"/>
        <v>34.049999999999997</v>
      </c>
      <c r="Q35" s="198">
        <f t="shared" si="10"/>
        <v>0</v>
      </c>
      <c r="R35" s="198">
        <f t="shared" si="10"/>
        <v>51.075000000000003</v>
      </c>
      <c r="S35" s="198">
        <f t="shared" si="10"/>
        <v>34.049999999999997</v>
      </c>
      <c r="T35" s="199">
        <f>SUM(J35:S35)</f>
        <v>17025</v>
      </c>
    </row>
    <row r="36" spans="1:20" x14ac:dyDescent="0.2">
      <c r="A36" s="3" t="s">
        <v>220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1994</v>
      </c>
      <c r="I36" s="30"/>
      <c r="J36" s="197">
        <f>Inputs!D37</f>
        <v>7.9000000000000001E-2</v>
      </c>
      <c r="K36" s="197">
        <f>Inputs!D38</f>
        <v>0.36599999999999999</v>
      </c>
      <c r="L36" s="197">
        <f>Inputs!D39</f>
        <v>0.51100000000000001</v>
      </c>
      <c r="M36" s="197">
        <f>Inputs!D40</f>
        <v>3.6999999999999998E-2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Inputs!D50+Inputs!D48</f>
        <v>3.0000000000000001E-3</v>
      </c>
      <c r="S36" s="197">
        <f>Inputs!D47</f>
        <v>2E-3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222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24850</v>
      </c>
      <c r="I39" s="30"/>
      <c r="J39" s="198">
        <f t="shared" ref="J39:S39" si="11">$E38*J40</f>
        <v>0</v>
      </c>
      <c r="K39" s="198">
        <f t="shared" si="11"/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B4" sqref="B4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45956.25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Nico Eyking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780</v>
      </c>
      <c r="C13" s="220">
        <f>'Grade out Information'!X26</f>
        <v>11700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840</v>
      </c>
      <c r="C27" s="222">
        <f>SUM(C13:C26)</f>
        <v>12600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E12" sqref="E12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43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225</v>
      </c>
      <c r="C15" s="133"/>
      <c r="D15" s="133"/>
      <c r="E15" s="133"/>
      <c r="F15" s="133"/>
      <c r="G15" s="133"/>
      <c r="H15" s="133"/>
      <c r="I15" s="133">
        <f>J15+L15+N15+P15+R15+T15+V15</f>
        <v>4500</v>
      </c>
      <c r="J15" s="133">
        <f>X15*K15</f>
        <v>958.5</v>
      </c>
      <c r="K15" s="184">
        <f>Inputs!B36</f>
        <v>0.21299999999999999</v>
      </c>
      <c r="L15" s="133">
        <f>X15*M15</f>
        <v>3109.4999999999995</v>
      </c>
      <c r="M15" s="184">
        <f>Inputs!B39</f>
        <v>0.69099999999999995</v>
      </c>
      <c r="N15" s="133">
        <f>X15*O15</f>
        <v>382.5</v>
      </c>
      <c r="O15" s="184">
        <f>Inputs!B40</f>
        <v>8.5000000000000006E-2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49.5</v>
      </c>
      <c r="W15" s="185">
        <f>Inputs!B43</f>
        <v>1.0999999999999999E-2</v>
      </c>
      <c r="X15" s="213">
        <f>Z15*15</f>
        <v>4500</v>
      </c>
      <c r="Y15" s="209">
        <f>K15+M15+O15+Q15+S15+U15+W15</f>
        <v>0.99999999999999989</v>
      </c>
      <c r="Z15" s="226">
        <f>Inputs!I35</f>
        <v>300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226</v>
      </c>
      <c r="C17" s="133"/>
      <c r="D17" s="133"/>
      <c r="E17" s="133"/>
      <c r="F17" s="133"/>
      <c r="G17" s="133"/>
      <c r="H17" s="133"/>
      <c r="I17" s="133">
        <f>J17+L17+N17+P17+R17+T17+V17</f>
        <v>3119.9999999999991</v>
      </c>
      <c r="J17" s="133">
        <f>X17*K17</f>
        <v>1070.1599999999999</v>
      </c>
      <c r="K17" s="184">
        <f>Inputs!C36</f>
        <v>0.34299999999999997</v>
      </c>
      <c r="L17" s="133">
        <f>X17*M17</f>
        <v>1856.3999999999999</v>
      </c>
      <c r="M17" s="184">
        <f>Inputs!C39</f>
        <v>0.59499999999999997</v>
      </c>
      <c r="N17" s="133">
        <f>X17*O17</f>
        <v>162.23999999999998</v>
      </c>
      <c r="O17" s="184">
        <f>Inputs!C40</f>
        <v>5.1999999999999998E-2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31.2</v>
      </c>
      <c r="W17" s="185">
        <f>Inputs!C43</f>
        <v>0.01</v>
      </c>
      <c r="X17" s="213">
        <f>Z17*15</f>
        <v>3120</v>
      </c>
      <c r="Y17" s="209">
        <f>K17+M17+O17+Q17+S17+U17+W17</f>
        <v>1</v>
      </c>
      <c r="Z17" s="226">
        <f>Inputs!I36</f>
        <v>208</v>
      </c>
      <c r="AA17" s="3"/>
      <c r="AB17" s="133"/>
      <c r="AC17" s="3"/>
      <c r="AD17" s="133"/>
    </row>
    <row r="18" spans="1:30" ht="15" x14ac:dyDescent="0.25">
      <c r="A18" s="133"/>
      <c r="B18" s="133" t="s">
        <v>227</v>
      </c>
      <c r="C18" s="133"/>
      <c r="D18" s="133"/>
      <c r="E18" s="133"/>
      <c r="F18" s="133"/>
      <c r="G18" s="133"/>
      <c r="H18" s="133"/>
      <c r="I18" s="133">
        <f>J18+L18+N18+P18+R18+T18+V18</f>
        <v>1379.9999999999998</v>
      </c>
      <c r="J18" s="133">
        <f>X18*K18</f>
        <v>473.34</v>
      </c>
      <c r="K18" s="184">
        <f>K17</f>
        <v>0.34299999999999997</v>
      </c>
      <c r="L18" s="133">
        <f>X18*M18</f>
        <v>821.09999999999991</v>
      </c>
      <c r="M18" s="184">
        <f>M17</f>
        <v>0.59499999999999997</v>
      </c>
      <c r="N18" s="133">
        <f>X18*O18</f>
        <v>71.759999999999991</v>
      </c>
      <c r="O18" s="184">
        <f>O17</f>
        <v>5.1999999999999998E-2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13.8</v>
      </c>
      <c r="W18" s="185">
        <f>W17</f>
        <v>0.01</v>
      </c>
      <c r="X18" s="213">
        <f>Z18*15</f>
        <v>1380</v>
      </c>
      <c r="Y18" s="209">
        <f>K18+M18+O18+Q18+S18+U18+W18</f>
        <v>1</v>
      </c>
      <c r="Z18" s="226">
        <f>Inputs!I37</f>
        <v>92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223</v>
      </c>
      <c r="C20" s="133"/>
      <c r="D20" s="133"/>
      <c r="E20" s="133"/>
      <c r="F20" s="133"/>
      <c r="G20" s="133"/>
      <c r="H20" s="133"/>
      <c r="I20" s="133">
        <f>J20+L20+N20+P20+R20+T20+V20</f>
        <v>2700</v>
      </c>
      <c r="J20" s="133">
        <f>X20*K20</f>
        <v>1201.5</v>
      </c>
      <c r="K20" s="184">
        <f>Inputs!D36</f>
        <v>0.44500000000000001</v>
      </c>
      <c r="L20" s="133">
        <f>X20*M20</f>
        <v>1379.7</v>
      </c>
      <c r="M20" s="184">
        <f>Inputs!D39</f>
        <v>0.51100000000000001</v>
      </c>
      <c r="N20" s="133">
        <f>X20*O20</f>
        <v>99.899999999999991</v>
      </c>
      <c r="O20" s="184">
        <f>Inputs!D40</f>
        <v>3.6999999999999998E-2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18.900000000000002</v>
      </c>
      <c r="W20" s="185">
        <f>Inputs!D43</f>
        <v>7.0000000000000001E-3</v>
      </c>
      <c r="X20" s="213">
        <f>Z20*15</f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224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0.44500000000000001</v>
      </c>
      <c r="L21" s="133">
        <f>X21*M21</f>
        <v>0</v>
      </c>
      <c r="M21" s="184">
        <f>M20</f>
        <v>0.51100000000000001</v>
      </c>
      <c r="N21" s="133">
        <f>X21*O21</f>
        <v>0</v>
      </c>
      <c r="O21" s="184">
        <f>O20</f>
        <v>3.6999999999999998E-2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7.0000000000000001E-3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228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</v>
      </c>
      <c r="L23" s="133">
        <f>X23*M23</f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>X23*Q23</f>
        <v>0</v>
      </c>
      <c r="Q23" s="184">
        <f>Inputs!E41</f>
        <v>0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0</v>
      </c>
      <c r="X23" s="213">
        <f>Z23*15</f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3703.5</v>
      </c>
      <c r="K26" s="139"/>
      <c r="L26" s="139">
        <f>SUM(L15:L25)</f>
        <v>7166.7</v>
      </c>
      <c r="M26" s="139"/>
      <c r="N26" s="139">
        <f>SUM(N15:N25)</f>
        <v>716.4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113.4</v>
      </c>
      <c r="W26" s="139"/>
      <c r="X26" s="139">
        <f>SUM(X15:X25)</f>
        <v>11700</v>
      </c>
      <c r="Y26" s="139"/>
      <c r="Z26" s="139">
        <f>SUM(Z15:Z25)</f>
        <v>780</v>
      </c>
      <c r="AA26" s="141">
        <f>IF(Z33=0,0,Z33/(H33+Z33))</f>
        <v>0</v>
      </c>
      <c r="AB26" s="139">
        <f>G26+X26</f>
        <v>12600</v>
      </c>
      <c r="AC26" s="139">
        <f>H26+Z26</f>
        <v>840</v>
      </c>
      <c r="AD26" s="141">
        <f>I26+AA26</f>
        <v>0</v>
      </c>
    </row>
    <row r="30" spans="1:30" x14ac:dyDescent="0.2">
      <c r="A30" s="3" t="s">
        <v>100</v>
      </c>
      <c r="B30">
        <f>J26</f>
        <v>3703.5</v>
      </c>
    </row>
    <row r="31" spans="1:30" x14ac:dyDescent="0.2">
      <c r="A31" s="3" t="s">
        <v>101</v>
      </c>
      <c r="B31">
        <f>L26</f>
        <v>7166.7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716.4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113.4</v>
      </c>
    </row>
    <row r="38" spans="1:13" x14ac:dyDescent="0.2">
      <c r="A38" s="3" t="s">
        <v>119</v>
      </c>
      <c r="B38">
        <f>SUM(B30:B36)</f>
        <v>11700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218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49130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219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34531</v>
      </c>
    </row>
    <row r="6" spans="1:9" x14ac:dyDescent="0.2">
      <c r="A6" s="3" t="s">
        <v>219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3831</v>
      </c>
      <c r="I6" s="30"/>
    </row>
    <row r="7" spans="1:9" ht="15" x14ac:dyDescent="0.2">
      <c r="I7" s="58"/>
    </row>
    <row r="8" spans="1:9" x14ac:dyDescent="0.2">
      <c r="A8" s="3" t="s">
        <v>220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29715</v>
      </c>
      <c r="I8" s="25"/>
    </row>
    <row r="9" spans="1:9" x14ac:dyDescent="0.2">
      <c r="A9" s="3" t="s">
        <v>220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1994</v>
      </c>
    </row>
    <row r="10" spans="1:9" x14ac:dyDescent="0.2">
      <c r="H10" s="195"/>
      <c r="I10" s="30"/>
    </row>
    <row r="11" spans="1:9" ht="15" x14ac:dyDescent="0.2">
      <c r="A11" s="3" t="s">
        <v>222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24850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2" sqref="N2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43</v>
      </c>
      <c r="C7" s="151">
        <v>941154</v>
      </c>
      <c r="D7" s="188" t="s">
        <v>168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1485</v>
      </c>
      <c r="J7" s="189">
        <f>IF(H7="NEW",203, IF(H7="OLD",192,0))</f>
        <v>203</v>
      </c>
      <c r="K7" s="151">
        <v>1688</v>
      </c>
      <c r="L7" s="211">
        <f>IF(K7&gt;0,I7/E7,"NA")</f>
        <v>24.75</v>
      </c>
      <c r="M7" s="151">
        <v>135216</v>
      </c>
      <c r="N7" s="152" t="s">
        <v>236</v>
      </c>
      <c r="O7" s="157" t="s">
        <v>234</v>
      </c>
      <c r="P7" s="187">
        <f>IF(D7=Inputs!F$4,Inputs!I$4,IF(D7=Inputs!F$2,Inputs!I$2,IF(D7=Inputs!F$3,Inputs!I$3,IF(D7=Inputs!F$5,Inputs!I$5,"NA"))))</f>
        <v>54.892857142857146</v>
      </c>
    </row>
    <row r="8" spans="1:16" x14ac:dyDescent="0.25">
      <c r="A8" s="148">
        <v>2</v>
      </c>
      <c r="B8" s="189">
        <f>Inputs!C$2</f>
        <v>43</v>
      </c>
      <c r="C8" s="151">
        <v>941155</v>
      </c>
      <c r="D8" s="188" t="s">
        <v>168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1465</v>
      </c>
      <c r="J8" s="189">
        <f>IF(H8="NEW",203, IF(H8="OLD",192,0))</f>
        <v>203</v>
      </c>
      <c r="K8" s="151">
        <v>1668</v>
      </c>
      <c r="L8" s="211">
        <f>IF(K8&gt;0,I8/E8,"NA")</f>
        <v>24.416666666666668</v>
      </c>
      <c r="M8" s="151">
        <v>135216</v>
      </c>
      <c r="N8" s="152" t="s">
        <v>236</v>
      </c>
      <c r="O8" s="157" t="s">
        <v>47</v>
      </c>
      <c r="P8" s="187">
        <f>IF(D8=Inputs!F$4,Inputs!I$4,IF(D8=Inputs!F$2,Inputs!I$2,IF(D8=Inputs!F$3,Inputs!I$3,IF(D8=Inputs!F$5,Inputs!I$5,"NA"))))</f>
        <v>54.892857142857146</v>
      </c>
    </row>
    <row r="9" spans="1:16" x14ac:dyDescent="0.25">
      <c r="A9" s="148">
        <v>3</v>
      </c>
      <c r="B9" s="189">
        <f>Inputs!C$2</f>
        <v>43</v>
      </c>
      <c r="C9" s="151">
        <v>941156</v>
      </c>
      <c r="D9" s="188" t="s">
        <v>6</v>
      </c>
      <c r="E9" s="148">
        <v>60</v>
      </c>
      <c r="F9" s="188" t="s">
        <v>113</v>
      </c>
      <c r="G9" s="188" t="s">
        <v>10</v>
      </c>
      <c r="H9" s="191" t="s">
        <v>201</v>
      </c>
      <c r="I9" s="210" t="str">
        <f t="shared" si="0"/>
        <v>NA</v>
      </c>
      <c r="J9" s="189">
        <f>IF(H9="NEW",203, IF(H9="OLD",192,0))</f>
        <v>203</v>
      </c>
      <c r="K9" s="151"/>
      <c r="L9" s="211" t="str">
        <f t="shared" ref="L9:L72" si="1">IF(K9&gt;0,I9/E9,"NA")</f>
        <v>NA</v>
      </c>
      <c r="M9" s="151">
        <v>135216</v>
      </c>
      <c r="N9" s="152" t="s">
        <v>236</v>
      </c>
      <c r="O9" s="157" t="s">
        <v>10</v>
      </c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43</v>
      </c>
      <c r="C10" s="151">
        <v>941157</v>
      </c>
      <c r="D10" s="188" t="s">
        <v>168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1471</v>
      </c>
      <c r="J10" s="189">
        <f>IF(H10="NEW",203, IF(H10="OLD",192,0))</f>
        <v>203</v>
      </c>
      <c r="K10" s="151">
        <v>1674</v>
      </c>
      <c r="L10" s="211">
        <f t="shared" si="1"/>
        <v>24.516666666666666</v>
      </c>
      <c r="M10" s="151">
        <v>135216</v>
      </c>
      <c r="N10" s="152" t="s">
        <v>236</v>
      </c>
      <c r="O10" s="157" t="s">
        <v>47</v>
      </c>
      <c r="P10" s="187">
        <f>IF(D10=Inputs!F$4,Inputs!I$4,IF(D10=Inputs!F$2,Inputs!I$2,IF(D10=Inputs!F$3,Inputs!I$3,IF(D10=Inputs!F$5,Inputs!I$5,"NA"))))</f>
        <v>54.892857142857146</v>
      </c>
    </row>
    <row r="11" spans="1:16" x14ac:dyDescent="0.25">
      <c r="A11" s="148">
        <v>5</v>
      </c>
      <c r="B11" s="189">
        <f>Inputs!C$2</f>
        <v>43</v>
      </c>
      <c r="C11" s="151">
        <v>941158</v>
      </c>
      <c r="D11" s="188" t="s">
        <v>168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1487</v>
      </c>
      <c r="J11" s="189">
        <f t="shared" ref="J11:J72" si="2">IF(H11="NEW",203, IF(H11="OLD",192,0))</f>
        <v>203</v>
      </c>
      <c r="K11" s="151">
        <v>1690</v>
      </c>
      <c r="L11" s="211">
        <f>IF(K11&gt;0,I11/E11,"NA")</f>
        <v>24.783333333333335</v>
      </c>
      <c r="M11" s="151">
        <v>135216</v>
      </c>
      <c r="N11" s="152" t="s">
        <v>236</v>
      </c>
      <c r="O11" s="157" t="s">
        <v>47</v>
      </c>
      <c r="P11" s="187">
        <f>IF(D11=Inputs!F$4,Inputs!I$4,IF(D11=Inputs!F$2,Inputs!I$2,IF(D11=Inputs!F$3,Inputs!I$3,IF(D11=Inputs!F$5,Inputs!I$5,"NA"))))</f>
        <v>54.892857142857146</v>
      </c>
    </row>
    <row r="12" spans="1:16" x14ac:dyDescent="0.25">
      <c r="A12" s="148">
        <v>6</v>
      </c>
      <c r="B12" s="189">
        <f>Inputs!C$2</f>
        <v>43</v>
      </c>
      <c r="C12" s="151">
        <v>941159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1391</v>
      </c>
      <c r="J12" s="189">
        <f t="shared" si="2"/>
        <v>203</v>
      </c>
      <c r="K12" s="151">
        <v>1594</v>
      </c>
      <c r="L12" s="211">
        <f t="shared" si="1"/>
        <v>23.183333333333334</v>
      </c>
      <c r="M12" s="151">
        <v>135216</v>
      </c>
      <c r="N12" s="152" t="s">
        <v>236</v>
      </c>
      <c r="O12" s="157" t="s">
        <v>47</v>
      </c>
      <c r="P12" s="187">
        <f>IF(D12=Inputs!F$4,Inputs!I$4,IF(D12=Inputs!F$2,Inputs!I$2,IF(D12=Inputs!F$3,Inputs!I$3,IF(D12=Inputs!F$5,Inputs!I$5,"NA"))))</f>
        <v>29.464285714285715</v>
      </c>
    </row>
    <row r="13" spans="1:16" x14ac:dyDescent="0.25">
      <c r="A13" s="148">
        <v>7</v>
      </c>
      <c r="B13" s="189">
        <f>Inputs!C$2</f>
        <v>43</v>
      </c>
      <c r="C13" s="151">
        <v>941160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1403</v>
      </c>
      <c r="J13" s="189">
        <f t="shared" si="2"/>
        <v>203</v>
      </c>
      <c r="K13" s="151">
        <v>1606</v>
      </c>
      <c r="L13" s="211">
        <f t="shared" si="1"/>
        <v>23.383333333333333</v>
      </c>
      <c r="M13" s="151">
        <v>135216</v>
      </c>
      <c r="N13" s="152" t="s">
        <v>236</v>
      </c>
      <c r="O13" s="157" t="s">
        <v>47</v>
      </c>
      <c r="P13" s="187">
        <f>IF(D13=Inputs!F$4,Inputs!I$4,IF(D13=Inputs!F$2,Inputs!I$2,IF(D13=Inputs!F$3,Inputs!I$3,IF(D13=Inputs!F$5,Inputs!I$5,"NA"))))</f>
        <v>29.464285714285715</v>
      </c>
    </row>
    <row r="14" spans="1:16" x14ac:dyDescent="0.25">
      <c r="A14" s="148">
        <v>8</v>
      </c>
      <c r="B14" s="189">
        <f>Inputs!C$2</f>
        <v>43</v>
      </c>
      <c r="C14" s="151">
        <v>941161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1409</v>
      </c>
      <c r="J14" s="189">
        <f t="shared" si="2"/>
        <v>203</v>
      </c>
      <c r="K14" s="151">
        <v>1612</v>
      </c>
      <c r="L14" s="211">
        <f t="shared" si="1"/>
        <v>23.483333333333334</v>
      </c>
      <c r="M14" s="151">
        <v>135216</v>
      </c>
      <c r="N14" s="152" t="s">
        <v>236</v>
      </c>
      <c r="O14" s="157" t="s">
        <v>47</v>
      </c>
      <c r="P14" s="187">
        <f>IF(D14=Inputs!F$4,Inputs!I$4,IF(D14=Inputs!F$2,Inputs!I$2,IF(D14=Inputs!F$3,Inputs!I$3,IF(D14=Inputs!F$5,Inputs!I$5,"NA"))))</f>
        <v>29.464285714285715</v>
      </c>
    </row>
    <row r="15" spans="1:16" x14ac:dyDescent="0.25">
      <c r="A15" s="148">
        <v>9</v>
      </c>
      <c r="B15" s="189">
        <f>Inputs!C$2</f>
        <v>43</v>
      </c>
      <c r="C15" s="151">
        <v>941162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1419</v>
      </c>
      <c r="J15" s="189">
        <f t="shared" si="2"/>
        <v>203</v>
      </c>
      <c r="K15" s="151">
        <v>1622</v>
      </c>
      <c r="L15" s="211">
        <f t="shared" si="1"/>
        <v>23.65</v>
      </c>
      <c r="M15" s="151">
        <v>135216</v>
      </c>
      <c r="N15" s="152" t="s">
        <v>236</v>
      </c>
      <c r="O15" s="157" t="s">
        <v>47</v>
      </c>
      <c r="P15" s="187">
        <f>IF(D15=Inputs!F$4,Inputs!I$4,IF(D15=Inputs!F$2,Inputs!I$2,IF(D15=Inputs!F$3,Inputs!I$3,IF(D15=Inputs!F$5,Inputs!I$5,"NA"))))</f>
        <v>29.464285714285715</v>
      </c>
    </row>
    <row r="16" spans="1:16" x14ac:dyDescent="0.25">
      <c r="A16" s="148">
        <v>10</v>
      </c>
      <c r="B16" s="189">
        <f>Inputs!C$2</f>
        <v>43</v>
      </c>
      <c r="C16" s="151">
        <v>941163</v>
      </c>
      <c r="D16" s="188" t="s">
        <v>229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1481</v>
      </c>
      <c r="J16" s="189">
        <f t="shared" si="2"/>
        <v>203</v>
      </c>
      <c r="K16" s="151">
        <v>1684</v>
      </c>
      <c r="L16" s="211">
        <f t="shared" si="1"/>
        <v>24.683333333333334</v>
      </c>
      <c r="M16" s="151">
        <v>135216</v>
      </c>
      <c r="N16" s="152" t="s">
        <v>236</v>
      </c>
      <c r="O16" s="157" t="s">
        <v>47</v>
      </c>
      <c r="P16" s="187">
        <f>IF(D16=Inputs!F$4,Inputs!I$4,IF(D16=Inputs!F$2,Inputs!I$2,IF(D16=Inputs!F$3,Inputs!I$3,IF(D16=Inputs!F$5,Inputs!I$5,"NA"))))</f>
        <v>41.892857142857146</v>
      </c>
    </row>
    <row r="17" spans="1:16" x14ac:dyDescent="0.25">
      <c r="A17" s="148">
        <v>11</v>
      </c>
      <c r="B17" s="189">
        <f>Inputs!C$2</f>
        <v>43</v>
      </c>
      <c r="C17" s="151">
        <v>941164</v>
      </c>
      <c r="D17" s="188" t="s">
        <v>229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1499</v>
      </c>
      <c r="J17" s="189">
        <f t="shared" si="2"/>
        <v>203</v>
      </c>
      <c r="K17" s="151">
        <v>1702</v>
      </c>
      <c r="L17" s="211">
        <f t="shared" si="1"/>
        <v>24.983333333333334</v>
      </c>
      <c r="M17" s="151">
        <v>135216</v>
      </c>
      <c r="N17" s="152" t="s">
        <v>236</v>
      </c>
      <c r="O17" s="157" t="s">
        <v>47</v>
      </c>
      <c r="P17" s="187">
        <f>IF(D17=Inputs!F$4,Inputs!I$4,IF(D17=Inputs!F$2,Inputs!I$2,IF(D17=Inputs!F$3,Inputs!I$3,IF(D17=Inputs!F$5,Inputs!I$5,"NA"))))</f>
        <v>41.892857142857146</v>
      </c>
    </row>
    <row r="18" spans="1:16" x14ac:dyDescent="0.25">
      <c r="A18" s="148">
        <v>12</v>
      </c>
      <c r="B18" s="189">
        <f>Inputs!C$2</f>
        <v>43</v>
      </c>
      <c r="C18" s="151">
        <v>941165</v>
      </c>
      <c r="D18" s="188" t="s">
        <v>229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1451</v>
      </c>
      <c r="J18" s="189">
        <f t="shared" si="2"/>
        <v>203</v>
      </c>
      <c r="K18" s="151">
        <v>1654</v>
      </c>
      <c r="L18" s="211">
        <f t="shared" si="1"/>
        <v>24.183333333333334</v>
      </c>
      <c r="M18" s="151">
        <v>135216</v>
      </c>
      <c r="N18" s="152" t="s">
        <v>236</v>
      </c>
      <c r="O18" s="157" t="s">
        <v>47</v>
      </c>
      <c r="P18" s="187">
        <f>IF(D18=Inputs!F$4,Inputs!I$4,IF(D18=Inputs!F$2,Inputs!I$2,IF(D18=Inputs!F$3,Inputs!I$3,IF(D18=Inputs!F$5,Inputs!I$5,"NA"))))</f>
        <v>41.892857142857146</v>
      </c>
    </row>
    <row r="19" spans="1:16" x14ac:dyDescent="0.25">
      <c r="A19" s="148">
        <v>13</v>
      </c>
      <c r="B19" s="189">
        <f>Inputs!C$2</f>
        <v>43</v>
      </c>
      <c r="C19" s="151">
        <v>941166</v>
      </c>
      <c r="D19" s="188" t="s">
        <v>168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1493</v>
      </c>
      <c r="J19" s="189">
        <f t="shared" si="2"/>
        <v>203</v>
      </c>
      <c r="K19" s="151">
        <v>1696</v>
      </c>
      <c r="L19" s="211">
        <f t="shared" si="1"/>
        <v>24.883333333333333</v>
      </c>
      <c r="M19" s="151">
        <v>135216</v>
      </c>
      <c r="N19" s="152" t="s">
        <v>236</v>
      </c>
      <c r="O19" s="157" t="s">
        <v>48</v>
      </c>
      <c r="P19" s="187">
        <f>IF(D19=Inputs!F$4,Inputs!I$4,IF(D19=Inputs!F$2,Inputs!I$2,IF(D19=Inputs!F$3,Inputs!I$3,IF(D19=Inputs!F$5,Inputs!I$5,"NA"))))</f>
        <v>54.892857142857146</v>
      </c>
    </row>
    <row r="20" spans="1:16" x14ac:dyDescent="0.25">
      <c r="A20" s="148">
        <v>14</v>
      </c>
      <c r="B20" s="189">
        <f>Inputs!C$2</f>
        <v>43</v>
      </c>
      <c r="C20" s="151">
        <v>941167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1383</v>
      </c>
      <c r="J20" s="189">
        <f t="shared" si="2"/>
        <v>203</v>
      </c>
      <c r="K20" s="151">
        <v>1586</v>
      </c>
      <c r="L20" s="211">
        <f t="shared" si="1"/>
        <v>23.05</v>
      </c>
      <c r="M20" s="151">
        <v>135216</v>
      </c>
      <c r="N20" s="152" t="s">
        <v>236</v>
      </c>
      <c r="O20" s="157" t="s">
        <v>47</v>
      </c>
      <c r="P20" s="187">
        <f>IF(D20=Inputs!F$4,Inputs!I$4,IF(D20=Inputs!F$2,Inputs!I$2,IF(D20=Inputs!F$3,Inputs!I$3,IF(D20=Inputs!F$5,Inputs!I$5,"NA"))))</f>
        <v>29.464285714285715</v>
      </c>
    </row>
    <row r="21" spans="1:16" x14ac:dyDescent="0.25">
      <c r="A21" s="148">
        <v>15</v>
      </c>
      <c r="B21" s="189">
        <f>Inputs!C$2</f>
        <v>43</v>
      </c>
      <c r="C21" s="151"/>
      <c r="D21" s="188"/>
      <c r="E21" s="148"/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43</v>
      </c>
      <c r="C22" s="151"/>
      <c r="D22" s="188"/>
      <c r="E22" s="148"/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43</v>
      </c>
      <c r="C23" s="151"/>
      <c r="D23" s="188"/>
      <c r="E23" s="148"/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43</v>
      </c>
      <c r="C24" s="151"/>
      <c r="D24" s="188"/>
      <c r="E24" s="148"/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43</v>
      </c>
      <c r="C25" s="151"/>
      <c r="D25" s="188"/>
      <c r="E25" s="148"/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43</v>
      </c>
      <c r="C26" s="151"/>
      <c r="D26" s="188"/>
      <c r="E26" s="148"/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43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43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43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43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43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43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43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43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43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43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43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43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43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D50" sqref="D5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43</v>
      </c>
      <c r="F2" s="166" t="s">
        <v>5</v>
      </c>
      <c r="G2" s="186">
        <v>45750</v>
      </c>
      <c r="I2" s="205">
        <f>(C$3-G2)/7</f>
        <v>29.464285714285715</v>
      </c>
      <c r="J2" s="230">
        <f>I2-19</f>
        <v>10.464285714285715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45956.25</v>
      </c>
      <c r="D3" s="247"/>
      <c r="F3" s="166" t="s">
        <v>168</v>
      </c>
      <c r="G3" s="186">
        <v>45572</v>
      </c>
      <c r="I3" s="205">
        <f>(C$3-G3)/7</f>
        <v>54.892857142857146</v>
      </c>
      <c r="J3" s="230">
        <f>I3-19</f>
        <v>35.892857142857146</v>
      </c>
      <c r="K3" s="166" t="s">
        <v>202</v>
      </c>
      <c r="L3">
        <v>192</v>
      </c>
    </row>
    <row r="4" spans="1:12" x14ac:dyDescent="0.2">
      <c r="F4" s="166" t="s">
        <v>229</v>
      </c>
      <c r="G4" s="186">
        <v>45663</v>
      </c>
      <c r="I4" s="205">
        <f>(C$3-G4)/7</f>
        <v>41.892857142857146</v>
      </c>
      <c r="J4" s="230">
        <f>I4-19</f>
        <v>22.892857142857146</v>
      </c>
    </row>
    <row r="5" spans="1:12" x14ac:dyDescent="0.2">
      <c r="A5" s="166" t="s">
        <v>204</v>
      </c>
      <c r="B5" s="248" t="s">
        <v>235</v>
      </c>
      <c r="C5" s="248"/>
      <c r="F5" s="166" t="s">
        <v>4</v>
      </c>
      <c r="G5" s="186">
        <v>45812</v>
      </c>
      <c r="I5" s="205">
        <f>(C$3-G5)/7</f>
        <v>20.607142857142858</v>
      </c>
      <c r="J5" s="230">
        <f>I5-19</f>
        <v>1.6071428571428577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240</v>
      </c>
      <c r="C10" s="165"/>
      <c r="E10" s="139">
        <v>6</v>
      </c>
      <c r="F10" s="168">
        <v>276</v>
      </c>
      <c r="G10" s="165"/>
    </row>
    <row r="11" spans="1:12" x14ac:dyDescent="0.2">
      <c r="A11" s="139">
        <v>7</v>
      </c>
      <c r="B11" s="168">
        <v>187</v>
      </c>
      <c r="C11" s="168">
        <v>20</v>
      </c>
      <c r="E11" s="139">
        <v>7</v>
      </c>
      <c r="F11" s="168">
        <v>203</v>
      </c>
      <c r="G11" s="168">
        <v>25</v>
      </c>
    </row>
    <row r="12" spans="1:12" x14ac:dyDescent="0.2">
      <c r="A12" s="139">
        <v>10</v>
      </c>
      <c r="B12" s="237">
        <v>147</v>
      </c>
      <c r="C12" s="168">
        <v>10</v>
      </c>
      <c r="E12" s="139">
        <v>10</v>
      </c>
      <c r="F12" s="168">
        <v>155</v>
      </c>
      <c r="G12" s="168">
        <v>11</v>
      </c>
    </row>
    <row r="13" spans="1:12" x14ac:dyDescent="0.2">
      <c r="A13" s="139">
        <v>11</v>
      </c>
      <c r="B13" s="168">
        <v>0</v>
      </c>
      <c r="C13" s="165"/>
      <c r="E13" s="139">
        <v>11</v>
      </c>
      <c r="F13" s="168">
        <v>0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244</v>
      </c>
      <c r="C16" s="165"/>
      <c r="E16" s="139">
        <v>6</v>
      </c>
      <c r="F16" s="168">
        <v>260</v>
      </c>
      <c r="G16" s="165"/>
    </row>
    <row r="17" spans="1:11" x14ac:dyDescent="0.2">
      <c r="A17" s="139">
        <v>7</v>
      </c>
      <c r="B17" s="168">
        <v>197</v>
      </c>
      <c r="C17" s="168">
        <v>22</v>
      </c>
      <c r="E17" s="139">
        <v>7</v>
      </c>
      <c r="F17" s="168">
        <v>199</v>
      </c>
      <c r="G17" s="168">
        <v>22</v>
      </c>
    </row>
    <row r="18" spans="1:11" x14ac:dyDescent="0.2">
      <c r="A18" s="139">
        <v>10</v>
      </c>
      <c r="B18" s="168">
        <v>157</v>
      </c>
      <c r="C18" s="168">
        <v>12</v>
      </c>
      <c r="E18" s="139">
        <v>10</v>
      </c>
      <c r="F18" s="168">
        <v>141</v>
      </c>
      <c r="G18" s="168">
        <v>11</v>
      </c>
    </row>
    <row r="19" spans="1:11" x14ac:dyDescent="0.2">
      <c r="A19" s="139">
        <v>11</v>
      </c>
      <c r="B19" s="168">
        <v>0</v>
      </c>
      <c r="C19" s="165"/>
      <c r="E19" s="139">
        <v>11</v>
      </c>
      <c r="F19" s="168">
        <v>0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288</v>
      </c>
      <c r="C23" s="165"/>
      <c r="E23" s="139">
        <v>6</v>
      </c>
      <c r="F23" s="168">
        <v>269</v>
      </c>
      <c r="G23" s="165"/>
    </row>
    <row r="24" spans="1:11" x14ac:dyDescent="0.2">
      <c r="A24" s="139">
        <v>7</v>
      </c>
      <c r="B24" s="168">
        <v>199</v>
      </c>
      <c r="C24" s="168">
        <v>23</v>
      </c>
      <c r="E24" s="139">
        <v>7</v>
      </c>
      <c r="F24" s="168">
        <v>189</v>
      </c>
      <c r="G24" s="168">
        <v>22</v>
      </c>
    </row>
    <row r="25" spans="1:11" x14ac:dyDescent="0.2">
      <c r="A25" s="139">
        <v>10</v>
      </c>
      <c r="B25" s="168">
        <v>167</v>
      </c>
      <c r="C25" s="168">
        <v>12</v>
      </c>
      <c r="E25" s="139">
        <v>10</v>
      </c>
      <c r="F25" s="168">
        <v>148</v>
      </c>
      <c r="G25" s="168">
        <v>11</v>
      </c>
    </row>
    <row r="26" spans="1:11" x14ac:dyDescent="0.2">
      <c r="A26" s="139">
        <v>11</v>
      </c>
      <c r="B26" s="168">
        <v>0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290</v>
      </c>
      <c r="C29" s="165"/>
      <c r="E29" s="139">
        <v>6</v>
      </c>
      <c r="F29" s="203">
        <f t="shared" ref="F29:G31" si="0">B10+F10+B16+F16+B23+F23+B29</f>
        <v>1867</v>
      </c>
      <c r="G29" s="204">
        <f t="shared" si="0"/>
        <v>0</v>
      </c>
      <c r="I29" s="139">
        <v>6</v>
      </c>
      <c r="J29" s="203">
        <f t="shared" ref="J29:K31" si="1">F29*15</f>
        <v>28005</v>
      </c>
      <c r="K29" s="204">
        <f t="shared" si="1"/>
        <v>0</v>
      </c>
    </row>
    <row r="30" spans="1:11" x14ac:dyDescent="0.2">
      <c r="A30" s="139">
        <v>7</v>
      </c>
      <c r="B30" s="168">
        <v>197</v>
      </c>
      <c r="C30" s="168">
        <v>22</v>
      </c>
      <c r="E30" s="139">
        <v>7</v>
      </c>
      <c r="F30" s="203">
        <f t="shared" si="0"/>
        <v>1371</v>
      </c>
      <c r="G30" s="203">
        <f t="shared" si="0"/>
        <v>156</v>
      </c>
      <c r="I30" s="139">
        <v>7</v>
      </c>
      <c r="J30" s="203">
        <f t="shared" si="1"/>
        <v>20565</v>
      </c>
      <c r="K30" s="203">
        <f t="shared" si="1"/>
        <v>2340</v>
      </c>
    </row>
    <row r="31" spans="1:11" x14ac:dyDescent="0.2">
      <c r="A31" s="139">
        <v>10</v>
      </c>
      <c r="B31" s="168">
        <v>143</v>
      </c>
      <c r="C31" s="168">
        <v>10</v>
      </c>
      <c r="E31" s="139">
        <v>10</v>
      </c>
      <c r="F31" s="203">
        <f t="shared" si="0"/>
        <v>1058</v>
      </c>
      <c r="G31" s="203">
        <f t="shared" si="0"/>
        <v>77</v>
      </c>
      <c r="I31" s="139">
        <v>10</v>
      </c>
      <c r="J31" s="203">
        <f t="shared" si="1"/>
        <v>15870</v>
      </c>
      <c r="K31" s="203">
        <f t="shared" si="1"/>
        <v>1155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ref="F32:G32" si="2">B13+F13+B19+F19+B26+F26+B32</f>
        <v>0</v>
      </c>
      <c r="G32" s="204">
        <f t="shared" si="2"/>
        <v>0</v>
      </c>
      <c r="I32" s="139">
        <v>11</v>
      </c>
      <c r="J32" s="203">
        <f>F32*15</f>
        <v>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217</v>
      </c>
      <c r="E35" s="172" t="s">
        <v>169</v>
      </c>
      <c r="G35" s="245" t="s">
        <v>205</v>
      </c>
      <c r="H35" s="245"/>
      <c r="I35" s="225">
        <v>300</v>
      </c>
    </row>
    <row r="36" spans="1:9" x14ac:dyDescent="0.2">
      <c r="A36" s="172" t="s">
        <v>100</v>
      </c>
      <c r="B36" s="201">
        <f>B37+B38</f>
        <v>0.21299999999999999</v>
      </c>
      <c r="C36" s="201">
        <f>C37+C38</f>
        <v>0.34299999999999997</v>
      </c>
      <c r="D36" s="201">
        <f>D37+D38</f>
        <v>0.44500000000000001</v>
      </c>
      <c r="E36" s="201">
        <f>E37+E38</f>
        <v>0</v>
      </c>
      <c r="G36" s="245" t="s">
        <v>206</v>
      </c>
      <c r="H36" s="245"/>
      <c r="I36" s="225">
        <v>208</v>
      </c>
    </row>
    <row r="37" spans="1:9" x14ac:dyDescent="0.2">
      <c r="A37" s="172" t="s">
        <v>184</v>
      </c>
      <c r="B37" s="236">
        <v>2.4E-2</v>
      </c>
      <c r="C37" s="173">
        <v>4.3999999999999997E-2</v>
      </c>
      <c r="D37" s="173">
        <v>7.9000000000000001E-2</v>
      </c>
      <c r="E37" s="173">
        <v>0</v>
      </c>
      <c r="G37" s="245" t="s">
        <v>207</v>
      </c>
      <c r="H37" s="245"/>
      <c r="I37" s="225">
        <v>92</v>
      </c>
    </row>
    <row r="38" spans="1:9" x14ac:dyDescent="0.2">
      <c r="A38" s="172" t="s">
        <v>185</v>
      </c>
      <c r="B38" s="173">
        <v>0.189</v>
      </c>
      <c r="C38" s="173">
        <v>0.29899999999999999</v>
      </c>
      <c r="D38" s="173">
        <v>0.36599999999999999</v>
      </c>
      <c r="E38" s="173">
        <v>0</v>
      </c>
      <c r="G38" s="245" t="s">
        <v>215</v>
      </c>
      <c r="H38" s="245"/>
      <c r="I38" s="225">
        <v>180</v>
      </c>
    </row>
    <row r="39" spans="1:9" x14ac:dyDescent="0.2">
      <c r="A39" s="172" t="s">
        <v>186</v>
      </c>
      <c r="B39" s="173">
        <v>0.69099999999999995</v>
      </c>
      <c r="C39" s="173">
        <v>0.59499999999999997</v>
      </c>
      <c r="D39" s="173">
        <v>0.51100000000000001</v>
      </c>
      <c r="E39" s="173">
        <v>0</v>
      </c>
      <c r="G39" s="245" t="s">
        <v>216</v>
      </c>
      <c r="H39" s="245"/>
      <c r="I39" s="225">
        <v>0</v>
      </c>
    </row>
    <row r="40" spans="1:9" x14ac:dyDescent="0.2">
      <c r="A40" s="172" t="s">
        <v>187</v>
      </c>
      <c r="B40" s="173">
        <v>8.5000000000000006E-2</v>
      </c>
      <c r="C40" s="173">
        <v>5.1999999999999998E-2</v>
      </c>
      <c r="D40" s="173">
        <v>3.6999999999999998E-2</v>
      </c>
      <c r="E40" s="236">
        <v>0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0</v>
      </c>
      <c r="D41" s="173">
        <v>0</v>
      </c>
      <c r="E41" s="173">
        <v>0</v>
      </c>
      <c r="G41" s="245" t="s">
        <v>210</v>
      </c>
      <c r="H41" s="245"/>
      <c r="I41" s="225">
        <v>60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1.0999999999999999E-2</v>
      </c>
      <c r="C43" s="202">
        <f>SUM(C47:C50)</f>
        <v>0.01</v>
      </c>
      <c r="D43" s="202">
        <f>SUM(D47:D50)</f>
        <v>7.0000000000000001E-3</v>
      </c>
      <c r="E43" s="202">
        <f>SUM(E47:E50)</f>
        <v>0</v>
      </c>
      <c r="I43" s="230"/>
    </row>
    <row r="44" spans="1:9" x14ac:dyDescent="0.2">
      <c r="A44" s="233" t="s">
        <v>211</v>
      </c>
      <c r="B44" s="232">
        <v>61.68</v>
      </c>
      <c r="C44" s="232">
        <v>60.68</v>
      </c>
      <c r="D44" s="232">
        <v>62.96</v>
      </c>
      <c r="E44" s="232">
        <v>0</v>
      </c>
    </row>
    <row r="45" spans="1:9" x14ac:dyDescent="0.2">
      <c r="A45" s="233" t="s">
        <v>213</v>
      </c>
      <c r="B45" s="231">
        <f>J29</f>
        <v>28005</v>
      </c>
      <c r="C45" s="231">
        <f>J30</f>
        <v>20565</v>
      </c>
      <c r="D45" s="231">
        <f>J31+K31</f>
        <v>17025</v>
      </c>
      <c r="E45" s="231">
        <f>J32</f>
        <v>0</v>
      </c>
    </row>
    <row r="46" spans="1:9" x14ac:dyDescent="0.2">
      <c r="A46" s="233" t="s">
        <v>212</v>
      </c>
      <c r="B46" s="232"/>
      <c r="C46" s="232"/>
      <c r="D46" s="232"/>
      <c r="E46" s="232">
        <v>0</v>
      </c>
    </row>
    <row r="47" spans="1:9" x14ac:dyDescent="0.2">
      <c r="A47" s="172" t="s">
        <v>188</v>
      </c>
      <c r="B47" s="173">
        <v>1E-3</v>
      </c>
      <c r="C47" s="173">
        <v>1E-3</v>
      </c>
      <c r="D47" s="173">
        <v>2E-3</v>
      </c>
      <c r="E47" s="173">
        <v>0</v>
      </c>
    </row>
    <row r="48" spans="1:9" x14ac:dyDescent="0.2">
      <c r="A48" s="172" t="s">
        <v>189</v>
      </c>
      <c r="B48" s="173">
        <v>2E-3</v>
      </c>
      <c r="C48" s="173">
        <v>2E-3</v>
      </c>
      <c r="D48" s="173">
        <v>1E-3</v>
      </c>
      <c r="E48" s="173">
        <v>0</v>
      </c>
    </row>
    <row r="49" spans="1:5" x14ac:dyDescent="0.2">
      <c r="A49" s="172" t="s">
        <v>190</v>
      </c>
      <c r="B49" s="173">
        <v>3.0000000000000001E-3</v>
      </c>
      <c r="C49" s="173">
        <v>2E-3</v>
      </c>
      <c r="D49" s="173">
        <v>2E-3</v>
      </c>
      <c r="E49" s="173">
        <v>0</v>
      </c>
    </row>
    <row r="50" spans="1:5" x14ac:dyDescent="0.2">
      <c r="A50" s="172" t="s">
        <v>191</v>
      </c>
      <c r="B50" s="173">
        <v>5.0000000000000001E-3</v>
      </c>
      <c r="C50" s="173">
        <v>5.0000000000000001E-3</v>
      </c>
      <c r="D50" s="173">
        <v>2E-3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0.99999999999999989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233</v>
      </c>
    </row>
    <row r="3" spans="1:2" x14ac:dyDescent="0.2">
      <c r="A3" s="4" t="s">
        <v>168</v>
      </c>
      <c r="B3" s="3" t="s">
        <v>230</v>
      </c>
    </row>
    <row r="4" spans="1:2" x14ac:dyDescent="0.2">
      <c r="A4" s="2" t="s">
        <v>229</v>
      </c>
      <c r="B4" s="3" t="s">
        <v>232</v>
      </c>
    </row>
    <row r="5" spans="1:2" x14ac:dyDescent="0.2">
      <c r="A5" s="4" t="s">
        <v>4</v>
      </c>
      <c r="B5" s="3" t="s">
        <v>231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2025-10-28T13:47:12Z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