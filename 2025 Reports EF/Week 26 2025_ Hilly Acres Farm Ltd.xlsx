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2A72CB2-6259-4C4E-962E-2B4AE953B6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<sst xmlns="http://schemas.openxmlformats.org/spreadsheetml/2006/main" count="543" uniqueCount="240">
  <si>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</si>
  <si>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</si>
  <si>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</si>
  <si>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</si>
  <si>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</si>
  <si>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</si>
  <si>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</si>
  <si>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</si>
  <si>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</si>
  <si>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</si>
  <si>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</si>
  <si>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</si>
  <si>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</si>
  <si>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</si>
  <si>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</si>
  <si>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</si>
  <si>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</si>
  <si>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</si>
  <si>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</si>
  <si>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</si>
  <si>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</si>
  <si>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</si>
  <si>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</si>
  <si>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</si>
  <si>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</si>
  <si>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</si>
  <si>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</si>
  <si>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</si>
  <si>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</si>
  <si>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</si>
  <si>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</si>
  <si>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</si>
  <si>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</si>
  <si>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</si>
  <si>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</si>
  <si>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</si>
  <si>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</si>
  <si>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</si>
  <si>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</si>
  <si>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</si>
  <si>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</si>
  <si>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</si>
  <si>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</si>
  <si>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</si>
  <si>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</si>
  <si>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</si>
  <si>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</si>
  <si>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</si>
  <si>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</si>
  <si>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</si>
  <si>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</si>
  <si>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</si>
  <si>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</si>
  <si>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</si>
  <si>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</si>
  <si>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</si>
  <si>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</si>
  <si>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</si>
  <si>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</si>
  <si>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</si>
  <si>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</si>
  <si>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</si>
  <si>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</si>
  <si>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</si>
  <si>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</si>
  <si>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</si>
  <si>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</si>
  <si>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</si>
  <si>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</si>
  <si>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</si>
  <si>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</si>
  <si>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</si>
  <si>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</si>
  <si>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</si>
  <si>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</si>
  <si>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</si>
  <si>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</si>
  <si>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</si>
  <si>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</si>
  <si>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</si>
  <si>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</si>
  <si>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</si>
  <si>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</si>
  <si>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</si>
  <si>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</si>
  <si>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</si>
  <si>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</si>
  <si>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</si>
  <si>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</si>
  <si>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</si>
  <si>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</si>
  <si>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</si>
  <si>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</si>
  <si>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</si>
  <si>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</si>
  <si>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</si>
  <si>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</si>
  <si>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</si>
  <si>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</si>
  <si>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</si>
  <si>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</si>
  <si>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</si>
  <si>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</si>
  <si>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</si>
  <si>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</si>
  <si>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</si>
  <si>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</si>
  <si>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</si>
  <si>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</si>
  <si>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</si>
  <si>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</si>
  <si>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</si>
  <si>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</si>
  <si>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</si>
  <si>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</si>
  <si>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</si>
  <si>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</si>
  <si>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</si>
  <si>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</si>
  <si>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</si>
  <si>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</si>
  <si>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</si>
  <si>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</si>
  <si>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</si>
  <si>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</si>
  <si>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</si>
  <si>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</si>
  <si>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</si>
  <si>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</si>
  <si>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</si>
  <si>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</si>
  <si>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</si>
  <si>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</si>
  <si>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</si>
  <si>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</si>
  <si>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</si>
  <si>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</si>
  <si>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</si>
  <si>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</si>
  <si>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</si>
  <si>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</si>
  <si>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</si>
  <si>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</si>
  <si>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</si>
  <si>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</si>
  <si>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</si>
  <si>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</si>
  <si>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</si>
  <si>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</si>
  <si>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</si>
  <si>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</si>
  <si>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</si>
  <si>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</si>
  <si>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</si>
  <si>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</si>
  <si>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</si>
  <si>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</si>
  <si>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</si>
  <si>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</si>
  <si>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</si>
  <si>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</si>
  <si>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</si>
  <si>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</si>
  <si>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</si>
  <si>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</si>
  <si>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</si>
  <si>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</si>
  <si>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</si>
  <si>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</si>
  <si>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</si>
  <si>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</si>
  <si>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</si>
  <si>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</si>
  <si>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</si>
  <si>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</si>
  <si>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</si>
  <si>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</si>
  <si>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</si>
  <si>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</si>
  <si>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</si>
  <si>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</si>
  <si>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</si>
  <si>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</si>
  <si>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</si>
  <si>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</si>
  <si>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</si>
  <si>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</si>
  <si>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</si>
  <si>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</si>
  <si>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</si>
  <si>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</si>
  <si>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</si>
  <si>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</si>
  <si>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</si>
  <si>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</si>
  <si>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</si>
  <si>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</si>
  <si>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</si>
  <si>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</si>
  <si>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</si>
  <si>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</si>
  <si>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</si>
  <si>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</si>
  <si>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</si>
  <si>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</si>
  <si>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</si>
  <si>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</si>
  <si>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</si>
  <si>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</si>
  <si>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</si>
  <si>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</si>
  <si>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</si>
  <si>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</si>
  <si>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</si>
  <si>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</si>
  <si>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</si>
  <si>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</si>
  <si>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</si>
  <si>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</si>
  <si>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</si>
  <si>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</si>
  <si>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</si>
  <si>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</si>
  <si>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</si>
  <si>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</si>
  <si>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</si>
  <si>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</si>
  <si>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</si>
  <si>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</si>
  <si>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</si>
  <si>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</si>
  <si>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</si>
  <si>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</si>
  <si>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</si>
  <si>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</si>
  <si>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</si>
  <si>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</si>
  <si>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</si>
  <si>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</si>
  <si>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June 27/25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</si>
</sst>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26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45837.25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22800.000000000004</v>
      </c>
      <c r="I10" s="27">
        <v>0</v>
      </c>
      <c r="J10" s="26">
        <f>IFERROR(H10-I10,"")</f>
        <v>22800.000000000004</v>
      </c>
      <c r="K10" s="26">
        <f>IFERROR(($E$30/($H$31+$H$32)*$H$31)*R32,"")</f>
        <v>91.2</v>
      </c>
      <c r="L10" s="26">
        <f>IFERROR(($E$30/($H$31+$H$32)*$H$31)*S32,"")</f>
        <v>22.8</v>
      </c>
      <c r="M10" s="28">
        <f>IFERROR(K10+L10,"")</f>
        <v>114</v>
      </c>
      <c r="N10" s="29">
        <f>IFERROR(O10+P10+Q10+R10+S10+T10+U10+V10,"")</f>
        <v>22686.000000000004</v>
      </c>
      <c r="O10" s="26">
        <f t="shared" ref="O10:V10" si="2">IFERROR(($E$30/($H$31+$H$32)*$H$31)*J32,"")</f>
        <v>798.00000000000011</v>
      </c>
      <c r="P10" s="26">
        <f t="shared" si="2"/>
        <v>6429.5999999999995</v>
      </c>
      <c r="Q10" s="26">
        <f t="shared" si="2"/>
        <v>14500.800000000001</v>
      </c>
      <c r="R10" s="26">
        <f t="shared" si="2"/>
        <v>866.4</v>
      </c>
      <c r="S10" s="26">
        <f t="shared" si="2"/>
        <v>0</v>
      </c>
      <c r="T10" s="26">
        <f t="shared" si="2"/>
        <v>0</v>
      </c>
      <c r="U10" s="26">
        <f t="shared" si="2"/>
        <v>91.2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20893.786936236393</v>
      </c>
      <c r="I13" s="27">
        <v>0</v>
      </c>
      <c r="J13" s="26">
        <f>IFERROR(H13-I13,"")</f>
        <v>20893.786936236393</v>
      </c>
      <c r="K13" s="26">
        <f>IFERROR(($E$34/($H$35+$H$36)*$H$35)*R36,"")</f>
        <v>83.575147744945568</v>
      </c>
      <c r="L13" s="26">
        <f>IFERROR(($E$34/($H$35+$H$36)*$H$35)*S36,"")</f>
        <v>41.787573872472784</v>
      </c>
      <c r="M13" s="28">
        <f>IFERROR(K13+L13,"")</f>
        <v>125.36272161741834</v>
      </c>
      <c r="N13" s="29">
        <f>IFERROR(O13+P13+Q13+R13+S13+T13+U13+V13,"")</f>
        <v>20768.424214618975</v>
      </c>
      <c r="O13" s="26">
        <f t="shared" ref="O13:V13" si="4">IFERROR(($E$34/($H$35+$H$36)*$H$35)*J36,"")</f>
        <v>146.25650855365475</v>
      </c>
      <c r="P13" s="26">
        <f t="shared" si="4"/>
        <v>3008.7053188180403</v>
      </c>
      <c r="Q13" s="26">
        <f t="shared" si="4"/>
        <v>15837.490497667186</v>
      </c>
      <c r="R13" s="26">
        <f t="shared" si="4"/>
        <v>1734.1843157076207</v>
      </c>
      <c r="S13" s="26">
        <f t="shared" si="4"/>
        <v>0</v>
      </c>
      <c r="T13" s="26">
        <f t="shared" si="4"/>
        <v>0</v>
      </c>
      <c r="U13" s="26">
        <f t="shared" si="4"/>
        <v>41.787573872472784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2326.2130637636083</v>
      </c>
      <c r="I14" s="27">
        <v>0</v>
      </c>
      <c r="J14" s="26">
        <f>IFERROR(H14-I14,"")</f>
        <v>2326.2130637636083</v>
      </c>
      <c r="K14" s="26">
        <f>IFERROR(($E$34/($H$35+$H$36)*$H$36)*R36,"")</f>
        <v>9.304852255054433</v>
      </c>
      <c r="L14" s="26">
        <f>IFERROR(($E$34/($H$35+$H$36)*$H$36)*S36,"")</f>
        <v>4.6524261275272165</v>
      </c>
      <c r="M14" s="28">
        <f>IFERROR(K14+L14,"")</f>
        <v>13.957278382581649</v>
      </c>
      <c r="N14" s="29">
        <f>IFERROR(O14+P14+Q14+R14+S14+T14+U14+V14,"")</f>
        <v>2312.2557853810267</v>
      </c>
      <c r="O14" s="26">
        <f t="shared" ref="O14:V14" si="5">IFERROR(($E$34/($H$35+$H$36)*$H$36)*J36,"")</f>
        <v>16.283491446345259</v>
      </c>
      <c r="P14" s="26">
        <f t="shared" si="5"/>
        <v>334.97468118195957</v>
      </c>
      <c r="Q14" s="26">
        <f t="shared" si="5"/>
        <v>1763.2695023328151</v>
      </c>
      <c r="R14" s="26">
        <f t="shared" si="5"/>
        <v>193.07568429237949</v>
      </c>
      <c r="S14" s="26">
        <f t="shared" si="5"/>
        <v>0</v>
      </c>
      <c r="T14" s="26">
        <f t="shared" si="5"/>
        <v>0</v>
      </c>
      <c r="U14" s="26">
        <f t="shared" si="5"/>
        <v>4.6524261275272165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11430</v>
      </c>
      <c r="I16" s="27">
        <v>0</v>
      </c>
      <c r="J16" s="26">
        <f>IFERROR(H16-I16,"")</f>
        <v>11430</v>
      </c>
      <c r="K16" s="26">
        <f>IFERROR(($E$38/($H$39)*$H$39)*R40,"")</f>
        <v>68.58</v>
      </c>
      <c r="L16" s="26">
        <f>IFERROR(($E$38/($H$39)*$H$39)*S40,"")</f>
        <v>11.43</v>
      </c>
      <c r="M16" s="28">
        <f>IFERROR(K16+L16,"")</f>
        <v>80.009999999999991</v>
      </c>
      <c r="N16" s="29">
        <f>IFERROR(O16+P16+Q16+R16+S16+T16+U16+V16,"")</f>
        <v>11349.99</v>
      </c>
      <c r="O16" s="26">
        <f t="shared" ref="O16:V16" si="6">IFERROR(($E$38/($H$39)*$H$39)*J40,"")</f>
        <v>434.34</v>
      </c>
      <c r="P16" s="26">
        <f t="shared" si="6"/>
        <v>3303.27</v>
      </c>
      <c r="Q16" s="26">
        <f t="shared" si="6"/>
        <v>7040.88</v>
      </c>
      <c r="R16" s="26">
        <f t="shared" si="6"/>
        <v>548.64</v>
      </c>
      <c r="S16" s="26">
        <f t="shared" si="6"/>
        <v>0</v>
      </c>
      <c r="T16" s="26">
        <f t="shared" si="6"/>
        <v>0</v>
      </c>
      <c r="U16" s="26">
        <f t="shared" si="6"/>
        <v>22.86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57450.000000000007</v>
      </c>
      <c r="I19" s="37">
        <f t="shared" si="7"/>
        <v>0</v>
      </c>
      <c r="J19" s="37">
        <f t="shared" si="7"/>
        <v>57450.000000000007</v>
      </c>
      <c r="K19" s="37">
        <f t="shared" si="7"/>
        <v>252.66000000000003</v>
      </c>
      <c r="L19" s="37">
        <f t="shared" si="7"/>
        <v>80.670000000000016</v>
      </c>
      <c r="M19" s="37">
        <f t="shared" si="7"/>
        <v>333.33</v>
      </c>
      <c r="N19" s="37">
        <f t="shared" si="7"/>
        <v>57116.670000000006</v>
      </c>
      <c r="O19" s="37">
        <f t="shared" si="7"/>
        <v>1394.88</v>
      </c>
      <c r="P19" s="37">
        <f t="shared" si="7"/>
        <v>13076.55</v>
      </c>
      <c r="Q19" s="37">
        <f t="shared" si="7"/>
        <v>39142.44</v>
      </c>
      <c r="R19" s="37">
        <f t="shared" si="7"/>
        <v>3342.2999999999997</v>
      </c>
      <c r="S19" s="37">
        <f t="shared" si="7"/>
        <v>0</v>
      </c>
      <c r="T19" s="37">
        <f t="shared" si="7"/>
        <v>0</v>
      </c>
      <c r="U19" s="37">
        <f t="shared" si="7"/>
        <v>160.5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57450.000000000007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18690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22800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798.00000000000011</v>
      </c>
      <c r="K31" s="198">
        <f t="shared" ref="K31:S31" si="9">$E30*K32</f>
        <v>6429.5999999999995</v>
      </c>
      <c r="L31" s="198">
        <f t="shared" si="9"/>
        <v>14500.800000000001</v>
      </c>
      <c r="M31" s="198">
        <f t="shared" si="9"/>
        <v>866.4</v>
      </c>
      <c r="N31" s="198">
        <f t="shared" si="9"/>
        <v>0</v>
      </c>
      <c r="O31" s="198">
        <f t="shared" si="9"/>
        <v>0</v>
      </c>
      <c r="P31" s="198">
        <f t="shared" si="9"/>
        <v>91.2</v>
      </c>
      <c r="Q31" s="198">
        <f t="shared" si="9"/>
        <v>0</v>
      </c>
      <c r="R31" s="198">
        <f t="shared" si="9"/>
        <v>91.2</v>
      </c>
      <c r="S31" s="198">
        <f t="shared" si="9"/>
        <v>22.8</v>
      </c>
      <c r="T31" s="199">
        <f>SUM(J31:S31)</f>
        <v>22800.000000000004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0.28199999999999997</v>
      </c>
      <c r="L32" s="197">
        <f>Inputs!C39</f>
        <v>0.63600000000000001</v>
      </c>
      <c r="M32" s="197">
        <f>Inputs!C40</f>
        <v>3.7999999999999999E-2</v>
      </c>
      <c r="N32" s="197">
        <f>Inputs!C41</f>
        <v>0</v>
      </c>
      <c r="O32" s="197">
        <v>0</v>
      </c>
      <c r="P32" s="197">
        <f>Inputs!C49</f>
        <v>4.0000000000000001E-3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23220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162.54</v>
      </c>
      <c r="K35" s="198">
        <f t="shared" ref="K35:S35" si="10">$E34*K36</f>
        <v>3343.68</v>
      </c>
      <c r="L35" s="198">
        <f t="shared" si="10"/>
        <v>17600.759999999998</v>
      </c>
      <c r="M35" s="198">
        <f t="shared" si="10"/>
        <v>1927.26</v>
      </c>
      <c r="N35" s="198">
        <f t="shared" si="10"/>
        <v>0</v>
      </c>
      <c r="O35" s="198">
        <f t="shared" si="10"/>
        <v>0</v>
      </c>
      <c r="P35" s="198">
        <f t="shared" si="10"/>
        <v>46.44</v>
      </c>
      <c r="Q35" s="198">
        <f t="shared" si="10"/>
        <v>0</v>
      </c>
      <c r="R35" s="198">
        <f t="shared" si="10"/>
        <v>92.88</v>
      </c>
      <c r="S35" s="198">
        <f t="shared" si="10"/>
        <v>46.44</v>
      </c>
      <c r="T35" s="199">
        <f>SUM(J35:S35)</f>
        <v>23219.999999999996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7.0000000000000001E-3</v>
      </c>
      <c r="K36" s="197">
        <f>Inputs!D38</f>
        <v>0.14399999999999999</v>
      </c>
      <c r="L36" s="197">
        <f>Inputs!D39</f>
        <v>0.75800000000000001</v>
      </c>
      <c r="M36" s="197">
        <f>Inputs!D40</f>
        <v>8.3000000000000004E-2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11430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434.34</v>
      </c>
      <c r="K39" s="198">
        <f t="shared" ref="K39:S39" si="11">$E38*K40</f>
        <v>3303.27</v>
      </c>
      <c r="L39" s="198">
        <f t="shared" si="11"/>
        <v>7040.88</v>
      </c>
      <c r="M39" s="198">
        <f t="shared" si="11"/>
        <v>548.64</v>
      </c>
      <c r="N39" s="198">
        <f t="shared" si="11"/>
        <v>0</v>
      </c>
      <c r="O39" s="198">
        <f t="shared" si="11"/>
        <v>0</v>
      </c>
      <c r="P39" s="198">
        <f t="shared" si="11"/>
        <v>22.86</v>
      </c>
      <c r="Q39" s="198">
        <f t="shared" si="11"/>
        <v>0</v>
      </c>
      <c r="R39" s="198">
        <f t="shared" si="11"/>
        <v>68.58</v>
      </c>
      <c r="S39" s="198">
        <f t="shared" si="11"/>
        <v>11.43</v>
      </c>
      <c r="T39" s="199">
        <f>SUM(J39:S39)</f>
        <v>11430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3.7999999999999999E-2</v>
      </c>
      <c r="K40" s="197">
        <f>Inputs!E38</f>
        <v>0.28899999999999998</v>
      </c>
      <c r="L40" s="197">
        <f>Inputs!E39</f>
        <v>0.61599999999999999</v>
      </c>
      <c r="M40" s="197">
        <f>Inputs!E40</f>
        <v>4.8000000000000001E-2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45837.25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1320</v>
      </c>
      <c r="C13" s="220">
        <f>'Grade out Information'!X26</f>
        <v>19800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90" zoomScaleNormal="90" workbookViewId="0">
      <selection activeCell="E35" sqref="E35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26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18165</v>
      </c>
      <c r="Y15" s="209">
        <f>K15+M15+O15+Q15+S15+U15+W15</f>
        <v>0</v>
      </c>
      <c r="Z15" s="226">
        <f>Inputs!I35</f>
        <v>1211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1635</v>
      </c>
      <c r="Y16" s="209">
        <f>K16+M16+O16+Q16+S16+U16+W16</f>
        <v>0</v>
      </c>
      <c r="Z16" s="226">
        <f>Inputs!I36</f>
        <v>109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0.31699999999999995</v>
      </c>
      <c r="L18" s="133">
        <f t="shared" si="0"/>
        <v>0</v>
      </c>
      <c r="M18" s="184">
        <f>Inputs!C39</f>
        <v>0.63600000000000001</v>
      </c>
      <c r="N18" s="133">
        <f t="shared" si="1"/>
        <v>0</v>
      </c>
      <c r="O18" s="184">
        <f>Inputs!C40</f>
        <v>3.7999999999999999E-2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9.0000000000000011E-3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0.151</v>
      </c>
      <c r="L20" s="133">
        <f t="shared" si="0"/>
        <v>0</v>
      </c>
      <c r="M20" s="184">
        <f>Inputs!D39</f>
        <v>0.75800000000000001</v>
      </c>
      <c r="N20" s="133">
        <f t="shared" si="1"/>
        <v>0</v>
      </c>
      <c r="O20" s="184">
        <f>Inputs!D40</f>
        <v>8.3000000000000004E-2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8.0000000000000002E-3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0.151</v>
      </c>
      <c r="L21" s="133">
        <f t="shared" si="0"/>
        <v>0</v>
      </c>
      <c r="M21" s="184">
        <f>M20</f>
        <v>0.75800000000000001</v>
      </c>
      <c r="N21" s="133">
        <f t="shared" si="1"/>
        <v>0</v>
      </c>
      <c r="O21" s="184">
        <f>O20</f>
        <v>8.3000000000000004E-2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8.0000000000000002E-3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0.32699999999999996</v>
      </c>
      <c r="L23" s="133">
        <f t="shared" si="0"/>
        <v>0</v>
      </c>
      <c r="M23" s="184">
        <f>Inputs!E39</f>
        <v>0.61599999999999999</v>
      </c>
      <c r="N23" s="133">
        <f>X23*O23</f>
        <v>0</v>
      </c>
      <c r="O23" s="184">
        <f>Inputs!E40</f>
        <v>4.8000000000000001E-2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19800</v>
      </c>
      <c r="Y26" s="139"/>
      <c r="Z26" s="139">
        <f>SUM(Z15:Z25)</f>
        <v>1320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106</v>
      </c>
      <c r="B30">
        <f>J26</f>
        <v>0</v>
      </c>
    </row>
    <row r="31" spans="1:30" x14ac:dyDescent="0.2">
      <c r="A31" s="3" t="s">
        <v>107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0</v>
      </c>
    </row>
    <row r="38" spans="1:13" x14ac:dyDescent="0.2">
      <c r="A38" s="3" t="s">
        <v>127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4" sqref="I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5" sqref="N35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26</v>
      </c>
      <c r="C7" s="151">
        <v>940854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1299</v>
      </c>
      <c r="J7" s="189">
        <f>IF(H7="NEW",203, IF(H7="OLD",192,0))</f>
        <v>203</v>
      </c>
      <c r="K7" s="151">
        <v>1502</v>
      </c>
      <c r="L7" s="211">
        <f>IF(K7&gt;0,I7/E7,"NA")</f>
        <v>21.65</v>
      </c>
      <c r="M7" s="151">
        <v>944981</v>
      </c>
      <c r="N7" s="152" t="s">
        <v>239</v>
      </c>
      <c r="O7" s="157" t="s">
        <v>50</v>
      </c>
      <c r="P7" s="187">
        <f>IF(D7=Inputs!F$2,Inputs!I$2,IF(D7=Inputs!F$3,Inputs!I$3,IF(D7=Inputs!F$4,Inputs!I$4,IF(D7=Inputs!F$5,Inputs!I$5,"NA"))))</f>
        <v>24.892857142857142</v>
      </c>
    </row>
    <row r="8" spans="1:16" x14ac:dyDescent="0.25">
      <c r="A8" s="148">
        <v>2</v>
      </c>
      <c r="B8" s="189">
        <f>Inputs!C$2</f>
        <v>26</v>
      </c>
      <c r="C8" s="151">
        <v>940855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1309</v>
      </c>
      <c r="J8" s="189">
        <f>IF(H8="NEW",203, IF(H8="OLD",192,0))</f>
        <v>203</v>
      </c>
      <c r="K8" s="151">
        <v>1512</v>
      </c>
      <c r="L8" s="211">
        <f>IF(K8&gt;0,I8/E8,"NA")</f>
        <v>21.816666666666666</v>
      </c>
      <c r="M8" s="151">
        <v>944981</v>
      </c>
      <c r="N8" s="152" t="s">
        <v>239</v>
      </c>
      <c r="O8" s="157" t="s">
        <v>230</v>
      </c>
      <c r="P8" s="187">
        <f>IF(D8=Inputs!F$2,Inputs!I$2,IF(D8=Inputs!F$3,Inputs!I$3,IF(D8=Inputs!F$4,Inputs!I$4,IF(D8=Inputs!F$5,Inputs!I$5,"NA"))))</f>
        <v>24.892857142857142</v>
      </c>
    </row>
    <row r="9" spans="1:16" x14ac:dyDescent="0.25">
      <c r="A9" s="148">
        <v>3</v>
      </c>
      <c r="B9" s="189">
        <f>Inputs!C$2</f>
        <v>26</v>
      </c>
      <c r="C9" s="151">
        <v>940856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1325</v>
      </c>
      <c r="J9" s="189">
        <f>IF(H9="NEW",203, IF(H9="OLD",192,0))</f>
        <v>203</v>
      </c>
      <c r="K9" s="151">
        <v>1528</v>
      </c>
      <c r="L9" s="211">
        <f t="shared" ref="L9:L72" si="1">IF(K9&gt;0,I9/E9,"NA")</f>
        <v>22.083333333333332</v>
      </c>
      <c r="M9" s="151">
        <v>944981</v>
      </c>
      <c r="N9" s="152" t="s">
        <v>239</v>
      </c>
      <c r="O9" s="157" t="s">
        <v>230</v>
      </c>
      <c r="P9" s="187">
        <f>IF(D9=Inputs!F$2,Inputs!I$2,IF(D9=Inputs!F$3,Inputs!I$3,IF(D9=Inputs!F$4,Inputs!I$4,IF(D9=Inputs!F$5,Inputs!I$5,"NA"))))</f>
        <v>24.892857142857142</v>
      </c>
    </row>
    <row r="10" spans="1:16" x14ac:dyDescent="0.25">
      <c r="A10" s="148">
        <v>4</v>
      </c>
      <c r="B10" s="189">
        <f>Inputs!C$2</f>
        <v>26</v>
      </c>
      <c r="C10" s="151">
        <v>940857</v>
      </c>
      <c r="D10" s="188" t="s">
        <v>234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1311</v>
      </c>
      <c r="J10" s="189">
        <f>IF(H10="NEW",203, IF(H10="OLD",192,0))</f>
        <v>203</v>
      </c>
      <c r="K10" s="151">
        <v>1514</v>
      </c>
      <c r="L10" s="211">
        <f t="shared" si="1"/>
        <v>21.85</v>
      </c>
      <c r="M10" s="151">
        <v>944981</v>
      </c>
      <c r="N10" s="152" t="s">
        <v>239</v>
      </c>
      <c r="O10" s="157" t="s">
        <v>230</v>
      </c>
      <c r="P10" s="187">
        <f>IF(D10=Inputs!F$2,Inputs!I$2,IF(D10=Inputs!F$3,Inputs!I$3,IF(D10=Inputs!F$4,Inputs!I$4,IF(D10=Inputs!F$5,Inputs!I$5,"NA"))))</f>
        <v>24.892857142857142</v>
      </c>
    </row>
    <row r="11" spans="1:16" x14ac:dyDescent="0.25">
      <c r="A11" s="148">
        <v>5</v>
      </c>
      <c r="B11" s="189">
        <f>Inputs!C$2</f>
        <v>26</v>
      </c>
      <c r="C11" s="151">
        <v>940858</v>
      </c>
      <c r="D11" s="188" t="s">
        <v>234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1301</v>
      </c>
      <c r="J11" s="189">
        <f t="shared" ref="J11:J72" si="2">IF(H11="NEW",203, IF(H11="OLD",192,0))</f>
        <v>203</v>
      </c>
      <c r="K11" s="151">
        <v>1504</v>
      </c>
      <c r="L11" s="211">
        <f>IF(K11&gt;0,I11/E11,"NA")</f>
        <v>21.683333333333334</v>
      </c>
      <c r="M11" s="151">
        <v>944981</v>
      </c>
      <c r="N11" s="152" t="s">
        <v>239</v>
      </c>
      <c r="O11" s="157" t="s">
        <v>50</v>
      </c>
      <c r="P11" s="187">
        <f>IF(D11=Inputs!F$2,Inputs!I$2,IF(D11=Inputs!F$3,Inputs!I$3,IF(D11=Inputs!F$4,Inputs!I$4,IF(D11=Inputs!F$5,Inputs!I$5,"NA"))))</f>
        <v>24.892857142857142</v>
      </c>
    </row>
    <row r="12" spans="1:16" x14ac:dyDescent="0.25">
      <c r="A12" s="148">
        <v>6</v>
      </c>
      <c r="B12" s="189">
        <f>Inputs!C$2</f>
        <v>26</v>
      </c>
      <c r="C12" s="151">
        <v>940859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1301</v>
      </c>
      <c r="J12" s="189">
        <f t="shared" si="2"/>
        <v>203</v>
      </c>
      <c r="K12" s="151">
        <v>1504</v>
      </c>
      <c r="L12" s="211">
        <f t="shared" si="1"/>
        <v>21.683333333333334</v>
      </c>
      <c r="M12" s="151">
        <v>944981</v>
      </c>
      <c r="N12" s="152" t="s">
        <v>239</v>
      </c>
      <c r="O12" s="157" t="s">
        <v>50</v>
      </c>
      <c r="P12" s="187">
        <f>IF(D12=Inputs!F$2,Inputs!I$2,IF(D12=Inputs!F$3,Inputs!I$3,IF(D12=Inputs!F$4,Inputs!I$4,IF(D12=Inputs!F$5,Inputs!I$5,"NA"))))</f>
        <v>24.892857142857142</v>
      </c>
    </row>
    <row r="13" spans="1:16" x14ac:dyDescent="0.25">
      <c r="A13" s="148">
        <v>7</v>
      </c>
      <c r="B13" s="189">
        <f>Inputs!C$2</f>
        <v>26</v>
      </c>
      <c r="C13" s="151">
        <v>940860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1313</v>
      </c>
      <c r="J13" s="189">
        <f t="shared" si="2"/>
        <v>203</v>
      </c>
      <c r="K13" s="151">
        <v>1516</v>
      </c>
      <c r="L13" s="211">
        <f t="shared" si="1"/>
        <v>21.883333333333333</v>
      </c>
      <c r="M13" s="151">
        <v>944981</v>
      </c>
      <c r="N13" s="152" t="s">
        <v>239</v>
      </c>
      <c r="O13" s="157" t="s">
        <v>50</v>
      </c>
      <c r="P13" s="187">
        <f>IF(D13=Inputs!F$2,Inputs!I$2,IF(D13=Inputs!F$3,Inputs!I$3,IF(D13=Inputs!F$4,Inputs!I$4,IF(D13=Inputs!F$5,Inputs!I$5,"NA"))))</f>
        <v>24.892857142857142</v>
      </c>
    </row>
    <row r="14" spans="1:16" x14ac:dyDescent="0.25">
      <c r="A14" s="148">
        <v>8</v>
      </c>
      <c r="B14" s="189">
        <f>Inputs!C$2</f>
        <v>26</v>
      </c>
      <c r="C14" s="151">
        <v>940861</v>
      </c>
      <c r="D14" s="188" t="s">
        <v>234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1347</v>
      </c>
      <c r="J14" s="189">
        <f t="shared" si="2"/>
        <v>203</v>
      </c>
      <c r="K14" s="151">
        <v>1550</v>
      </c>
      <c r="L14" s="211">
        <f t="shared" si="1"/>
        <v>22.45</v>
      </c>
      <c r="M14" s="151">
        <v>944981</v>
      </c>
      <c r="N14" s="152" t="s">
        <v>239</v>
      </c>
      <c r="O14" s="157" t="s">
        <v>230</v>
      </c>
      <c r="P14" s="187">
        <f>IF(D14=Inputs!F$2,Inputs!I$2,IF(D14=Inputs!F$3,Inputs!I$3,IF(D14=Inputs!F$4,Inputs!I$4,IF(D14=Inputs!F$5,Inputs!I$5,"NA"))))</f>
        <v>24.892857142857142</v>
      </c>
    </row>
    <row r="15" spans="1:16" x14ac:dyDescent="0.25">
      <c r="A15" s="148">
        <v>9</v>
      </c>
      <c r="B15" s="189">
        <f>Inputs!C$2</f>
        <v>26</v>
      </c>
      <c r="C15" s="151">
        <v>940862</v>
      </c>
      <c r="D15" s="188" t="s">
        <v>234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1307</v>
      </c>
      <c r="J15" s="189">
        <f t="shared" si="2"/>
        <v>203</v>
      </c>
      <c r="K15" s="151">
        <v>1510</v>
      </c>
      <c r="L15" s="211">
        <f t="shared" si="1"/>
        <v>21.783333333333335</v>
      </c>
      <c r="M15" s="151">
        <v>944981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24.892857142857142</v>
      </c>
    </row>
    <row r="16" spans="1:16" x14ac:dyDescent="0.25">
      <c r="A16" s="148">
        <v>10</v>
      </c>
      <c r="B16" s="189">
        <f>Inputs!C$2</f>
        <v>26</v>
      </c>
      <c r="C16" s="151">
        <v>940863</v>
      </c>
      <c r="D16" s="188" t="s">
        <v>234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1309</v>
      </c>
      <c r="J16" s="189">
        <f t="shared" si="2"/>
        <v>203</v>
      </c>
      <c r="K16" s="151">
        <v>1512</v>
      </c>
      <c r="L16" s="211">
        <f t="shared" si="1"/>
        <v>21.816666666666666</v>
      </c>
      <c r="M16" s="151">
        <v>944981</v>
      </c>
      <c r="N16" s="152" t="s">
        <v>239</v>
      </c>
      <c r="O16" s="157" t="s">
        <v>50</v>
      </c>
      <c r="P16" s="187">
        <f>IF(D16=Inputs!F$2,Inputs!I$2,IF(D16=Inputs!F$3,Inputs!I$3,IF(D16=Inputs!F$4,Inputs!I$4,IF(D16=Inputs!F$5,Inputs!I$5,"NA"))))</f>
        <v>24.892857142857142</v>
      </c>
    </row>
    <row r="17" spans="1:16" x14ac:dyDescent="0.25">
      <c r="A17" s="148">
        <v>11</v>
      </c>
      <c r="B17" s="189">
        <f>Inputs!C$2</f>
        <v>26</v>
      </c>
      <c r="C17" s="151">
        <v>940864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1315</v>
      </c>
      <c r="J17" s="189">
        <f t="shared" si="2"/>
        <v>203</v>
      </c>
      <c r="K17" s="151">
        <v>1518</v>
      </c>
      <c r="L17" s="211">
        <f t="shared" si="1"/>
        <v>21.916666666666668</v>
      </c>
      <c r="M17" s="151">
        <v>944981</v>
      </c>
      <c r="N17" s="152" t="s">
        <v>239</v>
      </c>
      <c r="O17" s="157" t="s">
        <v>230</v>
      </c>
      <c r="P17" s="187">
        <f>IF(D17=Inputs!F$2,Inputs!I$2,IF(D17=Inputs!F$3,Inputs!I$3,IF(D17=Inputs!F$4,Inputs!I$4,IF(D17=Inputs!F$5,Inputs!I$5,"NA"))))</f>
        <v>24.892857142857142</v>
      </c>
    </row>
    <row r="18" spans="1:16" x14ac:dyDescent="0.25">
      <c r="A18" s="148">
        <v>12</v>
      </c>
      <c r="B18" s="189">
        <f>Inputs!C$2</f>
        <v>26</v>
      </c>
      <c r="C18" s="151">
        <v>940865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1381</v>
      </c>
      <c r="J18" s="189">
        <f t="shared" si="2"/>
        <v>203</v>
      </c>
      <c r="K18" s="151">
        <v>1584</v>
      </c>
      <c r="L18" s="211">
        <f t="shared" si="1"/>
        <v>23.016666666666666</v>
      </c>
      <c r="M18" s="151">
        <v>944981</v>
      </c>
      <c r="N18" s="152" t="s">
        <v>239</v>
      </c>
      <c r="O18" s="157" t="s">
        <v>230</v>
      </c>
      <c r="P18" s="187">
        <f>IF(D18=Inputs!F$2,Inputs!I$2,IF(D18=Inputs!F$3,Inputs!I$3,IF(D18=Inputs!F$4,Inputs!I$4,IF(D18=Inputs!F$5,Inputs!I$5,"NA"))))</f>
        <v>24.892857142857142</v>
      </c>
    </row>
    <row r="19" spans="1:16" x14ac:dyDescent="0.25">
      <c r="A19" s="148">
        <v>13</v>
      </c>
      <c r="B19" s="189">
        <f>Inputs!C$2</f>
        <v>26</v>
      </c>
      <c r="C19" s="151">
        <v>940866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1317</v>
      </c>
      <c r="J19" s="189">
        <f t="shared" si="2"/>
        <v>203</v>
      </c>
      <c r="K19" s="151">
        <v>1520</v>
      </c>
      <c r="L19" s="211">
        <f t="shared" si="1"/>
        <v>21.95</v>
      </c>
      <c r="M19" s="151">
        <v>944981</v>
      </c>
      <c r="N19" s="152" t="s">
        <v>239</v>
      </c>
      <c r="O19" s="157" t="s">
        <v>50</v>
      </c>
      <c r="P19" s="187">
        <f>IF(D19=Inputs!F$2,Inputs!I$2,IF(D19=Inputs!F$3,Inputs!I$3,IF(D19=Inputs!F$4,Inputs!I$4,IF(D19=Inputs!F$5,Inputs!I$5,"NA"))))</f>
        <v>24.892857142857142</v>
      </c>
    </row>
    <row r="20" spans="1:16" x14ac:dyDescent="0.25">
      <c r="A20" s="148">
        <v>14</v>
      </c>
      <c r="B20" s="189">
        <f>Inputs!C$2</f>
        <v>26</v>
      </c>
      <c r="C20" s="151">
        <v>940867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1325</v>
      </c>
      <c r="J20" s="189">
        <f t="shared" si="2"/>
        <v>203</v>
      </c>
      <c r="K20" s="151">
        <v>1528</v>
      </c>
      <c r="L20" s="211">
        <f t="shared" si="1"/>
        <v>22.083333333333332</v>
      </c>
      <c r="M20" s="151">
        <v>944981</v>
      </c>
      <c r="N20" s="152" t="s">
        <v>239</v>
      </c>
      <c r="O20" s="157" t="s">
        <v>50</v>
      </c>
      <c r="P20" s="187">
        <f>IF(D20=Inputs!F$2,Inputs!I$2,IF(D20=Inputs!F$3,Inputs!I$3,IF(D20=Inputs!F$4,Inputs!I$4,IF(D20=Inputs!F$5,Inputs!I$5,"NA"))))</f>
        <v>24.892857142857142</v>
      </c>
    </row>
    <row r="21" spans="1:16" x14ac:dyDescent="0.25">
      <c r="A21" s="148">
        <v>15</v>
      </c>
      <c r="B21" s="189">
        <f>Inputs!C$2</f>
        <v>26</v>
      </c>
      <c r="C21" s="151">
        <v>940868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1343</v>
      </c>
      <c r="J21" s="189">
        <f t="shared" si="2"/>
        <v>203</v>
      </c>
      <c r="K21" s="151">
        <v>1546</v>
      </c>
      <c r="L21" s="211">
        <f t="shared" si="1"/>
        <v>22.383333333333333</v>
      </c>
      <c r="M21" s="151">
        <v>944981</v>
      </c>
      <c r="N21" s="152" t="s">
        <v>239</v>
      </c>
      <c r="O21" s="157" t="s">
        <v>230</v>
      </c>
      <c r="P21" s="187">
        <f>IF(D21=Inputs!F$2,Inputs!I$2,IF(D21=Inputs!F$3,Inputs!I$3,IF(D21=Inputs!F$4,Inputs!I$4,IF(D21=Inputs!F$5,Inputs!I$5,"NA"))))</f>
        <v>24.892857142857142</v>
      </c>
    </row>
    <row r="22" spans="1:16" x14ac:dyDescent="0.25">
      <c r="A22" s="148">
        <v>16</v>
      </c>
      <c r="B22" s="189">
        <f>Inputs!C$2</f>
        <v>26</v>
      </c>
      <c r="C22" s="151">
        <v>940869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1325</v>
      </c>
      <c r="J22" s="189">
        <f t="shared" si="2"/>
        <v>203</v>
      </c>
      <c r="K22" s="235">
        <v>1528</v>
      </c>
      <c r="L22" s="211">
        <f t="shared" si="1"/>
        <v>22.083333333333332</v>
      </c>
      <c r="M22" s="151">
        <v>944981</v>
      </c>
      <c r="N22" s="152" t="s">
        <v>239</v>
      </c>
      <c r="O22" s="157" t="s">
        <v>50</v>
      </c>
      <c r="P22" s="187">
        <f>IF(D22=Inputs!F$2,Inputs!I$2,IF(D22=Inputs!F$3,Inputs!I$3,IF(D22=Inputs!F$4,Inputs!I$4,IF(D22=Inputs!F$5,Inputs!I$5,"NA"))))</f>
        <v>24.892857142857142</v>
      </c>
    </row>
    <row r="23" spans="1:16" x14ac:dyDescent="0.25">
      <c r="A23" s="148">
        <v>17</v>
      </c>
      <c r="B23" s="189">
        <f>Inputs!C$2</f>
        <v>26</v>
      </c>
      <c r="C23" s="151">
        <v>940870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1329</v>
      </c>
      <c r="J23" s="189">
        <f t="shared" si="2"/>
        <v>203</v>
      </c>
      <c r="K23" s="151">
        <v>1532</v>
      </c>
      <c r="L23" s="211">
        <f t="shared" si="1"/>
        <v>22.15</v>
      </c>
      <c r="M23" s="151">
        <v>944981</v>
      </c>
      <c r="N23" s="152" t="s">
        <v>239</v>
      </c>
      <c r="O23" s="157" t="s">
        <v>50</v>
      </c>
      <c r="P23" s="187">
        <f>IF(D23=Inputs!F$2,Inputs!I$2,IF(D23=Inputs!F$3,Inputs!I$3,IF(D23=Inputs!F$4,Inputs!I$4,IF(D23=Inputs!F$5,Inputs!I$5,"NA"))))</f>
        <v>24.892857142857142</v>
      </c>
    </row>
    <row r="24" spans="1:16" x14ac:dyDescent="0.25">
      <c r="A24" s="148">
        <v>18</v>
      </c>
      <c r="B24" s="189">
        <f>Inputs!C$2</f>
        <v>26</v>
      </c>
      <c r="C24" s="151">
        <v>940871</v>
      </c>
      <c r="D24" s="188" t="s">
        <v>234</v>
      </c>
      <c r="E24" s="148">
        <v>60</v>
      </c>
      <c r="F24" s="188" t="s">
        <v>119</v>
      </c>
      <c r="G24" s="188"/>
      <c r="H24" s="191" t="s">
        <v>215</v>
      </c>
      <c r="I24" s="210">
        <f t="shared" si="0"/>
        <v>1331</v>
      </c>
      <c r="J24" s="189">
        <f t="shared" si="2"/>
        <v>203</v>
      </c>
      <c r="K24" s="151">
        <v>1534</v>
      </c>
      <c r="L24" s="211">
        <f t="shared" si="1"/>
        <v>22.183333333333334</v>
      </c>
      <c r="M24" s="151">
        <v>944981</v>
      </c>
      <c r="N24" s="152" t="s">
        <v>239</v>
      </c>
      <c r="O24" s="157" t="s">
        <v>50</v>
      </c>
      <c r="P24" s="187">
        <f>IF(D24=Inputs!F$2,Inputs!I$2,IF(D24=Inputs!F$3,Inputs!I$3,IF(D24=Inputs!F$4,Inputs!I$4,IF(D24=Inputs!F$5,Inputs!I$5,"NA"))))</f>
        <v>24.892857142857142</v>
      </c>
    </row>
    <row r="25" spans="1:16" x14ac:dyDescent="0.25">
      <c r="A25" s="148">
        <v>19</v>
      </c>
      <c r="B25" s="189">
        <f>Inputs!C$2</f>
        <v>26</v>
      </c>
      <c r="C25" s="151">
        <v>940872</v>
      </c>
      <c r="D25" s="188" t="s">
        <v>234</v>
      </c>
      <c r="E25" s="148">
        <v>60</v>
      </c>
      <c r="F25" s="188" t="s">
        <v>119</v>
      </c>
      <c r="G25" s="188"/>
      <c r="H25" s="191" t="s">
        <v>215</v>
      </c>
      <c r="I25" s="210">
        <f t="shared" si="0"/>
        <v>1347</v>
      </c>
      <c r="J25" s="189">
        <f t="shared" si="2"/>
        <v>203</v>
      </c>
      <c r="K25" s="151">
        <v>1550</v>
      </c>
      <c r="L25" s="211">
        <f t="shared" si="1"/>
        <v>22.45</v>
      </c>
      <c r="M25" s="151">
        <v>944981</v>
      </c>
      <c r="N25" s="152" t="s">
        <v>239</v>
      </c>
      <c r="O25" s="157" t="s">
        <v>50</v>
      </c>
      <c r="P25" s="187">
        <f>IF(D25=Inputs!F$2,Inputs!I$2,IF(D25=Inputs!F$3,Inputs!I$3,IF(D25=Inputs!F$4,Inputs!I$4,IF(D25=Inputs!F$5,Inputs!I$5,"NA"))))</f>
        <v>24.892857142857142</v>
      </c>
    </row>
    <row r="26" spans="1:16" x14ac:dyDescent="0.25">
      <c r="A26" s="148">
        <v>20</v>
      </c>
      <c r="B26" s="189">
        <f>Inputs!C$2</f>
        <v>26</v>
      </c>
      <c r="C26" s="151">
        <v>940873</v>
      </c>
      <c r="D26" s="188" t="s">
        <v>234</v>
      </c>
      <c r="E26" s="148">
        <v>60</v>
      </c>
      <c r="F26" s="188" t="s">
        <v>119</v>
      </c>
      <c r="G26" s="188"/>
      <c r="H26" s="191" t="s">
        <v>215</v>
      </c>
      <c r="I26" s="210">
        <f t="shared" si="0"/>
        <v>1349</v>
      </c>
      <c r="J26" s="189">
        <f t="shared" si="2"/>
        <v>203</v>
      </c>
      <c r="K26" s="151">
        <v>1552</v>
      </c>
      <c r="L26" s="211">
        <f t="shared" si="1"/>
        <v>22.483333333333334</v>
      </c>
      <c r="M26" s="151">
        <v>944981</v>
      </c>
      <c r="N26" s="152" t="s">
        <v>239</v>
      </c>
      <c r="O26" s="157" t="s">
        <v>50</v>
      </c>
      <c r="P26" s="187">
        <f>IF(D26=Inputs!F$2,Inputs!I$2,IF(D26=Inputs!F$3,Inputs!I$3,IF(D26=Inputs!F$4,Inputs!I$4,IF(D26=Inputs!F$5,Inputs!I$5,"NA"))))</f>
        <v>24.892857142857142</v>
      </c>
    </row>
    <row r="27" spans="1:16" x14ac:dyDescent="0.25">
      <c r="A27" s="148">
        <v>21</v>
      </c>
      <c r="B27" s="189">
        <f>Inputs!C$2</f>
        <v>26</v>
      </c>
      <c r="C27" s="151">
        <v>940874</v>
      </c>
      <c r="D27" s="188" t="s">
        <v>234</v>
      </c>
      <c r="E27" s="148">
        <v>60</v>
      </c>
      <c r="F27" s="188" t="s">
        <v>119</v>
      </c>
      <c r="G27" s="188"/>
      <c r="H27" s="191" t="s">
        <v>215</v>
      </c>
      <c r="I27" s="210">
        <f t="shared" si="0"/>
        <v>1349</v>
      </c>
      <c r="J27" s="189">
        <f t="shared" si="2"/>
        <v>203</v>
      </c>
      <c r="K27" s="151">
        <v>1552</v>
      </c>
      <c r="L27" s="211">
        <f t="shared" si="1"/>
        <v>22.483333333333334</v>
      </c>
      <c r="M27" s="151">
        <v>944981</v>
      </c>
      <c r="N27" s="152" t="s">
        <v>239</v>
      </c>
      <c r="O27" s="157" t="s">
        <v>230</v>
      </c>
      <c r="P27" s="187">
        <f>IF(D27=Inputs!F$2,Inputs!I$2,IF(D27=Inputs!F$3,Inputs!I$3,IF(D27=Inputs!F$4,Inputs!I$4,IF(D27=Inputs!F$5,Inputs!I$5,"NA"))))</f>
        <v>24.892857142857142</v>
      </c>
    </row>
    <row r="28" spans="1:16" x14ac:dyDescent="0.25">
      <c r="A28" s="148">
        <v>22</v>
      </c>
      <c r="B28" s="189">
        <f>Inputs!C$2</f>
        <v>26</v>
      </c>
      <c r="C28" s="151">
        <v>940875</v>
      </c>
      <c r="D28" s="188" t="s">
        <v>234</v>
      </c>
      <c r="E28" s="148">
        <v>60</v>
      </c>
      <c r="F28" s="188" t="s">
        <v>119</v>
      </c>
      <c r="G28" s="188"/>
      <c r="H28" s="191" t="s">
        <v>215</v>
      </c>
      <c r="I28" s="210">
        <f t="shared" si="0"/>
        <v>1391</v>
      </c>
      <c r="J28" s="189">
        <f t="shared" si="2"/>
        <v>203</v>
      </c>
      <c r="K28" s="151">
        <v>1594</v>
      </c>
      <c r="L28" s="211">
        <f t="shared" si="1"/>
        <v>23.183333333333334</v>
      </c>
      <c r="M28" s="151">
        <v>944981</v>
      </c>
      <c r="N28" s="152" t="s">
        <v>239</v>
      </c>
      <c r="O28" s="157" t="s">
        <v>230</v>
      </c>
      <c r="P28" s="187">
        <f>IF(D28=Inputs!F$2,Inputs!I$2,IF(D28=Inputs!F$3,Inputs!I$3,IF(D28=Inputs!F$4,Inputs!I$4,IF(D28=Inputs!F$5,Inputs!I$5,"NA"))))</f>
        <v>24.892857142857142</v>
      </c>
    </row>
    <row r="29" spans="1:16" x14ac:dyDescent="0.25">
      <c r="A29" s="148">
        <v>23</v>
      </c>
      <c r="B29" s="189">
        <f>Inputs!C$2</f>
        <v>26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26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26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26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26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26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26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26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26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26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26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26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26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26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26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26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26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26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26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26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26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26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26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26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26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26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26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26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26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26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26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26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26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26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26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26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26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26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26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26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26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26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26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26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26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26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26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26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26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26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26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26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26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26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36" sqref="J3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26</v>
      </c>
      <c r="F2" s="166" t="s">
        <v>234</v>
      </c>
      <c r="G2" s="186">
        <v>45663</v>
      </c>
      <c r="I2" s="205">
        <f>(C$3-G2)/7</f>
        <v>24.892857142857142</v>
      </c>
      <c r="J2" s="230">
        <f>I2-19</f>
        <v>5.8928571428571423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45837.25</v>
      </c>
      <c r="D3" s="247"/>
      <c r="F3" s="166" t="s">
        <v>6</v>
      </c>
      <c r="G3" s="186">
        <v>45390</v>
      </c>
      <c r="I3" s="205">
        <f>(C$3-G3)/7</f>
        <v>63.892857142857146</v>
      </c>
      <c r="J3" s="230">
        <f>I3-19</f>
        <v>44.892857142857146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37.892857142857146</v>
      </c>
      <c r="J4" s="230">
        <f>I4-19</f>
        <v>18.892857142857146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55.464285714285715</v>
      </c>
      <c r="J5" s="230">
        <f>I5-19</f>
        <v>36.464285714285715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172</v>
      </c>
      <c r="C10" s="168">
        <v>11</v>
      </c>
      <c r="E10" s="139">
        <v>10</v>
      </c>
      <c r="F10" s="168">
        <v>172</v>
      </c>
      <c r="G10" s="168">
        <v>15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196</v>
      </c>
      <c r="C12" s="168">
        <v>22</v>
      </c>
      <c r="E12" s="139">
        <v>7</v>
      </c>
      <c r="F12" s="168">
        <v>194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154</v>
      </c>
      <c r="C16" s="168">
        <v>25</v>
      </c>
      <c r="E16" s="139">
        <v>10</v>
      </c>
      <c r="F16" s="168">
        <v>154</v>
      </c>
      <c r="G16" s="168">
        <v>12</v>
      </c>
    </row>
    <row r="17" spans="1:11" x14ac:dyDescent="0.2">
      <c r="A17" s="139">
        <v>6</v>
      </c>
      <c r="B17" s="168">
        <v>227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199</v>
      </c>
      <c r="C18" s="168">
        <v>23</v>
      </c>
      <c r="E18" s="139">
        <v>7</v>
      </c>
      <c r="F18" s="168">
        <v>198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117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137</v>
      </c>
      <c r="C23" s="168">
        <v>19</v>
      </c>
      <c r="E23" s="139">
        <v>10</v>
      </c>
      <c r="F23" s="168">
        <v>170</v>
      </c>
      <c r="G23" s="168">
        <v>20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213</v>
      </c>
      <c r="G24" s="165"/>
    </row>
    <row r="25" spans="1:11" x14ac:dyDescent="0.2">
      <c r="A25" s="139">
        <v>7</v>
      </c>
      <c r="B25" s="168">
        <v>200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170</v>
      </c>
      <c r="C29" s="168">
        <v>15</v>
      </c>
      <c r="E29" s="139">
        <v>10</v>
      </c>
      <c r="F29" s="203">
        <f t="shared" ref="F29:G32" si="0">B10+F10+B16+F16+B23+F23+B29</f>
        <v>1129</v>
      </c>
      <c r="G29" s="203">
        <f t="shared" si="0"/>
        <v>117</v>
      </c>
      <c r="I29" s="139">
        <v>10</v>
      </c>
      <c r="J29" s="203">
        <f t="shared" ref="J29:K31" si="1">F29*15</f>
        <v>16935</v>
      </c>
      <c r="K29" s="203">
        <f t="shared" si="1"/>
        <v>1755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1520</v>
      </c>
      <c r="G30" s="204">
        <f t="shared" si="0"/>
        <v>0</v>
      </c>
      <c r="I30" s="139">
        <v>6</v>
      </c>
      <c r="J30" s="203">
        <f t="shared" si="1"/>
        <v>22800</v>
      </c>
      <c r="K30" s="204">
        <f t="shared" si="1"/>
        <v>0</v>
      </c>
    </row>
    <row r="31" spans="1:11" x14ac:dyDescent="0.2">
      <c r="A31" s="139">
        <v>7</v>
      </c>
      <c r="B31" s="168">
        <v>203</v>
      </c>
      <c r="C31" s="168">
        <v>22</v>
      </c>
      <c r="E31" s="139">
        <v>7</v>
      </c>
      <c r="F31" s="203">
        <f t="shared" si="0"/>
        <v>1392</v>
      </c>
      <c r="G31" s="203">
        <f t="shared" si="0"/>
        <v>156</v>
      </c>
      <c r="I31" s="139">
        <v>7</v>
      </c>
      <c r="J31" s="203">
        <f t="shared" si="1"/>
        <v>20880</v>
      </c>
      <c r="K31" s="203">
        <f t="shared" si="1"/>
        <v>2340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762</v>
      </c>
      <c r="G32" s="204">
        <f t="shared" si="0"/>
        <v>0</v>
      </c>
      <c r="I32" s="139">
        <v>11</v>
      </c>
      <c r="J32" s="203">
        <f>F32*15</f>
        <v>11430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1211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0.31699999999999995</v>
      </c>
      <c r="D36" s="201">
        <f>D37+D38</f>
        <v>0.151</v>
      </c>
      <c r="E36" s="201">
        <f>E37+E38</f>
        <v>0.32699999999999996</v>
      </c>
      <c r="G36" s="245" t="s">
        <v>232</v>
      </c>
      <c r="H36" s="245"/>
      <c r="I36" s="225">
        <v>109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7.0000000000000001E-3</v>
      </c>
      <c r="E37" s="173">
        <v>3.7999999999999999E-2</v>
      </c>
      <c r="G37" s="245" t="s">
        <v>219</v>
      </c>
      <c r="H37" s="245"/>
      <c r="I37" s="225">
        <v>0</v>
      </c>
    </row>
    <row r="38" spans="1:9" x14ac:dyDescent="0.2">
      <c r="A38" s="172" t="s">
        <v>196</v>
      </c>
      <c r="B38" s="173">
        <v>0</v>
      </c>
      <c r="C38" s="173">
        <v>0.28199999999999997</v>
      </c>
      <c r="D38" s="173">
        <v>0.14399999999999999</v>
      </c>
      <c r="E38" s="173">
        <v>0.28899999999999998</v>
      </c>
      <c r="G38" s="245" t="s">
        <v>220</v>
      </c>
      <c r="H38" s="245"/>
      <c r="I38" s="225">
        <v>0</v>
      </c>
    </row>
    <row r="39" spans="1:9" x14ac:dyDescent="0.2">
      <c r="A39" s="172" t="s">
        <v>197</v>
      </c>
      <c r="B39" s="173">
        <v>0</v>
      </c>
      <c r="C39" s="173">
        <v>0.63600000000000001</v>
      </c>
      <c r="D39" s="173">
        <v>0.75800000000000001</v>
      </c>
      <c r="E39" s="173">
        <v>0.61599999999999999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3.7999999999999999E-2</v>
      </c>
      <c r="D40" s="173">
        <v>8.3000000000000004E-2</v>
      </c>
      <c r="E40" s="173">
        <v>4.8000000000000001E-2</v>
      </c>
      <c r="G40" s="245" t="s">
        <v>222</v>
      </c>
      <c r="H40" s="245"/>
      <c r="I40" s="225">
        <v>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9.0000000000000011E-3</v>
      </c>
      <c r="D43" s="202">
        <f>SUM(D47:D50)</f>
        <v>8.0000000000000002E-3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63.45</v>
      </c>
      <c r="D44" s="232">
        <v>61.05</v>
      </c>
      <c r="E44" s="232">
        <v>64.010000000000005</v>
      </c>
    </row>
    <row r="45" spans="1:9" x14ac:dyDescent="0.2">
      <c r="A45" s="233" t="s">
        <v>227</v>
      </c>
      <c r="B45" s="231">
        <f>J29+K29</f>
        <v>18690</v>
      </c>
      <c r="C45" s="231">
        <f>J30</f>
        <v>22800</v>
      </c>
      <c r="D45" s="231">
        <f>J31</f>
        <v>20880</v>
      </c>
      <c r="E45" s="231">
        <f>J32</f>
        <v>11430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1E-3</v>
      </c>
    </row>
    <row r="49" spans="1:5" x14ac:dyDescent="0.2">
      <c r="A49" s="172" t="s">
        <v>201</v>
      </c>
      <c r="B49" s="173">
        <v>0</v>
      </c>
      <c r="C49" s="173">
        <v>4.0000000000000001E-3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2025-06-30T13:29:19Z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