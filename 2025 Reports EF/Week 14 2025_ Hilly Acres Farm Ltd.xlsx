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71433D2-F9BC-476A-AAB6-4B566BD2894C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L27" i="6" l="1"/>
  <c r="I71" i="6"/>
  <c r="I24" i="6"/>
  <c r="I25" i="6"/>
  <c r="I26" i="6"/>
  <c r="I28" i="6"/>
  <c r="L28" i="6" s="1"/>
  <c r="I29" i="6"/>
  <c r="L29" i="6" s="1"/>
  <c r="I30" i="6"/>
  <c r="I31" i="6"/>
  <c r="I33" i="6"/>
  <c r="L33" i="6" s="1"/>
  <c r="I34" i="6"/>
  <c r="L34" i="6" s="1"/>
  <c r="I35" i="6"/>
  <c r="L35" i="6" s="1"/>
  <c r="I36" i="6"/>
  <c r="L36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J25" i="6"/>
  <c r="J26" i="6"/>
  <c r="J27" i="6"/>
  <c r="I27" i="6" s="1"/>
  <c r="J28" i="6"/>
  <c r="J29" i="6"/>
  <c r="J30" i="6"/>
  <c r="J31" i="6"/>
  <c r="J32" i="6"/>
  <c r="I32" i="6" s="1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P37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<sst xmlns="http://schemas.openxmlformats.org/spreadsheetml/2006/main" count="583" uniqueCount="239">
  <si>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</si>
  <si>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</si>
  <si>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</si>
  <si>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</si>
  <si>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</si>
  <si>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</si>
  <si>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</si>
  <si>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</si>
  <si>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</si>
  <si>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</si>
  <si>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</si>
  <si>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</si>
  <si>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</si>
  <si>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</si>
  <si>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</si>
  <si>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</si>
  <si>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</si>
  <si>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</si>
  <si>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</si>
  <si>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</si>
  <si>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</si>
  <si>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</si>
  <si>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</si>
  <si>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</si>
  <si>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</si>
  <si>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</si>
  <si>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</si>
  <si>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</si>
  <si>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</si>
  <si>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</si>
  <si>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</si>
  <si>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</si>
  <si>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</si>
  <si>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</si>
  <si>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</si>
  <si>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</si>
  <si>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</si>
  <si>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</si>
  <si>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</si>
  <si>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</si>
  <si>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</si>
  <si>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</si>
  <si>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</si>
  <si>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</si>
  <si>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</si>
  <si>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</si>
  <si>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</si>
  <si>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</si>
  <si>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</si>
  <si>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</si>
  <si>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</si>
  <si>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</si>
  <si>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</si>
  <si>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</si>
  <si>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</si>
  <si>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</si>
  <si>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</si>
  <si>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</si>
  <si>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</si>
  <si>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</si>
  <si>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</si>
  <si>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</si>
  <si>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</si>
  <si>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</si>
  <si>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</si>
  <si>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</si>
  <si>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</si>
  <si>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</si>
  <si>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</si>
  <si>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</si>
  <si>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</si>
  <si>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</si>
  <si>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</si>
  <si>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</si>
  <si>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</si>
  <si>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</si>
  <si>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</si>
  <si>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</si>
  <si>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</si>
  <si>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</si>
  <si>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</si>
  <si>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</si>
  <si>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</si>
  <si>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</si>
  <si>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</si>
  <si>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</si>
  <si>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</si>
  <si>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</si>
  <si>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</si>
  <si>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</si>
  <si>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</si>
  <si>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</si>
  <si>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</si>
  <si>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</si>
  <si>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</si>
  <si>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</si>
  <si>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</si>
  <si>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</si>
  <si>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</si>
  <si>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</si>
  <si>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</si>
  <si>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</si>
  <si>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</si>
  <si>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</si>
  <si>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</si>
  <si>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</si>
  <si>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</si>
  <si>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</si>
  <si>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</si>
  <si>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</si>
  <si>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</si>
  <si>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</si>
  <si>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</si>
  <si>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</si>
  <si>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</si>
  <si>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</si>
  <si>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</si>
  <si>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</si>
  <si>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</si>
  <si>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</si>
  <si>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</si>
  <si>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</si>
  <si>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</si>
  <si>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</si>
  <si>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</si>
  <si>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</si>
  <si>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</si>
  <si>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</si>
  <si>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</si>
  <si>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</si>
  <si>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</si>
  <si>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</si>
  <si>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</si>
  <si>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</si>
  <si>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</si>
  <si>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</si>
  <si>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</si>
  <si>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</si>
  <si>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</si>
  <si>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</si>
  <si>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</si>
  <si>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</si>
  <si>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</si>
  <si>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</si>
  <si>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</si>
  <si>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</si>
  <si>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</si>
  <si>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</si>
  <si>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</si>
  <si>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</si>
  <si>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</si>
  <si>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</si>
  <si>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</si>
  <si>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</si>
  <si>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</si>
  <si>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</si>
  <si>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</si>
  <si>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</si>
  <si>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</si>
  <si>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</si>
  <si>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</si>
  <si>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</si>
  <si>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</si>
  <si>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</si>
  <si>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</si>
  <si>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</si>
  <si>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</si>
  <si>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</si>
  <si>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</si>
  <si>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</si>
  <si>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</si>
  <si>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</si>
  <si>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</si>
  <si>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</si>
  <si>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</si>
  <si>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</si>
  <si>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</si>
  <si>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</si>
  <si>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</si>
  <si>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</si>
  <si>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</si>
  <si>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</si>
  <si>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</si>
  <si>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</si>
  <si>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</si>
  <si>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</si>
  <si>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</si>
  <si>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</si>
  <si>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</si>
  <si>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</si>
  <si>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</si>
  <si>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</si>
  <si>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</si>
  <si>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</si>
  <si>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</si>
  <si>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</si>
  <si>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</si>
  <si>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</si>
  <si>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</si>
  <si>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</si>
  <si>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</si>
  <si>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</si>
  <si>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</si>
  <si>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</si>
  <si>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</si>
  <si>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</si>
  <si>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</si>
  <si>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</si>
  <si>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</si>
  <si>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</si>
  <si>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</si>
  <si>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</si>
  <si>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</si>
  <si>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</si>
  <si>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</si>
  <si>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</si>
  <si>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</si>
  <si>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</si>
  <si>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</si>
  <si>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</si>
  <si>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</si>
  <si>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</si>
  <si>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</si>
  <si>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</si>
  <si>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</si>
  <si>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</si>
  <si>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</si>
  <si>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</si>
  <si>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</si>
  <si>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</si>
  <si>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</si>
  <si>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</si>
  <si>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</si>
  <si>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</si>
  <si>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</si>
  <si>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</si>
  <si>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</si>
  <si>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</si>
  <si>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April 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</si>
</sst>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U34" sqref="U34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13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45746.25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11094.034407724737</v>
      </c>
      <c r="I7" s="27">
        <v>0</v>
      </c>
      <c r="J7" s="26">
        <f>IFERROR(H7-I7,"")</f>
        <v>11094.034407724737</v>
      </c>
      <c r="K7" s="26">
        <f>IFERROR(($E$26/($H$27+$H$28)*$H$27)*R28,"")</f>
        <v>77.658240854073156</v>
      </c>
      <c r="L7" s="26">
        <f>IFERROR(($E$26/($H$27+$H$28)*$H$27)*S28,"")</f>
        <v>33.282103223174211</v>
      </c>
      <c r="M7" s="28">
        <f>IFERROR(K7+L7,"")</f>
        <v>110.94034407724737</v>
      </c>
      <c r="N7" s="29">
        <f>IFERROR(O7+P7+Q7+R7+S7+T7+U7+V7,"")</f>
        <v>10983.09406364749</v>
      </c>
      <c r="O7" s="26">
        <f t="shared" ref="O7:V7" si="0">IFERROR(($E$26/($H$27+$H$28)*$H$27)*J28,"")</f>
        <v>288.44489460084316</v>
      </c>
      <c r="P7" s="26">
        <f>IFERROR(($E$26/($H$27+$H$28)*$H$27)*K28,"")</f>
        <v>2773.5086019311843</v>
      </c>
      <c r="Q7" s="26">
        <f t="shared" si="0"/>
        <v>7310.9686746906018</v>
      </c>
      <c r="R7" s="26">
        <f t="shared" si="0"/>
        <v>587.98382360941105</v>
      </c>
      <c r="S7" s="26">
        <f t="shared" si="0"/>
        <v>0</v>
      </c>
      <c r="T7" s="26">
        <f t="shared" si="0"/>
        <v>0</v>
      </c>
      <c r="U7" s="26">
        <f t="shared" si="0"/>
        <v>22.188068815449476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1070.9655922752615</v>
      </c>
      <c r="I8" s="27">
        <v>0</v>
      </c>
      <c r="J8" s="26">
        <f>IFERROR(H8-I8,"")</f>
        <v>1070.9655922752615</v>
      </c>
      <c r="K8" s="26">
        <f>IFERROR(($E$26/($H$27+$H$28)*$H$28)*R28,"")</f>
        <v>7.4967591459268323</v>
      </c>
      <c r="L8" s="26">
        <f>IFERROR(($E$26/($H$27+$H$28)*$H$28)*S28,"")</f>
        <v>3.2128967768257852</v>
      </c>
      <c r="M8" s="28">
        <f>IFERROR(K8+L8,"")</f>
        <v>10.709655922752617</v>
      </c>
      <c r="N8" s="29">
        <f>IFERROR(O8+P8+Q8+R8+S8+T8+U8+V8,"")</f>
        <v>1060.255936352509</v>
      </c>
      <c r="O8" s="26">
        <f t="shared" ref="O8:V8" si="1">IFERROR(($E$26/($H$27+$H$28)*$H$28)*J28,"")</f>
        <v>27.845105399156804</v>
      </c>
      <c r="P8" s="26">
        <f t="shared" si="1"/>
        <v>267.74139806881544</v>
      </c>
      <c r="Q8" s="26">
        <f t="shared" si="1"/>
        <v>705.76632530939753</v>
      </c>
      <c r="R8" s="26">
        <f t="shared" si="1"/>
        <v>56.761176390588872</v>
      </c>
      <c r="S8" s="26">
        <f t="shared" si="1"/>
        <v>0</v>
      </c>
      <c r="T8" s="26">
        <f t="shared" si="1"/>
        <v>0</v>
      </c>
      <c r="U8" s="26">
        <f t="shared" si="1"/>
        <v>2.1419311845505238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23430.000000000004</v>
      </c>
      <c r="I10" s="27">
        <v>0</v>
      </c>
      <c r="J10" s="26">
        <f>IFERROR(H10-I10,"")</f>
        <v>23430.000000000004</v>
      </c>
      <c r="K10" s="26">
        <f>IFERROR(($E$30/($H$31+$H$32)*$H$31)*R32,"")</f>
        <v>117.15</v>
      </c>
      <c r="L10" s="26">
        <f>IFERROR(($E$30/($H$31+$H$32)*$H$31)*S32,"")</f>
        <v>23.43</v>
      </c>
      <c r="M10" s="28">
        <f>IFERROR(K10+L10,"")</f>
        <v>140.58000000000001</v>
      </c>
      <c r="N10" s="29">
        <f>IFERROR(O10+P10+Q10+R10+S10+T10+U10+V10,"")</f>
        <v>23289.420000000002</v>
      </c>
      <c r="O10" s="26">
        <f t="shared" ref="O10:V10" si="2">IFERROR(($E$30/($H$31+$H$32)*$H$31)*J32,"")</f>
        <v>1030.9199999999998</v>
      </c>
      <c r="P10" s="26">
        <f t="shared" si="2"/>
        <v>6208.9500000000007</v>
      </c>
      <c r="Q10" s="26">
        <f t="shared" si="2"/>
        <v>14503.17</v>
      </c>
      <c r="R10" s="26">
        <f t="shared" si="2"/>
        <v>1499.52</v>
      </c>
      <c r="S10" s="26">
        <f t="shared" si="2"/>
        <v>0</v>
      </c>
      <c r="T10" s="26">
        <f t="shared" si="2"/>
        <v>0</v>
      </c>
      <c r="U10" s="26">
        <f t="shared" si="2"/>
        <v>46.86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19528.324236937402</v>
      </c>
      <c r="I13" s="27">
        <v>0</v>
      </c>
      <c r="J13" s="26">
        <f>IFERROR(H13-I13,"")</f>
        <v>19528.324236937402</v>
      </c>
      <c r="K13" s="26">
        <f>IFERROR(($E$34/($H$35+$H$36)*$H$35)*R36,"")</f>
        <v>117.16994542162443</v>
      </c>
      <c r="L13" s="26">
        <f>IFERROR(($E$34/($H$35+$H$36)*$H$35)*S36,"")</f>
        <v>39.056648473874809</v>
      </c>
      <c r="M13" s="28">
        <f>IFERROR(K13+L13,"")</f>
        <v>156.22659389549924</v>
      </c>
      <c r="N13" s="29">
        <f>IFERROR(O13+P13+Q13+R13+S13+T13+U13+V13,"")</f>
        <v>19372.097643041903</v>
      </c>
      <c r="O13" s="26">
        <f t="shared" ref="O13:V13" si="4">IFERROR(($E$34/($H$35+$H$36)*$H$35)*J36,"")</f>
        <v>703.01967252974657</v>
      </c>
      <c r="P13" s="26">
        <f t="shared" si="4"/>
        <v>4960.1943561821008</v>
      </c>
      <c r="Q13" s="26">
        <f t="shared" si="4"/>
        <v>11716.994542162443</v>
      </c>
      <c r="R13" s="26">
        <f t="shared" si="4"/>
        <v>1933.3040994568032</v>
      </c>
      <c r="S13" s="26">
        <f t="shared" si="4"/>
        <v>0</v>
      </c>
      <c r="T13" s="26">
        <f t="shared" si="4"/>
        <v>0</v>
      </c>
      <c r="U13" s="26">
        <f t="shared" si="4"/>
        <v>58.584972710812217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2176.6757630625971</v>
      </c>
      <c r="I14" s="27">
        <v>0</v>
      </c>
      <c r="J14" s="26">
        <f>IFERROR(H14-I14,"")</f>
        <v>2176.6757630625971</v>
      </c>
      <c r="K14" s="26">
        <f>IFERROR(($E$34/($H$35+$H$36)*$H$36)*R36,"")</f>
        <v>13.060054578375583</v>
      </c>
      <c r="L14" s="26">
        <f>IFERROR(($E$34/($H$35+$H$36)*$H$36)*S36,"")</f>
        <v>4.353351526125194</v>
      </c>
      <c r="M14" s="28">
        <f>IFERROR(K14+L14,"")</f>
        <v>17.413406104500776</v>
      </c>
      <c r="N14" s="29">
        <f>IFERROR(O14+P14+Q14+R14+S14+T14+U14+V14,"")</f>
        <v>2159.2623569580965</v>
      </c>
      <c r="O14" s="26">
        <f t="shared" ref="O14:V14" si="5">IFERROR(($E$34/($H$35+$H$36)*$H$36)*J36,"")</f>
        <v>78.360327470253495</v>
      </c>
      <c r="P14" s="26">
        <f t="shared" si="5"/>
        <v>552.87564381789969</v>
      </c>
      <c r="Q14" s="26">
        <f t="shared" si="5"/>
        <v>1306.0054578375582</v>
      </c>
      <c r="R14" s="26">
        <f t="shared" si="5"/>
        <v>215.49090054319711</v>
      </c>
      <c r="S14" s="26">
        <f t="shared" si="5"/>
        <v>0</v>
      </c>
      <c r="T14" s="26">
        <f t="shared" si="5"/>
        <v>0</v>
      </c>
      <c r="U14" s="26">
        <f t="shared" si="5"/>
        <v>6.5300272891877915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11520</v>
      </c>
      <c r="I16" s="27">
        <v>0</v>
      </c>
      <c r="J16" s="26">
        <f>IFERROR(H16-I16,"")</f>
        <v>11520</v>
      </c>
      <c r="K16" s="26">
        <f>IFERROR(($E$38/($H$39)*$H$39)*R40,"")</f>
        <v>69.12</v>
      </c>
      <c r="L16" s="26">
        <f>IFERROR(($E$38/($H$39)*$H$39)*S40,"")</f>
        <v>11.52</v>
      </c>
      <c r="M16" s="28">
        <f>IFERROR(K16+L16,"")</f>
        <v>80.64</v>
      </c>
      <c r="N16" s="29">
        <f>IFERROR(O16+P16+Q16+R16+S16+T16+U16+V16,"")</f>
        <v>11439.36</v>
      </c>
      <c r="O16" s="26">
        <f t="shared" ref="O16:V16" si="6">IFERROR(($E$38/($H$39)*$H$39)*J40,"")</f>
        <v>449.28</v>
      </c>
      <c r="P16" s="26">
        <f t="shared" si="6"/>
        <v>3720.96</v>
      </c>
      <c r="Q16" s="26">
        <f t="shared" si="6"/>
        <v>6865.92</v>
      </c>
      <c r="R16" s="26">
        <f t="shared" si="6"/>
        <v>380.16</v>
      </c>
      <c r="S16" s="26">
        <f t="shared" si="6"/>
        <v>0</v>
      </c>
      <c r="T16" s="26">
        <f t="shared" si="6"/>
        <v>0</v>
      </c>
      <c r="U16" s="26">
        <f t="shared" si="6"/>
        <v>23.04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68820</v>
      </c>
      <c r="I19" s="37">
        <f t="shared" si="7"/>
        <v>0</v>
      </c>
      <c r="J19" s="37">
        <f t="shared" si="7"/>
        <v>68820</v>
      </c>
      <c r="K19" s="37">
        <f t="shared" si="7"/>
        <v>401.65500000000003</v>
      </c>
      <c r="L19" s="37">
        <f t="shared" si="7"/>
        <v>114.85499999999999</v>
      </c>
      <c r="M19" s="37">
        <f t="shared" si="7"/>
        <v>516.5100000000001</v>
      </c>
      <c r="N19" s="37">
        <f t="shared" si="7"/>
        <v>68303.490000000005</v>
      </c>
      <c r="O19" s="37">
        <f t="shared" si="7"/>
        <v>2577.87</v>
      </c>
      <c r="P19" s="37">
        <f t="shared" si="7"/>
        <v>18484.23</v>
      </c>
      <c r="Q19" s="37">
        <f t="shared" si="7"/>
        <v>42408.824999999997</v>
      </c>
      <c r="R19" s="37">
        <f t="shared" si="7"/>
        <v>4673.22</v>
      </c>
      <c r="S19" s="37">
        <f t="shared" si="7"/>
        <v>0</v>
      </c>
      <c r="T19" s="37">
        <f t="shared" si="7"/>
        <v>0</v>
      </c>
      <c r="U19" s="37">
        <f t="shared" si="7"/>
        <v>159.345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68820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12165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20117</v>
      </c>
      <c r="I27" s="30"/>
      <c r="J27" s="198">
        <f>$E$26*J28</f>
        <v>316.28999999999996</v>
      </c>
      <c r="K27" s="198">
        <f t="shared" ref="K27:S27" si="8">$E$26*K28</f>
        <v>3041.25</v>
      </c>
      <c r="L27" s="198">
        <f t="shared" si="8"/>
        <v>8016.7350000000006</v>
      </c>
      <c r="M27" s="198">
        <f t="shared" si="8"/>
        <v>644.745</v>
      </c>
      <c r="N27" s="198">
        <f t="shared" si="8"/>
        <v>0</v>
      </c>
      <c r="O27" s="198">
        <f t="shared" si="8"/>
        <v>0</v>
      </c>
      <c r="P27" s="198">
        <f t="shared" si="8"/>
        <v>24.330000000000002</v>
      </c>
      <c r="Q27" s="198">
        <f t="shared" si="8"/>
        <v>0</v>
      </c>
      <c r="R27" s="198">
        <f t="shared" si="8"/>
        <v>85.155000000000001</v>
      </c>
      <c r="S27" s="198">
        <f t="shared" si="8"/>
        <v>36.494999999999997</v>
      </c>
      <c r="T27" s="199">
        <f>SUM(J27:S27)</f>
        <v>12165.000000000004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1942</v>
      </c>
      <c r="I28" s="30"/>
      <c r="J28" s="197">
        <f>Inputs!B37</f>
        <v>2.5999999999999999E-2</v>
      </c>
      <c r="K28" s="197">
        <f>Inputs!B38</f>
        <v>0.25</v>
      </c>
      <c r="L28" s="197">
        <f>Inputs!B39</f>
        <v>0.65900000000000003</v>
      </c>
      <c r="M28" s="197">
        <f>Inputs!B40</f>
        <v>5.2999999999999999E-2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7.0000000000000001E-3</v>
      </c>
      <c r="S28" s="197">
        <f>Inputs!B47</f>
        <v>3.0000000000000001E-3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23430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38920</v>
      </c>
      <c r="I31" s="26"/>
      <c r="J31" s="198">
        <f>$E30*J32</f>
        <v>1030.9199999999998</v>
      </c>
      <c r="K31" s="198">
        <f t="shared" ref="K31:S31" si="9">$E30*K32</f>
        <v>6208.9500000000007</v>
      </c>
      <c r="L31" s="198">
        <f t="shared" si="9"/>
        <v>14503.17</v>
      </c>
      <c r="M31" s="198">
        <f t="shared" si="9"/>
        <v>1499.52</v>
      </c>
      <c r="N31" s="198">
        <f t="shared" si="9"/>
        <v>0</v>
      </c>
      <c r="O31" s="198">
        <f t="shared" si="9"/>
        <v>0</v>
      </c>
      <c r="P31" s="198">
        <f t="shared" si="9"/>
        <v>46.86</v>
      </c>
      <c r="Q31" s="198">
        <f t="shared" si="9"/>
        <v>0</v>
      </c>
      <c r="R31" s="198">
        <f t="shared" si="9"/>
        <v>117.15</v>
      </c>
      <c r="S31" s="198">
        <f t="shared" si="9"/>
        <v>23.43</v>
      </c>
      <c r="T31" s="199">
        <f>SUM(J31:S31)</f>
        <v>23430.000000000004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4.3999999999999997E-2</v>
      </c>
      <c r="K32" s="197">
        <f>Inputs!C38</f>
        <v>0.26500000000000001</v>
      </c>
      <c r="L32" s="197">
        <f>Inputs!C39</f>
        <v>0.61899999999999999</v>
      </c>
      <c r="M32" s="197">
        <f>Inputs!C40</f>
        <v>6.4000000000000001E-2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5.0000000000000001E-3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21705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34783</v>
      </c>
      <c r="I35" s="30"/>
      <c r="J35" s="198">
        <f>$E34*J36</f>
        <v>781.38</v>
      </c>
      <c r="K35" s="198">
        <f t="shared" ref="K35:S35" si="10">$E34*K36</f>
        <v>5513.07</v>
      </c>
      <c r="L35" s="198">
        <f t="shared" si="10"/>
        <v>13023</v>
      </c>
      <c r="M35" s="198">
        <f t="shared" si="10"/>
        <v>2148.7950000000001</v>
      </c>
      <c r="N35" s="198">
        <f t="shared" si="10"/>
        <v>0</v>
      </c>
      <c r="O35" s="198">
        <f t="shared" si="10"/>
        <v>0</v>
      </c>
      <c r="P35" s="198">
        <f t="shared" si="10"/>
        <v>65.114999999999995</v>
      </c>
      <c r="Q35" s="198">
        <f t="shared" si="10"/>
        <v>0</v>
      </c>
      <c r="R35" s="198">
        <f t="shared" si="10"/>
        <v>130.22999999999999</v>
      </c>
      <c r="S35" s="198">
        <f t="shared" si="10"/>
        <v>43.410000000000004</v>
      </c>
      <c r="T35" s="199">
        <f>SUM(J35:S35)</f>
        <v>21705.000000000004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3877</v>
      </c>
      <c r="I36" s="30"/>
      <c r="J36" s="197">
        <f>Inputs!D37</f>
        <v>3.5999999999999997E-2</v>
      </c>
      <c r="K36" s="197">
        <f>Inputs!D38</f>
        <v>0.254</v>
      </c>
      <c r="L36" s="197">
        <f>Inputs!D39</f>
        <v>0.6</v>
      </c>
      <c r="M36" s="197">
        <f>Inputs!D40</f>
        <v>9.9000000000000005E-2</v>
      </c>
      <c r="N36" s="197">
        <f>Inputs!D41</f>
        <v>0</v>
      </c>
      <c r="O36" s="197">
        <v>0</v>
      </c>
      <c r="P36" s="197">
        <f>Inputs!D49</f>
        <v>3.0000000000000001E-3</v>
      </c>
      <c r="Q36" s="197">
        <f>Inputs!D42</f>
        <v>0</v>
      </c>
      <c r="R36" s="197">
        <f>Inputs!D48+Inputs!D50</f>
        <v>6.0000000000000001E-3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11520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18869</v>
      </c>
      <c r="I39" s="30"/>
      <c r="J39" s="198">
        <f>$E38*J40</f>
        <v>449.28</v>
      </c>
      <c r="K39" s="198">
        <f t="shared" ref="K39:S39" si="11">$E38*K40</f>
        <v>3720.96</v>
      </c>
      <c r="L39" s="198">
        <f t="shared" si="11"/>
        <v>6865.92</v>
      </c>
      <c r="M39" s="198">
        <f t="shared" si="11"/>
        <v>380.16</v>
      </c>
      <c r="N39" s="198">
        <f t="shared" si="11"/>
        <v>0</v>
      </c>
      <c r="O39" s="198">
        <f t="shared" si="11"/>
        <v>0</v>
      </c>
      <c r="P39" s="198">
        <f t="shared" si="11"/>
        <v>23.04</v>
      </c>
      <c r="Q39" s="198">
        <f t="shared" si="11"/>
        <v>0</v>
      </c>
      <c r="R39" s="198">
        <f t="shared" si="11"/>
        <v>69.12</v>
      </c>
      <c r="S39" s="198">
        <f t="shared" si="11"/>
        <v>11.52</v>
      </c>
      <c r="T39" s="199">
        <f>SUM(J39:S39)</f>
        <v>11520.000000000002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3.9E-2</v>
      </c>
      <c r="K40" s="197">
        <f>Inputs!E38</f>
        <v>0.32300000000000001</v>
      </c>
      <c r="L40" s="197">
        <f>Inputs!E39</f>
        <v>0.59599999999999997</v>
      </c>
      <c r="M40" s="197">
        <f>Inputs!E40</f>
        <v>3.3000000000000002E-2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D19" sqref="D19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45746.25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13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1800</v>
      </c>
      <c r="C13" s="220">
        <f>'Grade out Information'!X26</f>
        <v>27000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1800</v>
      </c>
      <c r="C27" s="222">
        <f>SUM(C13:C26)</f>
        <v>27000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D33" sqref="D33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13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2520</v>
      </c>
      <c r="J15" s="133">
        <f>X15*K15</f>
        <v>695.5200000000001</v>
      </c>
      <c r="K15" s="184">
        <f>Inputs!B36</f>
        <v>0.27600000000000002</v>
      </c>
      <c r="L15" s="133">
        <f>X15*M15</f>
        <v>1660.68</v>
      </c>
      <c r="M15" s="184">
        <f>Inputs!B39</f>
        <v>0.65900000000000003</v>
      </c>
      <c r="N15" s="133">
        <f>X15*O15</f>
        <v>133.56</v>
      </c>
      <c r="O15" s="184">
        <f>Inputs!B40</f>
        <v>5.2999999999999999E-2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30.240000000000002</v>
      </c>
      <c r="W15" s="185">
        <f>Inputs!B43</f>
        <v>1.2E-2</v>
      </c>
      <c r="X15" s="213">
        <f>Z15*15</f>
        <v>2520</v>
      </c>
      <c r="Y15" s="209">
        <f>K15+M15+O15+Q15+S15+U15+W15</f>
        <v>1</v>
      </c>
      <c r="Z15" s="226">
        <f>Inputs!I35</f>
        <v>168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180</v>
      </c>
      <c r="J16" s="133">
        <f>X16*K16</f>
        <v>49.680000000000007</v>
      </c>
      <c r="K16" s="184">
        <f>K15</f>
        <v>0.27600000000000002</v>
      </c>
      <c r="L16" s="133">
        <f t="shared" ref="L16:L23" si="0">X16*M16</f>
        <v>118.62</v>
      </c>
      <c r="M16" s="184">
        <f>M15</f>
        <v>0.65900000000000003</v>
      </c>
      <c r="N16" s="133">
        <f t="shared" ref="N16:N21" si="1">X16*O16</f>
        <v>9.5399999999999991</v>
      </c>
      <c r="O16" s="184">
        <f>O15</f>
        <v>5.2999999999999999E-2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2.16</v>
      </c>
      <c r="W16" s="185">
        <f>W15</f>
        <v>1.2E-2</v>
      </c>
      <c r="X16" s="213">
        <f t="shared" ref="X16:X23" si="6">Z16*15</f>
        <v>180</v>
      </c>
      <c r="Y16" s="209">
        <f>K16+M16+O16+Q16+S16+U16+W16</f>
        <v>1</v>
      </c>
      <c r="Z16" s="226">
        <f>Inputs!I36</f>
        <v>12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0.309</v>
      </c>
      <c r="L18" s="133">
        <f t="shared" si="0"/>
        <v>0</v>
      </c>
      <c r="M18" s="184">
        <f>Inputs!C39</f>
        <v>0.61899999999999999</v>
      </c>
      <c r="N18" s="133">
        <f t="shared" si="1"/>
        <v>0</v>
      </c>
      <c r="O18" s="184">
        <f>Inputs!C40</f>
        <v>6.4000000000000001E-2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8.0000000000000002E-3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20730</v>
      </c>
      <c r="J20" s="133">
        <f>X20*K20</f>
        <v>6011.7</v>
      </c>
      <c r="K20" s="184">
        <f>Inputs!D36</f>
        <v>0.28999999999999998</v>
      </c>
      <c r="L20" s="133">
        <f t="shared" si="0"/>
        <v>12438</v>
      </c>
      <c r="M20" s="184">
        <f>Inputs!D39</f>
        <v>0.6</v>
      </c>
      <c r="N20" s="133">
        <f t="shared" si="1"/>
        <v>2052.27</v>
      </c>
      <c r="O20" s="184">
        <f>Inputs!D40</f>
        <v>9.9000000000000005E-2</v>
      </c>
      <c r="P20" s="133">
        <f t="shared" si="2"/>
        <v>0</v>
      </c>
      <c r="Q20" s="184">
        <f>Inputs!D41</f>
        <v>0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228.02999999999997</v>
      </c>
      <c r="W20" s="185">
        <f>Inputs!D43</f>
        <v>1.0999999999999999E-2</v>
      </c>
      <c r="X20" s="213">
        <f t="shared" si="6"/>
        <v>20730</v>
      </c>
      <c r="Y20" s="209">
        <f>K20+M20+O20+Q20+S20+U20+W20</f>
        <v>0.99999999999999989</v>
      </c>
      <c r="Z20" s="226">
        <f>Inputs!I38</f>
        <v>1382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870</v>
      </c>
      <c r="J21" s="133">
        <f>X21*K21</f>
        <v>252.29999999999998</v>
      </c>
      <c r="K21" s="184">
        <f>K20</f>
        <v>0.28999999999999998</v>
      </c>
      <c r="L21" s="133">
        <f t="shared" si="0"/>
        <v>522</v>
      </c>
      <c r="M21" s="184">
        <f>M20</f>
        <v>0.6</v>
      </c>
      <c r="N21" s="133">
        <f t="shared" si="1"/>
        <v>86.13000000000001</v>
      </c>
      <c r="O21" s="184">
        <f>O20</f>
        <v>9.9000000000000005E-2</v>
      </c>
      <c r="P21" s="133">
        <f t="shared" si="2"/>
        <v>0</v>
      </c>
      <c r="Q21" s="184">
        <f>Q20</f>
        <v>0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9.57</v>
      </c>
      <c r="W21" s="185">
        <f>W20</f>
        <v>1.0999999999999999E-2</v>
      </c>
      <c r="X21" s="213">
        <f t="shared" si="6"/>
        <v>870</v>
      </c>
      <c r="Y21" s="209">
        <f>K21+M21+O21+Q21+S21+U21+W21</f>
        <v>0.99999999999999989</v>
      </c>
      <c r="Z21" s="226">
        <f>Inputs!I39</f>
        <v>58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2700</v>
      </c>
      <c r="J23" s="133">
        <f>X23*K23</f>
        <v>977.4</v>
      </c>
      <c r="K23" s="184">
        <f>Inputs!E36</f>
        <v>0.36199999999999999</v>
      </c>
      <c r="L23" s="133">
        <f t="shared" si="0"/>
        <v>1609.1999999999998</v>
      </c>
      <c r="M23" s="184">
        <f>Inputs!E39</f>
        <v>0.59599999999999997</v>
      </c>
      <c r="N23" s="133">
        <f>X23*O23</f>
        <v>89.100000000000009</v>
      </c>
      <c r="O23" s="184">
        <f>Inputs!E40</f>
        <v>3.3000000000000002E-2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24.300000000000004</v>
      </c>
      <c r="W23" s="218">
        <f>Inputs!E43</f>
        <v>9.0000000000000011E-3</v>
      </c>
      <c r="X23" s="213">
        <f t="shared" si="6"/>
        <v>2700</v>
      </c>
      <c r="Y23" s="209">
        <f>K23+M23+O23+Q23+S23+U23+W23</f>
        <v>1</v>
      </c>
      <c r="Z23" s="226">
        <f>Inputs!I40</f>
        <v>180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7986.5999999999995</v>
      </c>
      <c r="K26" s="139"/>
      <c r="L26" s="139">
        <f>SUM(L15:L25)</f>
        <v>16348.5</v>
      </c>
      <c r="M26" s="139"/>
      <c r="N26" s="139">
        <f>SUM(N15:N25)</f>
        <v>2370.6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294.29999999999995</v>
      </c>
      <c r="W26" s="139"/>
      <c r="X26" s="139">
        <f>SUM(X15:X25)</f>
        <v>27000</v>
      </c>
      <c r="Y26" s="139"/>
      <c r="Z26" s="139">
        <f>SUM(Z15:Z25)</f>
        <v>1800</v>
      </c>
      <c r="AA26" s="141">
        <f>IF(Z33=0,0,Z33/(H33+Z33))</f>
        <v>0</v>
      </c>
      <c r="AB26" s="139">
        <f>G26+X26</f>
        <v>27000</v>
      </c>
      <c r="AC26" s="139">
        <f>H26+Z26</f>
        <v>1800</v>
      </c>
      <c r="AD26" s="141">
        <f>I26+AA26</f>
        <v>0</v>
      </c>
    </row>
    <row r="30" spans="1:30" x14ac:dyDescent="0.2">
      <c r="A30" s="3" t="s">
        <v>107</v>
      </c>
      <c r="B30">
        <f>J26</f>
        <v>7986.5999999999995</v>
      </c>
    </row>
    <row r="31" spans="1:30" x14ac:dyDescent="0.2">
      <c r="A31" s="3" t="s">
        <v>108</v>
      </c>
      <c r="B31">
        <f>L26</f>
        <v>16348.5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2370.6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294.29999999999995</v>
      </c>
    </row>
    <row r="38" spans="1:13" x14ac:dyDescent="0.2">
      <c r="A38" s="3" t="s">
        <v>128</v>
      </c>
      <c r="B38">
        <f>SUM(B30:B36)</f>
        <v>26999.999999999996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E23" sqref="E23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20117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1942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38920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34783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3877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18869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37" sqref="N37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13</v>
      </c>
      <c r="C7" s="151">
        <v>940536</v>
      </c>
      <c r="D7" s="188" t="s">
        <v>183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1423</v>
      </c>
      <c r="J7" s="189">
        <f>IF(H7="NEW",203, IF(H7="OLD",192,0))</f>
        <v>203</v>
      </c>
      <c r="K7" s="151">
        <v>1626</v>
      </c>
      <c r="L7" s="211">
        <f>IF(K7&gt;0,I7/E7,"NA")</f>
        <v>23.716666666666665</v>
      </c>
      <c r="M7" s="151">
        <v>129046</v>
      </c>
      <c r="N7" s="152" t="s">
        <v>238</v>
      </c>
      <c r="O7" s="157" t="s">
        <v>237</v>
      </c>
      <c r="P7" s="187">
        <f>IF(D7=Inputs!F$2,Inputs!I$2,IF(D7=Inputs!F$3,Inputs!I$3,IF(D7=Inputs!F$4,Inputs!I$4,IF(D7=Inputs!F$5,Inputs!I$5,"NA"))))</f>
        <v>68.892857142857139</v>
      </c>
    </row>
    <row r="8" spans="1:16" x14ac:dyDescent="0.25">
      <c r="A8" s="148">
        <v>2</v>
      </c>
      <c r="B8" s="189">
        <f>Inputs!C$2</f>
        <v>13</v>
      </c>
      <c r="C8" s="151">
        <v>940537</v>
      </c>
      <c r="D8" s="188" t="s">
        <v>181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1307</v>
      </c>
      <c r="J8" s="189">
        <f>IF(H8="NEW",203, IF(H8="OLD",192,0))</f>
        <v>203</v>
      </c>
      <c r="K8" s="151">
        <v>1510</v>
      </c>
      <c r="L8" s="211">
        <f>IF(K8&gt;0,I8/E8,"NA")</f>
        <v>21.783333333333335</v>
      </c>
      <c r="M8" s="151">
        <v>129046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24.892857142857142</v>
      </c>
    </row>
    <row r="9" spans="1:16" x14ac:dyDescent="0.25">
      <c r="A9" s="148">
        <v>3</v>
      </c>
      <c r="B9" s="189">
        <f>Inputs!C$2</f>
        <v>13</v>
      </c>
      <c r="C9" s="151">
        <v>940538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1309</v>
      </c>
      <c r="J9" s="189">
        <f>IF(H9="NEW",203, IF(H9="OLD",192,0))</f>
        <v>203</v>
      </c>
      <c r="K9" s="151">
        <v>1512</v>
      </c>
      <c r="L9" s="211">
        <f t="shared" ref="L9:L72" si="1">IF(K9&gt;0,I9/E9,"NA")</f>
        <v>21.816666666666666</v>
      </c>
      <c r="M9" s="151">
        <v>129046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24.892857142857142</v>
      </c>
    </row>
    <row r="10" spans="1:16" x14ac:dyDescent="0.25">
      <c r="A10" s="148">
        <v>4</v>
      </c>
      <c r="B10" s="189">
        <f>Inputs!C$2</f>
        <v>13</v>
      </c>
      <c r="C10" s="151">
        <v>940539</v>
      </c>
      <c r="D10" s="188" t="s">
        <v>5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1505</v>
      </c>
      <c r="J10" s="189">
        <f>IF(H10="NEW",203, IF(H10="OLD",192,0))</f>
        <v>203</v>
      </c>
      <c r="K10" s="151">
        <v>1708</v>
      </c>
      <c r="L10" s="211">
        <f t="shared" si="1"/>
        <v>25.083333333333332</v>
      </c>
      <c r="M10" s="151">
        <v>129046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42.464285714285715</v>
      </c>
    </row>
    <row r="11" spans="1:16" x14ac:dyDescent="0.25">
      <c r="A11" s="148">
        <v>5</v>
      </c>
      <c r="B11" s="189">
        <f>Inputs!C$2</f>
        <v>13</v>
      </c>
      <c r="C11" s="151">
        <v>940540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1305</v>
      </c>
      <c r="J11" s="189">
        <f t="shared" ref="J11:J72" si="2">IF(H11="NEW",203, IF(H11="OLD",192,0))</f>
        <v>203</v>
      </c>
      <c r="K11" s="151">
        <v>1508</v>
      </c>
      <c r="L11" s="211">
        <f>IF(K11&gt;0,I11/E11,"NA")</f>
        <v>21.75</v>
      </c>
      <c r="M11" s="151">
        <v>129046</v>
      </c>
      <c r="N11" s="152" t="s">
        <v>238</v>
      </c>
      <c r="O11" s="157" t="s">
        <v>51</v>
      </c>
      <c r="P11" s="187">
        <f>IF(D11=Inputs!F$2,Inputs!I$2,IF(D11=Inputs!F$3,Inputs!I$3,IF(D11=Inputs!F$4,Inputs!I$4,IF(D11=Inputs!F$5,Inputs!I$5,"NA"))))</f>
        <v>24.892857142857142</v>
      </c>
    </row>
    <row r="12" spans="1:16" x14ac:dyDescent="0.25">
      <c r="A12" s="148">
        <v>6</v>
      </c>
      <c r="B12" s="189">
        <f>Inputs!C$2</f>
        <v>13</v>
      </c>
      <c r="C12" s="151">
        <v>940541</v>
      </c>
      <c r="D12" s="188" t="s">
        <v>5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1535</v>
      </c>
      <c r="J12" s="189">
        <f t="shared" si="2"/>
        <v>203</v>
      </c>
      <c r="K12" s="151">
        <v>1738</v>
      </c>
      <c r="L12" s="211">
        <f t="shared" si="1"/>
        <v>25.583333333333332</v>
      </c>
      <c r="M12" s="151">
        <v>129046</v>
      </c>
      <c r="N12" s="152" t="s">
        <v>238</v>
      </c>
      <c r="O12" s="157" t="s">
        <v>51</v>
      </c>
      <c r="P12" s="187">
        <f>IF(D12=Inputs!F$2,Inputs!I$2,IF(D12=Inputs!F$3,Inputs!I$3,IF(D12=Inputs!F$4,Inputs!I$4,IF(D12=Inputs!F$5,Inputs!I$5,"NA"))))</f>
        <v>42.464285714285715</v>
      </c>
    </row>
    <row r="13" spans="1:16" x14ac:dyDescent="0.25">
      <c r="A13" s="148">
        <v>7</v>
      </c>
      <c r="B13" s="189">
        <f>Inputs!C$2</f>
        <v>13</v>
      </c>
      <c r="C13" s="151">
        <v>940542</v>
      </c>
      <c r="D13" s="188" t="s">
        <v>183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1513</v>
      </c>
      <c r="J13" s="189">
        <f t="shared" si="2"/>
        <v>203</v>
      </c>
      <c r="K13" s="151">
        <v>1716</v>
      </c>
      <c r="L13" s="211">
        <f t="shared" si="1"/>
        <v>25.216666666666665</v>
      </c>
      <c r="M13" s="151">
        <v>129046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68.892857142857139</v>
      </c>
    </row>
    <row r="14" spans="1:16" x14ac:dyDescent="0.25">
      <c r="A14" s="148">
        <v>8</v>
      </c>
      <c r="B14" s="189">
        <f>Inputs!C$2</f>
        <v>13</v>
      </c>
      <c r="C14" s="151">
        <v>940543</v>
      </c>
      <c r="D14" s="188" t="s">
        <v>181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1311</v>
      </c>
      <c r="J14" s="189">
        <f t="shared" si="2"/>
        <v>203</v>
      </c>
      <c r="K14" s="151">
        <v>1514</v>
      </c>
      <c r="L14" s="211">
        <f t="shared" si="1"/>
        <v>21.85</v>
      </c>
      <c r="M14" s="151">
        <v>129046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24.892857142857142</v>
      </c>
    </row>
    <row r="15" spans="1:16" x14ac:dyDescent="0.25">
      <c r="A15" s="148">
        <v>9</v>
      </c>
      <c r="B15" s="189">
        <f>Inputs!C$2</f>
        <v>13</v>
      </c>
      <c r="C15" s="151">
        <v>940544</v>
      </c>
      <c r="D15" s="188" t="s">
        <v>181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1309</v>
      </c>
      <c r="J15" s="189">
        <f t="shared" si="2"/>
        <v>203</v>
      </c>
      <c r="K15" s="151">
        <v>1512</v>
      </c>
      <c r="L15" s="211">
        <f t="shared" si="1"/>
        <v>21.816666666666666</v>
      </c>
      <c r="M15" s="151">
        <v>129046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24.892857142857142</v>
      </c>
    </row>
    <row r="16" spans="1:16" x14ac:dyDescent="0.25">
      <c r="A16" s="148">
        <v>10</v>
      </c>
      <c r="B16" s="189">
        <f>Inputs!C$2</f>
        <v>13</v>
      </c>
      <c r="C16" s="151">
        <v>940545</v>
      </c>
      <c r="D16" s="188" t="s">
        <v>181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1305</v>
      </c>
      <c r="J16" s="189">
        <f t="shared" si="2"/>
        <v>203</v>
      </c>
      <c r="K16" s="151">
        <v>1508</v>
      </c>
      <c r="L16" s="211">
        <f t="shared" si="1"/>
        <v>21.75</v>
      </c>
      <c r="M16" s="151">
        <v>129046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24.892857142857142</v>
      </c>
    </row>
    <row r="17" spans="1:16" x14ac:dyDescent="0.25">
      <c r="A17" s="148">
        <v>11</v>
      </c>
      <c r="B17" s="189">
        <f>Inputs!C$2</f>
        <v>13</v>
      </c>
      <c r="C17" s="151">
        <v>940546</v>
      </c>
      <c r="D17" s="188" t="s">
        <v>181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1321</v>
      </c>
      <c r="J17" s="189">
        <f t="shared" si="2"/>
        <v>203</v>
      </c>
      <c r="K17" s="151">
        <v>1524</v>
      </c>
      <c r="L17" s="211">
        <f t="shared" si="1"/>
        <v>22.016666666666666</v>
      </c>
      <c r="M17" s="151">
        <v>129046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24.892857142857142</v>
      </c>
    </row>
    <row r="18" spans="1:16" x14ac:dyDescent="0.25">
      <c r="A18" s="148">
        <v>12</v>
      </c>
      <c r="B18" s="189">
        <f>Inputs!C$2</f>
        <v>13</v>
      </c>
      <c r="C18" s="151">
        <v>940547</v>
      </c>
      <c r="D18" s="188" t="s">
        <v>181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1317</v>
      </c>
      <c r="J18" s="189">
        <f t="shared" si="2"/>
        <v>203</v>
      </c>
      <c r="K18" s="151">
        <v>1520</v>
      </c>
      <c r="L18" s="211">
        <f t="shared" si="1"/>
        <v>21.95</v>
      </c>
      <c r="M18" s="151">
        <v>129046</v>
      </c>
      <c r="N18" s="152" t="s">
        <v>238</v>
      </c>
      <c r="O18" s="157" t="s">
        <v>51</v>
      </c>
      <c r="P18" s="187">
        <f>IF(D18=Inputs!F$2,Inputs!I$2,IF(D18=Inputs!F$3,Inputs!I$3,IF(D18=Inputs!F$4,Inputs!I$4,IF(D18=Inputs!F$5,Inputs!I$5,"NA"))))</f>
        <v>24.892857142857142</v>
      </c>
    </row>
    <row r="19" spans="1:16" x14ac:dyDescent="0.25">
      <c r="A19" s="148">
        <v>13</v>
      </c>
      <c r="B19" s="189">
        <f>Inputs!C$2</f>
        <v>13</v>
      </c>
      <c r="C19" s="151">
        <v>940548</v>
      </c>
      <c r="D19" s="188" t="s">
        <v>181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1319</v>
      </c>
      <c r="J19" s="189">
        <f t="shared" si="2"/>
        <v>203</v>
      </c>
      <c r="K19" s="151">
        <v>1522</v>
      </c>
      <c r="L19" s="211">
        <f t="shared" si="1"/>
        <v>21.983333333333334</v>
      </c>
      <c r="M19" s="151">
        <v>129046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24.892857142857142</v>
      </c>
    </row>
    <row r="20" spans="1:16" x14ac:dyDescent="0.25">
      <c r="A20" s="148">
        <v>14</v>
      </c>
      <c r="B20" s="189">
        <f>Inputs!C$2</f>
        <v>13</v>
      </c>
      <c r="C20" s="151">
        <v>940549</v>
      </c>
      <c r="D20" s="188" t="s">
        <v>181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1311</v>
      </c>
      <c r="J20" s="189">
        <f t="shared" si="2"/>
        <v>203</v>
      </c>
      <c r="K20" s="151">
        <v>1514</v>
      </c>
      <c r="L20" s="211">
        <f t="shared" si="1"/>
        <v>21.85</v>
      </c>
      <c r="M20" s="151">
        <v>129046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24.892857142857142</v>
      </c>
    </row>
    <row r="21" spans="1:16" x14ac:dyDescent="0.25">
      <c r="A21" s="148">
        <v>15</v>
      </c>
      <c r="B21" s="189">
        <f>Inputs!C$2</f>
        <v>13</v>
      </c>
      <c r="C21" s="151">
        <v>940550</v>
      </c>
      <c r="D21" s="188" t="s">
        <v>183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1435</v>
      </c>
      <c r="J21" s="189">
        <f t="shared" si="2"/>
        <v>203</v>
      </c>
      <c r="K21" s="151">
        <v>1638</v>
      </c>
      <c r="L21" s="211">
        <f t="shared" si="1"/>
        <v>23.916666666666668</v>
      </c>
      <c r="M21" s="151">
        <v>129046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68.892857142857139</v>
      </c>
    </row>
    <row r="22" spans="1:16" x14ac:dyDescent="0.25">
      <c r="A22" s="148">
        <v>16</v>
      </c>
      <c r="B22" s="189">
        <f>Inputs!C$2</f>
        <v>13</v>
      </c>
      <c r="C22" s="151">
        <v>940551</v>
      </c>
      <c r="D22" s="188" t="s">
        <v>181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1347</v>
      </c>
      <c r="J22" s="189">
        <f t="shared" si="2"/>
        <v>203</v>
      </c>
      <c r="K22" s="235">
        <v>1550</v>
      </c>
      <c r="L22" s="211">
        <f t="shared" si="1"/>
        <v>22.45</v>
      </c>
      <c r="M22" s="151">
        <v>129046</v>
      </c>
      <c r="N22" s="152" t="s">
        <v>238</v>
      </c>
      <c r="O22" s="157" t="s">
        <v>237</v>
      </c>
      <c r="P22" s="187">
        <f>IF(D22=Inputs!F$2,Inputs!I$2,IF(D22=Inputs!F$3,Inputs!I$3,IF(D22=Inputs!F$4,Inputs!I$4,IF(D22=Inputs!F$5,Inputs!I$5,"NA"))))</f>
        <v>24.892857142857142</v>
      </c>
    </row>
    <row r="23" spans="1:16" x14ac:dyDescent="0.25">
      <c r="A23" s="148">
        <v>17</v>
      </c>
      <c r="B23" s="189">
        <f>Inputs!C$2</f>
        <v>13</v>
      </c>
      <c r="C23" s="151">
        <v>940552</v>
      </c>
      <c r="D23" s="188" t="s">
        <v>181</v>
      </c>
      <c r="E23" s="148">
        <v>60</v>
      </c>
      <c r="F23" s="188" t="s">
        <v>120</v>
      </c>
      <c r="G23" s="188"/>
      <c r="H23" s="191" t="s">
        <v>220</v>
      </c>
      <c r="I23" s="210">
        <f t="shared" si="0"/>
        <v>1345</v>
      </c>
      <c r="J23" s="189">
        <f t="shared" si="2"/>
        <v>203</v>
      </c>
      <c r="K23" s="151">
        <v>1548</v>
      </c>
      <c r="L23" s="211">
        <f t="shared" si="1"/>
        <v>22.416666666666668</v>
      </c>
      <c r="M23" s="151">
        <v>129046</v>
      </c>
      <c r="N23" s="152" t="s">
        <v>238</v>
      </c>
      <c r="O23" s="157" t="s">
        <v>237</v>
      </c>
      <c r="P23" s="187">
        <f>IF(D23=Inputs!F$2,Inputs!I$2,IF(D23=Inputs!F$3,Inputs!I$3,IF(D23=Inputs!F$4,Inputs!I$4,IF(D23=Inputs!F$5,Inputs!I$5,"NA"))))</f>
        <v>24.892857142857142</v>
      </c>
    </row>
    <row r="24" spans="1:16" x14ac:dyDescent="0.25">
      <c r="A24" s="148">
        <v>18</v>
      </c>
      <c r="B24" s="189">
        <f>Inputs!C$2</f>
        <v>13</v>
      </c>
      <c r="C24" s="151">
        <v>940553</v>
      </c>
      <c r="D24" s="188" t="s">
        <v>181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1329</v>
      </c>
      <c r="J24" s="189">
        <f t="shared" si="2"/>
        <v>203</v>
      </c>
      <c r="K24" s="151">
        <v>1532</v>
      </c>
      <c r="L24" s="211">
        <f t="shared" si="1"/>
        <v>22.15</v>
      </c>
      <c r="M24" s="151">
        <v>129046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24.892857142857142</v>
      </c>
    </row>
    <row r="25" spans="1:16" x14ac:dyDescent="0.25">
      <c r="A25" s="148">
        <v>19</v>
      </c>
      <c r="B25" s="189">
        <f>Inputs!C$2</f>
        <v>13</v>
      </c>
      <c r="C25" s="151">
        <v>940554</v>
      </c>
      <c r="D25" s="188" t="s">
        <v>181</v>
      </c>
      <c r="E25" s="148">
        <v>60</v>
      </c>
      <c r="F25" s="188" t="s">
        <v>120</v>
      </c>
      <c r="G25" s="188"/>
      <c r="H25" s="191" t="s">
        <v>220</v>
      </c>
      <c r="I25" s="210">
        <f t="shared" si="0"/>
        <v>1329</v>
      </c>
      <c r="J25" s="189">
        <f t="shared" si="2"/>
        <v>203</v>
      </c>
      <c r="K25" s="151">
        <v>1532</v>
      </c>
      <c r="L25" s="211">
        <f t="shared" si="1"/>
        <v>22.15</v>
      </c>
      <c r="M25" s="151">
        <v>129046</v>
      </c>
      <c r="N25" s="152" t="s">
        <v>238</v>
      </c>
      <c r="O25" s="157" t="s">
        <v>51</v>
      </c>
      <c r="P25" s="187">
        <f>IF(D25=Inputs!F$2,Inputs!I$2,IF(D25=Inputs!F$3,Inputs!I$3,IF(D25=Inputs!F$4,Inputs!I$4,IF(D25=Inputs!F$5,Inputs!I$5,"NA"))))</f>
        <v>24.892857142857142</v>
      </c>
    </row>
    <row r="26" spans="1:16" x14ac:dyDescent="0.25">
      <c r="A26" s="148">
        <v>20</v>
      </c>
      <c r="B26" s="189">
        <f>Inputs!C$2</f>
        <v>13</v>
      </c>
      <c r="C26" s="151">
        <v>940555</v>
      </c>
      <c r="D26" s="188" t="s">
        <v>181</v>
      </c>
      <c r="E26" s="148">
        <v>60</v>
      </c>
      <c r="F26" s="188" t="s">
        <v>120</v>
      </c>
      <c r="G26" s="188"/>
      <c r="H26" s="191" t="s">
        <v>220</v>
      </c>
      <c r="I26" s="210">
        <f t="shared" si="0"/>
        <v>1327</v>
      </c>
      <c r="J26" s="189">
        <f t="shared" si="2"/>
        <v>203</v>
      </c>
      <c r="K26" s="151">
        <v>1530</v>
      </c>
      <c r="L26" s="211">
        <f t="shared" si="1"/>
        <v>22.116666666666667</v>
      </c>
      <c r="M26" s="151">
        <v>129046</v>
      </c>
      <c r="N26" s="152" t="s">
        <v>238</v>
      </c>
      <c r="O26" s="157" t="s">
        <v>51</v>
      </c>
      <c r="P26" s="187">
        <f>IF(D26=Inputs!F$2,Inputs!I$2,IF(D26=Inputs!F$3,Inputs!I$3,IF(D26=Inputs!F$4,Inputs!I$4,IF(D26=Inputs!F$5,Inputs!I$5,"NA"))))</f>
        <v>24.892857142857142</v>
      </c>
    </row>
    <row r="27" spans="1:16" x14ac:dyDescent="0.25">
      <c r="A27" s="148">
        <v>21</v>
      </c>
      <c r="B27" s="189">
        <f>Inputs!C$2</f>
        <v>13</v>
      </c>
      <c r="C27" s="151">
        <v>940556</v>
      </c>
      <c r="D27" s="188" t="s">
        <v>181</v>
      </c>
      <c r="E27" s="148">
        <v>60</v>
      </c>
      <c r="F27" s="188" t="s">
        <v>120</v>
      </c>
      <c r="G27" s="188"/>
      <c r="H27" s="191" t="s">
        <v>220</v>
      </c>
      <c r="I27" s="210">
        <f t="shared" si="0"/>
        <v>1333</v>
      </c>
      <c r="J27" s="189">
        <f t="shared" si="2"/>
        <v>203</v>
      </c>
      <c r="K27" s="151">
        <v>1536</v>
      </c>
      <c r="L27" s="211">
        <f t="shared" si="1"/>
        <v>22.216666666666665</v>
      </c>
      <c r="M27" s="151">
        <v>129046</v>
      </c>
      <c r="N27" s="152" t="s">
        <v>238</v>
      </c>
      <c r="O27" s="157" t="s">
        <v>51</v>
      </c>
      <c r="P27" s="187">
        <f>IF(D27=Inputs!F$2,Inputs!I$2,IF(D27=Inputs!F$3,Inputs!I$3,IF(D27=Inputs!F$4,Inputs!I$4,IF(D27=Inputs!F$5,Inputs!I$5,"NA"))))</f>
        <v>24.892857142857142</v>
      </c>
    </row>
    <row r="28" spans="1:16" x14ac:dyDescent="0.25">
      <c r="A28" s="148">
        <v>22</v>
      </c>
      <c r="B28" s="189">
        <f>Inputs!C$2</f>
        <v>13</v>
      </c>
      <c r="C28" s="151">
        <v>940557</v>
      </c>
      <c r="D28" s="188" t="s">
        <v>181</v>
      </c>
      <c r="E28" s="148">
        <v>60</v>
      </c>
      <c r="F28" s="188" t="s">
        <v>120</v>
      </c>
      <c r="G28" s="188"/>
      <c r="H28" s="191" t="s">
        <v>220</v>
      </c>
      <c r="I28" s="210">
        <f t="shared" si="0"/>
        <v>1327</v>
      </c>
      <c r="J28" s="189">
        <f t="shared" si="2"/>
        <v>203</v>
      </c>
      <c r="K28" s="151">
        <v>1530</v>
      </c>
      <c r="L28" s="211">
        <f t="shared" si="1"/>
        <v>22.116666666666667</v>
      </c>
      <c r="M28" s="151">
        <v>129046</v>
      </c>
      <c r="N28" s="152" t="s">
        <v>238</v>
      </c>
      <c r="O28" s="157" t="s">
        <v>51</v>
      </c>
      <c r="P28" s="187">
        <f>IF(D28=Inputs!F$2,Inputs!I$2,IF(D28=Inputs!F$3,Inputs!I$3,IF(D28=Inputs!F$4,Inputs!I$4,IF(D28=Inputs!F$5,Inputs!I$5,"NA"))))</f>
        <v>24.892857142857142</v>
      </c>
    </row>
    <row r="29" spans="1:16" x14ac:dyDescent="0.25">
      <c r="A29" s="148">
        <v>23</v>
      </c>
      <c r="B29" s="189">
        <f>Inputs!C$2</f>
        <v>13</v>
      </c>
      <c r="C29" s="151">
        <v>940558</v>
      </c>
      <c r="D29" s="188" t="s">
        <v>181</v>
      </c>
      <c r="E29" s="148">
        <v>60</v>
      </c>
      <c r="F29" s="188" t="s">
        <v>120</v>
      </c>
      <c r="G29" s="188"/>
      <c r="H29" s="191" t="s">
        <v>220</v>
      </c>
      <c r="I29" s="210">
        <f t="shared" si="0"/>
        <v>1353</v>
      </c>
      <c r="J29" s="189">
        <f t="shared" si="2"/>
        <v>203</v>
      </c>
      <c r="K29" s="151">
        <v>1556</v>
      </c>
      <c r="L29" s="211">
        <f t="shared" si="1"/>
        <v>22.55</v>
      </c>
      <c r="M29" s="151">
        <v>129046</v>
      </c>
      <c r="N29" s="152" t="s">
        <v>238</v>
      </c>
      <c r="O29" s="157" t="s">
        <v>237</v>
      </c>
      <c r="P29" s="187">
        <f>IF(D29=Inputs!F$2,Inputs!I$2,IF(D29=Inputs!F$3,Inputs!I$3,IF(D29=Inputs!F$4,Inputs!I$4,IF(D29=Inputs!F$5,Inputs!I$5,"NA"))))</f>
        <v>24.892857142857142</v>
      </c>
    </row>
    <row r="30" spans="1:16" x14ac:dyDescent="0.25">
      <c r="A30" s="148">
        <v>24</v>
      </c>
      <c r="B30" s="189">
        <f>Inputs!C$2</f>
        <v>13</v>
      </c>
      <c r="C30" s="151">
        <v>940559</v>
      </c>
      <c r="D30" s="188" t="s">
        <v>5</v>
      </c>
      <c r="E30" s="148">
        <v>60</v>
      </c>
      <c r="F30" s="188" t="s">
        <v>120</v>
      </c>
      <c r="G30" s="188"/>
      <c r="H30" s="191" t="s">
        <v>220</v>
      </c>
      <c r="I30" s="210">
        <f t="shared" si="0"/>
        <v>1523</v>
      </c>
      <c r="J30" s="189">
        <f t="shared" si="2"/>
        <v>203</v>
      </c>
      <c r="K30" s="151">
        <v>1726</v>
      </c>
      <c r="L30" s="211">
        <f t="shared" si="1"/>
        <v>25.383333333333333</v>
      </c>
      <c r="M30" s="151">
        <v>129046</v>
      </c>
      <c r="N30" s="152" t="s">
        <v>238</v>
      </c>
      <c r="O30" s="157" t="s">
        <v>51</v>
      </c>
      <c r="P30" s="187">
        <f>IF(D30=Inputs!F$2,Inputs!I$2,IF(D30=Inputs!F$3,Inputs!I$3,IF(D30=Inputs!F$4,Inputs!I$4,IF(D30=Inputs!F$5,Inputs!I$5,"NA"))))</f>
        <v>42.464285714285715</v>
      </c>
    </row>
    <row r="31" spans="1:16" x14ac:dyDescent="0.25">
      <c r="A31" s="148">
        <v>25</v>
      </c>
      <c r="B31" s="189">
        <f>Inputs!C$2</f>
        <v>13</v>
      </c>
      <c r="C31" s="151">
        <v>940560</v>
      </c>
      <c r="D31" s="188" t="s">
        <v>181</v>
      </c>
      <c r="E31" s="148">
        <v>60</v>
      </c>
      <c r="F31" s="188" t="s">
        <v>120</v>
      </c>
      <c r="G31" s="188"/>
      <c r="H31" s="191" t="s">
        <v>220</v>
      </c>
      <c r="I31" s="210">
        <f t="shared" si="0"/>
        <v>1323</v>
      </c>
      <c r="J31" s="189">
        <f t="shared" si="2"/>
        <v>203</v>
      </c>
      <c r="K31" s="151">
        <v>1526</v>
      </c>
      <c r="L31" s="211">
        <f t="shared" si="1"/>
        <v>22.05</v>
      </c>
      <c r="M31" s="151">
        <v>129046</v>
      </c>
      <c r="N31" s="152" t="s">
        <v>238</v>
      </c>
      <c r="O31" s="157" t="s">
        <v>51</v>
      </c>
      <c r="P31" s="187">
        <f>IF(D31=Inputs!F$2,Inputs!I$2,IF(D31=Inputs!F$3,Inputs!I$3,IF(D31=Inputs!F$4,Inputs!I$4,IF(D31=Inputs!F$5,Inputs!I$5,"NA"))))</f>
        <v>24.892857142857142</v>
      </c>
    </row>
    <row r="32" spans="1:16" x14ac:dyDescent="0.25">
      <c r="A32" s="148">
        <v>26</v>
      </c>
      <c r="B32" s="189">
        <f>Inputs!C$2</f>
        <v>13</v>
      </c>
      <c r="C32" s="151">
        <v>940561</v>
      </c>
      <c r="D32" s="188" t="s">
        <v>181</v>
      </c>
      <c r="E32" s="148">
        <v>60</v>
      </c>
      <c r="F32" s="188" t="s">
        <v>120</v>
      </c>
      <c r="G32" s="188"/>
      <c r="H32" s="191" t="s">
        <v>220</v>
      </c>
      <c r="I32" s="210">
        <f t="shared" si="0"/>
        <v>1331</v>
      </c>
      <c r="J32" s="189">
        <f t="shared" si="2"/>
        <v>203</v>
      </c>
      <c r="K32" s="151">
        <v>1534</v>
      </c>
      <c r="L32" s="211">
        <f t="shared" si="1"/>
        <v>22.183333333333334</v>
      </c>
      <c r="M32" s="151">
        <v>129046</v>
      </c>
      <c r="N32" s="152" t="s">
        <v>238</v>
      </c>
      <c r="O32" s="157" t="s">
        <v>51</v>
      </c>
      <c r="P32" s="187">
        <f>IF(D32=Inputs!F$2,Inputs!I$2,IF(D32=Inputs!F$3,Inputs!I$3,IF(D32=Inputs!F$4,Inputs!I$4,IF(D32=Inputs!F$5,Inputs!I$5,"NA"))))</f>
        <v>24.892857142857142</v>
      </c>
    </row>
    <row r="33" spans="1:16" x14ac:dyDescent="0.25">
      <c r="A33" s="148">
        <v>27</v>
      </c>
      <c r="B33" s="189">
        <f>Inputs!C$2</f>
        <v>13</v>
      </c>
      <c r="C33" s="151">
        <v>940562</v>
      </c>
      <c r="D33" s="188" t="s">
        <v>181</v>
      </c>
      <c r="E33" s="148">
        <v>60</v>
      </c>
      <c r="F33" s="188" t="s">
        <v>120</v>
      </c>
      <c r="G33" s="188"/>
      <c r="H33" s="191" t="s">
        <v>220</v>
      </c>
      <c r="I33" s="210">
        <f t="shared" si="0"/>
        <v>1325</v>
      </c>
      <c r="J33" s="189">
        <f t="shared" si="2"/>
        <v>203</v>
      </c>
      <c r="K33" s="151">
        <v>1528</v>
      </c>
      <c r="L33" s="211">
        <f t="shared" si="1"/>
        <v>22.083333333333332</v>
      </c>
      <c r="M33" s="151">
        <v>129046</v>
      </c>
      <c r="N33" s="152" t="s">
        <v>238</v>
      </c>
      <c r="O33" s="157" t="s">
        <v>51</v>
      </c>
      <c r="P33" s="187">
        <f>IF(D33=Inputs!F$2,Inputs!I$2,IF(D33=Inputs!F$3,Inputs!I$3,IF(D33=Inputs!F$4,Inputs!I$4,IF(D33=Inputs!F$5,Inputs!I$5,"NA"))))</f>
        <v>24.892857142857142</v>
      </c>
    </row>
    <row r="34" spans="1:16" x14ac:dyDescent="0.25">
      <c r="A34" s="148">
        <v>28</v>
      </c>
      <c r="B34" s="189">
        <f>Inputs!C$2</f>
        <v>13</v>
      </c>
      <c r="C34" s="151">
        <v>940563</v>
      </c>
      <c r="D34" s="188" t="s">
        <v>181</v>
      </c>
      <c r="E34" s="148">
        <v>60</v>
      </c>
      <c r="F34" s="188" t="s">
        <v>120</v>
      </c>
      <c r="G34" s="188"/>
      <c r="H34" s="191" t="s">
        <v>220</v>
      </c>
      <c r="I34" s="210">
        <f t="shared" si="0"/>
        <v>1321</v>
      </c>
      <c r="J34" s="189">
        <f t="shared" si="2"/>
        <v>203</v>
      </c>
      <c r="K34" s="151">
        <v>1524</v>
      </c>
      <c r="L34" s="211">
        <f t="shared" si="1"/>
        <v>22.016666666666666</v>
      </c>
      <c r="M34" s="151">
        <v>129046</v>
      </c>
      <c r="N34" s="152" t="s">
        <v>238</v>
      </c>
      <c r="O34" s="157" t="s">
        <v>51</v>
      </c>
      <c r="P34" s="187">
        <f>IF(D34=Inputs!F$2,Inputs!I$2,IF(D34=Inputs!F$3,Inputs!I$3,IF(D34=Inputs!F$4,Inputs!I$4,IF(D34=Inputs!F$5,Inputs!I$5,"NA"))))</f>
        <v>24.892857142857142</v>
      </c>
    </row>
    <row r="35" spans="1:16" x14ac:dyDescent="0.25">
      <c r="A35" s="148">
        <v>29</v>
      </c>
      <c r="B35" s="189">
        <f>Inputs!C$2</f>
        <v>13</v>
      </c>
      <c r="C35" s="151">
        <v>940564</v>
      </c>
      <c r="D35" s="188" t="s">
        <v>181</v>
      </c>
      <c r="E35" s="148">
        <v>60</v>
      </c>
      <c r="F35" s="188" t="s">
        <v>120</v>
      </c>
      <c r="G35" s="188"/>
      <c r="H35" s="191" t="s">
        <v>220</v>
      </c>
      <c r="I35" s="210">
        <f t="shared" si="0"/>
        <v>1333</v>
      </c>
      <c r="J35" s="189">
        <f t="shared" si="2"/>
        <v>203</v>
      </c>
      <c r="K35" s="151">
        <v>1536</v>
      </c>
      <c r="L35" s="211">
        <f t="shared" si="1"/>
        <v>22.216666666666665</v>
      </c>
      <c r="M35" s="151">
        <v>129046</v>
      </c>
      <c r="N35" s="152" t="s">
        <v>238</v>
      </c>
      <c r="O35" s="157" t="s">
        <v>51</v>
      </c>
      <c r="P35" s="187">
        <f>IF(D35=Inputs!F$2,Inputs!I$2,IF(D35=Inputs!F$3,Inputs!I$3,IF(D35=Inputs!F$4,Inputs!I$4,IF(D35=Inputs!F$5,Inputs!I$5,"NA"))))</f>
        <v>24.892857142857142</v>
      </c>
    </row>
    <row r="36" spans="1:16" x14ac:dyDescent="0.25">
      <c r="A36" s="148">
        <v>30</v>
      </c>
      <c r="B36" s="189">
        <f>Inputs!C$2</f>
        <v>13</v>
      </c>
      <c r="C36" s="151">
        <v>940565</v>
      </c>
      <c r="D36" s="188" t="s">
        <v>181</v>
      </c>
      <c r="E36" s="148">
        <v>60</v>
      </c>
      <c r="F36" s="188" t="s">
        <v>120</v>
      </c>
      <c r="G36" s="188"/>
      <c r="H36" s="191" t="s">
        <v>220</v>
      </c>
      <c r="I36" s="210">
        <f t="shared" si="0"/>
        <v>1347</v>
      </c>
      <c r="J36" s="189">
        <f t="shared" si="2"/>
        <v>203</v>
      </c>
      <c r="K36" s="151">
        <v>1550</v>
      </c>
      <c r="L36" s="211">
        <f t="shared" si="1"/>
        <v>22.45</v>
      </c>
      <c r="M36" s="151">
        <v>129046</v>
      </c>
      <c r="N36" s="152" t="s">
        <v>238</v>
      </c>
      <c r="O36" s="157" t="s">
        <v>237</v>
      </c>
      <c r="P36" s="187">
        <f>IF(D36=Inputs!F$2,Inputs!I$2,IF(D36=Inputs!F$3,Inputs!I$3,IF(D36=Inputs!F$4,Inputs!I$4,IF(D36=Inputs!F$5,Inputs!I$5,"NA"))))</f>
        <v>24.892857142857142</v>
      </c>
    </row>
    <row r="37" spans="1:16" x14ac:dyDescent="0.25">
      <c r="A37" s="148">
        <v>31</v>
      </c>
      <c r="B37" s="189">
        <f>Inputs!C$2</f>
        <v>13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13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13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13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13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13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13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13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13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13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13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13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13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13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13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13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13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13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13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13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13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13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13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13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13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13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13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13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13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13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13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13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13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13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13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13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13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13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13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13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13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13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13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13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13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13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topLeftCell="A7" zoomScaleNormal="100" workbookViewId="0">
      <selection activeCell="F26" sqref="F26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13</v>
      </c>
      <c r="F2" s="166" t="s">
        <v>183</v>
      </c>
      <c r="G2" s="186">
        <v>45264</v>
      </c>
      <c r="I2" s="205">
        <f>(C$3-G2)/7</f>
        <v>68.892857142857139</v>
      </c>
      <c r="J2" s="230">
        <f>I2-19</f>
        <v>49.892857142857139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45746.25</v>
      </c>
      <c r="D3" s="247"/>
      <c r="F3" s="166" t="s">
        <v>7</v>
      </c>
      <c r="G3" s="186">
        <v>45390</v>
      </c>
      <c r="I3" s="205">
        <f>(C$3-G3)/7</f>
        <v>50.892857142857146</v>
      </c>
      <c r="J3" s="230">
        <f>I3-19</f>
        <v>31.892857142857146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24.892857142857142</v>
      </c>
      <c r="J4" s="230">
        <f>I4-19</f>
        <v>5.8928571428571423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42.464285714285715</v>
      </c>
      <c r="J5" s="230">
        <f>I5-19</f>
        <v>23.464285714285715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92</v>
      </c>
      <c r="C10" s="168">
        <v>10</v>
      </c>
      <c r="E10" s="139">
        <v>3</v>
      </c>
      <c r="F10" s="168">
        <v>112</v>
      </c>
      <c r="G10" s="168">
        <v>13</v>
      </c>
    </row>
    <row r="11" spans="1:12" x14ac:dyDescent="0.2">
      <c r="A11" s="139">
        <v>6</v>
      </c>
      <c r="B11" s="168">
        <v>212</v>
      </c>
      <c r="C11" s="165"/>
      <c r="E11" s="139">
        <v>6</v>
      </c>
      <c r="F11" s="168">
        <v>224</v>
      </c>
      <c r="G11" s="165"/>
    </row>
    <row r="12" spans="1:12" x14ac:dyDescent="0.2">
      <c r="A12" s="139">
        <v>7</v>
      </c>
      <c r="B12" s="168">
        <v>180</v>
      </c>
      <c r="C12" s="168">
        <v>20</v>
      </c>
      <c r="E12" s="139">
        <v>7</v>
      </c>
      <c r="F12" s="168">
        <v>181</v>
      </c>
      <c r="G12" s="168">
        <v>21</v>
      </c>
    </row>
    <row r="13" spans="1:12" x14ac:dyDescent="0.2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108</v>
      </c>
      <c r="C16" s="168">
        <v>10</v>
      </c>
      <c r="E16" s="139">
        <v>3</v>
      </c>
      <c r="F16" s="168">
        <v>107</v>
      </c>
      <c r="G16" s="168">
        <v>11</v>
      </c>
    </row>
    <row r="17" spans="1:11" x14ac:dyDescent="0.2">
      <c r="A17" s="139">
        <v>6</v>
      </c>
      <c r="B17" s="168">
        <v>238</v>
      </c>
      <c r="C17" s="165"/>
      <c r="E17" s="139">
        <v>6</v>
      </c>
      <c r="F17" s="168">
        <v>228</v>
      </c>
      <c r="G17" s="165"/>
    </row>
    <row r="18" spans="1:11" x14ac:dyDescent="0.2">
      <c r="A18" s="139">
        <v>7</v>
      </c>
      <c r="B18" s="168">
        <v>187</v>
      </c>
      <c r="C18" s="168">
        <v>22</v>
      </c>
      <c r="E18" s="139">
        <v>7</v>
      </c>
      <c r="F18" s="168">
        <v>198</v>
      </c>
      <c r="G18" s="168">
        <v>21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112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106</v>
      </c>
      <c r="C23" s="168">
        <v>10</v>
      </c>
      <c r="E23" s="139">
        <v>3</v>
      </c>
      <c r="F23" s="168">
        <v>104</v>
      </c>
      <c r="G23" s="168">
        <v>11</v>
      </c>
    </row>
    <row r="24" spans="1:11" x14ac:dyDescent="0.2">
      <c r="A24" s="139">
        <v>6</v>
      </c>
      <c r="B24" s="168">
        <v>224</v>
      </c>
      <c r="C24" s="165"/>
      <c r="E24" s="139">
        <v>6</v>
      </c>
      <c r="F24" s="168">
        <v>216</v>
      </c>
      <c r="G24" s="165"/>
    </row>
    <row r="25" spans="1:11" x14ac:dyDescent="0.2">
      <c r="A25" s="139">
        <v>7</v>
      </c>
      <c r="B25" s="168">
        <v>184</v>
      </c>
      <c r="C25" s="168">
        <v>23</v>
      </c>
      <c r="E25" s="139">
        <v>7</v>
      </c>
      <c r="F25" s="168">
        <v>187</v>
      </c>
      <c r="G25" s="168">
        <v>22</v>
      </c>
    </row>
    <row r="26" spans="1:11" x14ac:dyDescent="0.2">
      <c r="A26" s="139">
        <v>11</v>
      </c>
      <c r="B26" s="168">
        <v>108</v>
      </c>
      <c r="C26" s="165"/>
      <c r="E26" s="139">
        <v>11</v>
      </c>
      <c r="F26" s="168">
        <v>105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106</v>
      </c>
      <c r="C29" s="168">
        <v>11</v>
      </c>
      <c r="E29" s="139">
        <v>3</v>
      </c>
      <c r="F29" s="203">
        <f t="shared" ref="F29:G32" si="0">B10+F10+B16+F16+B23+F23+B29</f>
        <v>735</v>
      </c>
      <c r="G29" s="203">
        <f t="shared" si="0"/>
        <v>76</v>
      </c>
      <c r="I29" s="139">
        <v>3</v>
      </c>
      <c r="J29" s="203">
        <f t="shared" ref="J29:K31" si="1">F29*15</f>
        <v>11025</v>
      </c>
      <c r="K29" s="203">
        <f t="shared" si="1"/>
        <v>1140</v>
      </c>
    </row>
    <row r="30" spans="1:11" x14ac:dyDescent="0.2">
      <c r="A30" s="139">
        <v>6</v>
      </c>
      <c r="B30" s="168">
        <v>220</v>
      </c>
      <c r="C30" s="165"/>
      <c r="E30" s="139">
        <v>6</v>
      </c>
      <c r="F30" s="203">
        <f t="shared" si="0"/>
        <v>1562</v>
      </c>
      <c r="G30" s="204">
        <f t="shared" si="0"/>
        <v>0</v>
      </c>
      <c r="I30" s="139">
        <v>6</v>
      </c>
      <c r="J30" s="203">
        <f t="shared" si="1"/>
        <v>23430</v>
      </c>
      <c r="K30" s="204">
        <f t="shared" si="1"/>
        <v>0</v>
      </c>
    </row>
    <row r="31" spans="1:11" x14ac:dyDescent="0.2">
      <c r="A31" s="139">
        <v>7</v>
      </c>
      <c r="B31" s="168">
        <v>180</v>
      </c>
      <c r="C31" s="168">
        <v>21</v>
      </c>
      <c r="E31" s="139">
        <v>7</v>
      </c>
      <c r="F31" s="203">
        <f t="shared" si="0"/>
        <v>1297</v>
      </c>
      <c r="G31" s="203">
        <f t="shared" si="0"/>
        <v>150</v>
      </c>
      <c r="I31" s="139">
        <v>7</v>
      </c>
      <c r="J31" s="203">
        <f t="shared" si="1"/>
        <v>19455</v>
      </c>
      <c r="K31" s="203">
        <f t="shared" si="1"/>
        <v>2250</v>
      </c>
    </row>
    <row r="32" spans="1:11" x14ac:dyDescent="0.2">
      <c r="A32" s="139">
        <v>11</v>
      </c>
      <c r="B32" s="168">
        <v>110</v>
      </c>
      <c r="C32" s="165"/>
      <c r="E32" s="139">
        <v>11</v>
      </c>
      <c r="F32" s="203">
        <f t="shared" si="0"/>
        <v>768</v>
      </c>
      <c r="G32" s="204">
        <f t="shared" si="0"/>
        <v>0</v>
      </c>
      <c r="I32" s="139">
        <v>11</v>
      </c>
      <c r="J32" s="203">
        <f>F32*15</f>
        <v>11520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168</v>
      </c>
    </row>
    <row r="36" spans="1:9" x14ac:dyDescent="0.2">
      <c r="A36" s="172" t="s">
        <v>107</v>
      </c>
      <c r="B36" s="201">
        <f>B37+B38</f>
        <v>0.27600000000000002</v>
      </c>
      <c r="C36" s="201">
        <f>C37+C38</f>
        <v>0.309</v>
      </c>
      <c r="D36" s="201">
        <f>D37+D38</f>
        <v>0.28999999999999998</v>
      </c>
      <c r="E36" s="201">
        <f>E37+E38</f>
        <v>0.36199999999999999</v>
      </c>
      <c r="G36" s="245" t="s">
        <v>225</v>
      </c>
      <c r="H36" s="245"/>
      <c r="I36" s="225">
        <v>12</v>
      </c>
    </row>
    <row r="37" spans="1:9" x14ac:dyDescent="0.2">
      <c r="A37" s="172" t="s">
        <v>200</v>
      </c>
      <c r="B37" s="173">
        <v>2.5999999999999999E-2</v>
      </c>
      <c r="C37" s="236">
        <v>4.3999999999999997E-2</v>
      </c>
      <c r="D37" s="173">
        <v>3.5999999999999997E-2</v>
      </c>
      <c r="E37" s="173">
        <v>3.9E-2</v>
      </c>
      <c r="G37" s="245" t="s">
        <v>226</v>
      </c>
      <c r="H37" s="245"/>
      <c r="I37" s="225">
        <v>0</v>
      </c>
    </row>
    <row r="38" spans="1:9" x14ac:dyDescent="0.2">
      <c r="A38" s="172" t="s">
        <v>201</v>
      </c>
      <c r="B38" s="173">
        <v>0.25</v>
      </c>
      <c r="C38" s="173">
        <v>0.26500000000000001</v>
      </c>
      <c r="D38" s="173">
        <v>0.254</v>
      </c>
      <c r="E38" s="173">
        <v>0.32300000000000001</v>
      </c>
      <c r="G38" s="245" t="s">
        <v>227</v>
      </c>
      <c r="H38" s="245"/>
      <c r="I38" s="225">
        <v>1382</v>
      </c>
    </row>
    <row r="39" spans="1:9" x14ac:dyDescent="0.2">
      <c r="A39" s="172" t="s">
        <v>202</v>
      </c>
      <c r="B39" s="173">
        <v>0.65900000000000003</v>
      </c>
      <c r="C39" s="173">
        <v>0.61899999999999999</v>
      </c>
      <c r="D39" s="173">
        <v>0.6</v>
      </c>
      <c r="E39" s="173">
        <v>0.59599999999999997</v>
      </c>
      <c r="G39" s="245" t="s">
        <v>228</v>
      </c>
      <c r="H39" s="245"/>
      <c r="I39" s="225">
        <v>58</v>
      </c>
    </row>
    <row r="40" spans="1:9" x14ac:dyDescent="0.2">
      <c r="A40" s="172" t="s">
        <v>203</v>
      </c>
      <c r="B40" s="173">
        <v>5.2999999999999999E-2</v>
      </c>
      <c r="C40" s="173">
        <v>6.4000000000000001E-2</v>
      </c>
      <c r="D40" s="173">
        <v>9.9000000000000005E-2</v>
      </c>
      <c r="E40" s="173">
        <v>3.3000000000000002E-2</v>
      </c>
      <c r="G40" s="245" t="s">
        <v>229</v>
      </c>
      <c r="H40" s="245"/>
      <c r="I40" s="225">
        <v>180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0</v>
      </c>
      <c r="E41" s="173">
        <v>0</v>
      </c>
      <c r="G41" s="245" t="s">
        <v>231</v>
      </c>
      <c r="H41" s="245"/>
      <c r="I41" s="225">
        <v>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1.2E-2</v>
      </c>
      <c r="C43" s="202">
        <f>SUM(C47:C50)</f>
        <v>8.0000000000000002E-3</v>
      </c>
      <c r="D43" s="202">
        <f>SUM(D47:D50)</f>
        <v>1.0999999999999999E-2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12165</v>
      </c>
      <c r="C45" s="231">
        <f>J30</f>
        <v>23430</v>
      </c>
      <c r="D45" s="231">
        <f>J31</f>
        <v>19455</v>
      </c>
      <c r="E45" s="231">
        <f>J32</f>
        <v>11520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3.0000000000000001E-3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3.0000000000000001E-3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3.0000000000000001E-3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3.0000000000000001E-3</v>
      </c>
      <c r="D50" s="173">
        <v>4.0000000000000001E-3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2025-04-07T13:09:53Z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