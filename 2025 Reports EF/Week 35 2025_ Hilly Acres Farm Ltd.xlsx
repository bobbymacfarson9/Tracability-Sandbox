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EDBBF79-EB1F-4FA2-B653-069A47E59FAF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<sst xmlns="http://schemas.openxmlformats.org/spreadsheetml/2006/main" count="493" uniqueCount="237">
  <si>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</si>
  <si>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</si>
  <si>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</si>
  <si>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</si>
  <si>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</si>
  <si>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</si>
  <si>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</si>
  <si>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</si>
  <si>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</si>
  <si>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</si>
  <si>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</si>
  <si>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</si>
  <si>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</si>
  <si>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</si>
  <si>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</si>
  <si>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</si>
  <si>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</si>
  <si>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</si>
  <si>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</si>
  <si>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</si>
  <si>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</si>
  <si>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</si>
  <si>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</si>
  <si>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</si>
  <si>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</si>
  <si>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</si>
  <si>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</si>
  <si>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</si>
  <si>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</si>
  <si>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</si>
  <si>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</si>
  <si>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</si>
  <si>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</si>
  <si>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</si>
  <si>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</si>
  <si>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</si>
  <si>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</si>
  <si>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</si>
  <si>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</si>
  <si>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</si>
  <si>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</si>
  <si>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</si>
  <si>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</si>
  <si>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</si>
  <si>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</si>
  <si>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</si>
  <si>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</si>
  <si>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</si>
  <si>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</si>
  <si>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</si>
  <si>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</si>
  <si>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</si>
  <si>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</si>
  <si>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</si>
  <si>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</si>
  <si>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</si>
  <si>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</si>
  <si>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</si>
  <si>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</si>
  <si>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</si>
  <si>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</si>
  <si>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</si>
  <si>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</si>
  <si>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</si>
  <si>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</si>
  <si>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</si>
  <si>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</si>
  <si>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</si>
  <si>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</si>
  <si>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</si>
  <si>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</si>
  <si>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</si>
  <si>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</si>
  <si>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</si>
  <si>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</si>
  <si>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</si>
  <si>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</si>
  <si>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</si>
  <si>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</si>
  <si>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</si>
  <si>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</si>
  <si>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</si>
  <si>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</si>
  <si>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</si>
  <si>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</si>
  <si>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</si>
  <si>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</si>
  <si>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</si>
  <si>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</si>
  <si>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</si>
  <si>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</si>
  <si>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</si>
  <si>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</si>
  <si>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</si>
  <si>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</si>
  <si>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</si>
  <si>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</si>
  <si>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</si>
  <si>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</si>
  <si>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</si>
  <si>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</si>
  <si>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</si>
  <si>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</si>
  <si>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</si>
  <si>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</si>
  <si>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</si>
  <si>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</si>
  <si>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</si>
  <si>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</si>
  <si>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</si>
  <si>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</si>
  <si>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</si>
  <si>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</si>
  <si>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</si>
  <si>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</si>
  <si>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</si>
  <si>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</si>
  <si>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</si>
  <si>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</si>
  <si>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</si>
  <si>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</si>
  <si>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</si>
  <si>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</si>
  <si>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</si>
  <si>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</si>
  <si>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</si>
  <si>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</si>
  <si>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</si>
  <si>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</si>
  <si>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</si>
  <si>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</si>
  <si>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</si>
  <si>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</si>
  <si>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</si>
  <si>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</si>
  <si>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</si>
  <si>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</si>
  <si>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</si>
  <si>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</si>
  <si>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</si>
  <si>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</si>
  <si>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</si>
  <si>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</si>
  <si>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</si>
  <si>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</si>
  <si>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</si>
  <si>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</si>
  <si>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</si>
  <si>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</si>
  <si>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</si>
  <si>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</si>
  <si>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</si>
  <si>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</si>
  <si>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</si>
  <si>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</si>
  <si>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</si>
  <si>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</si>
  <si>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</si>
  <si>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</si>
  <si>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</si>
  <si>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</si>
  <si>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</si>
  <si>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</si>
  <si>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</si>
  <si>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</si>
  <si>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</si>
  <si>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</si>
  <si>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</si>
  <si>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</si>
  <si>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</si>
  <si>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</si>
  <si>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</si>
  <si>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</si>
  <si>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</si>
  <si>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</si>
  <si>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</si>
  <si>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</si>
  <si>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</si>
  <si>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</si>
  <si>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</si>
  <si>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</si>
  <si>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</si>
  <si>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</si>
  <si>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</si>
  <si>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</si>
  <si>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</si>
  <si>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</si>
  <si>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</si>
  <si>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</si>
  <si>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</si>
  <si>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</si>
  <si>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</si>
  <si>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</si>
  <si>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</si>
  <si>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</si>
  <si>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</si>
  <si>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</si>
  <si>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</si>
  <si>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</si>
  <si>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</si>
  <si>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</si>
  <si>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</si>
  <si>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</si>
  <si>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</si>
  <si>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</si>
  <si>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</si>
  <si>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</si>
  <si>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</si>
  <si>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</si>
  <si>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</si>
  <si>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</si>
  <si>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</si>
  <si>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</si>
  <si>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</si>
  <si>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</si>
  <si>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</si>
  <si>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</si>
  <si>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</si>
  <si>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</si>
  <si>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</si>
  <si>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</si>
  <si>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</si>
  <si>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</si>
  <si>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</si>
  <si>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</si>
  <si>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</si>
  <si>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</si>
  <si>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</si>
  <si>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</si>
  <si>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</si>
  <si>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</si>
  <si>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</si>
  <si>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</si>
  <si>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</si>
  <si>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</si>
  <si>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Aug 29/25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</si>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</sst>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35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45900.25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20599.9276456197</v>
      </c>
      <c r="I10" s="27">
        <v>0</v>
      </c>
      <c r="J10" s="26">
        <f>IFERROR(H10-I10,"")</f>
        <v>20599.9276456197</v>
      </c>
      <c r="K10" s="26">
        <f>IFERROR(($E$30/($H$31+$H$32)*$H$31)*R32,"")</f>
        <v>82.399710582478789</v>
      </c>
      <c r="L10" s="26">
        <f>IFERROR(($E$30/($H$31+$H$32)*$H$31)*S32,"")</f>
        <v>41.199855291239395</v>
      </c>
      <c r="M10" s="28">
        <f>IFERROR(K10+L10,"")</f>
        <v>123.59956587371818</v>
      </c>
      <c r="N10" s="29">
        <f>IFERROR(O10+P10+Q10+R10+S10+T10+U10+V10,"")</f>
        <v>20476.328079745981</v>
      </c>
      <c r="O10" s="26">
        <f t="shared" ref="O10:V10" si="2">IFERROR(($E$30/($H$31+$H$32)*$H$31)*J32,"")</f>
        <v>391.39862526677422</v>
      </c>
      <c r="P10" s="26">
        <f t="shared" si="2"/>
        <v>4099.3856014783196</v>
      </c>
      <c r="Q10" s="26">
        <f t="shared" si="2"/>
        <v>14152.150292540733</v>
      </c>
      <c r="R10" s="26">
        <f t="shared" si="2"/>
        <v>1792.1937051689135</v>
      </c>
      <c r="S10" s="26">
        <f t="shared" si="2"/>
        <v>0</v>
      </c>
      <c r="T10" s="26">
        <f t="shared" si="2"/>
        <v>0</v>
      </c>
      <c r="U10" s="26">
        <f t="shared" si="2"/>
        <v>41.199855291239395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2290.0723543803033</v>
      </c>
      <c r="I11" s="27">
        <v>0</v>
      </c>
      <c r="J11" s="26">
        <f>IFERROR(H11-I11,"")</f>
        <v>2290.0723543803033</v>
      </c>
      <c r="K11" s="26">
        <f>IFERROR(($E$30/($H$31+$H$32)*$H$32)*R32,"")</f>
        <v>9.1602894175212111</v>
      </c>
      <c r="L11" s="26">
        <f>IFERROR(($E$30/($H$31+$H$32)*$H$32)*S32,"")</f>
        <v>4.5801447087606055</v>
      </c>
      <c r="M11" s="28">
        <f>IFERROR(K11+L11,"")</f>
        <v>13.740434126281816</v>
      </c>
      <c r="N11" s="29">
        <f>IFERROR(O11+P11+Q11+R11+S11+T11+U11+V11,"")</f>
        <v>2276.3319202540215</v>
      </c>
      <c r="O11" s="26">
        <f t="shared" ref="O11:V11" si="3">IFERROR(($E$30/($H$31+$H$32)*$H$32)*J32,"")</f>
        <v>43.51137473322575</v>
      </c>
      <c r="P11" s="26">
        <f t="shared" si="3"/>
        <v>455.72439852168031</v>
      </c>
      <c r="Q11" s="26">
        <f t="shared" si="3"/>
        <v>1573.2797074592681</v>
      </c>
      <c r="R11" s="26">
        <f t="shared" si="3"/>
        <v>199.23629483108633</v>
      </c>
      <c r="S11" s="26">
        <f t="shared" si="3"/>
        <v>0</v>
      </c>
      <c r="T11" s="26">
        <f t="shared" si="3"/>
        <v>0</v>
      </c>
      <c r="U11" s="26">
        <f t="shared" si="3"/>
        <v>4.5801447087606055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17905.623622741296</v>
      </c>
      <c r="I13" s="27">
        <v>0</v>
      </c>
      <c r="J13" s="26">
        <f>IFERROR(H13-I13,"")</f>
        <v>17905.623622741296</v>
      </c>
      <c r="K13" s="26">
        <f>IFERROR(($E$34/($H$35+$H$36)*$H$35)*R36,"")</f>
        <v>71.622494490965181</v>
      </c>
      <c r="L13" s="26">
        <f>IFERROR(($E$34/($H$35+$H$36)*$H$35)*S36,"")</f>
        <v>17.905623622741295</v>
      </c>
      <c r="M13" s="28">
        <f>IFERROR(K13+L13,"")</f>
        <v>89.528118113706483</v>
      </c>
      <c r="N13" s="29">
        <f>IFERROR(O13+P13+Q13+R13+S13+T13+U13+V13,"")</f>
        <v>17816.095504627589</v>
      </c>
      <c r="O13" s="26">
        <f t="shared" ref="O13:V13" si="4">IFERROR(($E$34/($H$35+$H$36)*$H$35)*J36,"")</f>
        <v>429.73496694579109</v>
      </c>
      <c r="P13" s="26">
        <f t="shared" si="4"/>
        <v>3670.6528426619652</v>
      </c>
      <c r="Q13" s="26">
        <f t="shared" si="4"/>
        <v>12569.747783164388</v>
      </c>
      <c r="R13" s="26">
        <f t="shared" si="4"/>
        <v>1038.5261701189952</v>
      </c>
      <c r="S13" s="26">
        <f t="shared" si="4"/>
        <v>17.905623622741295</v>
      </c>
      <c r="T13" s="26">
        <f t="shared" si="4"/>
        <v>0</v>
      </c>
      <c r="U13" s="26">
        <f t="shared" si="4"/>
        <v>89.528118113706483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1204.3763772587045</v>
      </c>
      <c r="I14" s="27">
        <v>0</v>
      </c>
      <c r="J14" s="26">
        <f>IFERROR(H14-I14,"")</f>
        <v>1204.3763772587045</v>
      </c>
      <c r="K14" s="26">
        <f>IFERROR(($E$34/($H$35+$H$36)*$H$36)*R36,"")</f>
        <v>4.8175055090348167</v>
      </c>
      <c r="L14" s="26">
        <f>IFERROR(($E$34/($H$35+$H$36)*$H$36)*S36,"")</f>
        <v>1.2043763772587042</v>
      </c>
      <c r="M14" s="28">
        <f>IFERROR(K14+L14,"")</f>
        <v>6.0218818862935208</v>
      </c>
      <c r="N14" s="29">
        <f>IFERROR(O14+P14+Q14+R14+S14+T14+U14+V14,"")</f>
        <v>1198.3544953724108</v>
      </c>
      <c r="O14" s="26">
        <f t="shared" ref="O14:V14" si="5">IFERROR(($E$34/($H$35+$H$36)*$H$36)*J36,"")</f>
        <v>28.905033054208904</v>
      </c>
      <c r="P14" s="26">
        <f t="shared" si="5"/>
        <v>246.89715733803436</v>
      </c>
      <c r="Q14" s="26">
        <f t="shared" si="5"/>
        <v>845.47221683561031</v>
      </c>
      <c r="R14" s="26">
        <f t="shared" si="5"/>
        <v>69.853829881004842</v>
      </c>
      <c r="S14" s="26">
        <f t="shared" si="5"/>
        <v>1.2043763772587042</v>
      </c>
      <c r="T14" s="26">
        <f t="shared" si="5"/>
        <v>0</v>
      </c>
      <c r="U14" s="26">
        <f t="shared" si="5"/>
        <v>6.0218818862935208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11640</v>
      </c>
      <c r="I16" s="27">
        <v>0</v>
      </c>
      <c r="J16" s="26">
        <f>IFERROR(H16-I16,"")</f>
        <v>11640</v>
      </c>
      <c r="K16" s="26">
        <f>IFERROR(($E$38/($H$39)*$H$39)*R40,"")</f>
        <v>69.84</v>
      </c>
      <c r="L16" s="26">
        <f>IFERROR(($E$38/($H$39)*$H$39)*S40,"")</f>
        <v>23.28</v>
      </c>
      <c r="M16" s="28">
        <f>IFERROR(K16+L16,"")</f>
        <v>93.12</v>
      </c>
      <c r="N16" s="29">
        <f>IFERROR(O16+P16+Q16+R16+S16+T16+U16+V16,"")</f>
        <v>11546.88</v>
      </c>
      <c r="O16" s="26">
        <f t="shared" ref="O16:V16" si="6">IFERROR(($E$38/($H$39)*$H$39)*J40,"")</f>
        <v>954.48</v>
      </c>
      <c r="P16" s="26">
        <f t="shared" si="6"/>
        <v>3701.52</v>
      </c>
      <c r="Q16" s="26">
        <f t="shared" si="6"/>
        <v>6471.84</v>
      </c>
      <c r="R16" s="26">
        <f t="shared" si="6"/>
        <v>372.48</v>
      </c>
      <c r="S16" s="26">
        <f t="shared" si="6"/>
        <v>11.64</v>
      </c>
      <c r="T16" s="26">
        <f t="shared" si="6"/>
        <v>0</v>
      </c>
      <c r="U16" s="26">
        <f t="shared" si="6"/>
        <v>34.92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53640.000000000007</v>
      </c>
      <c r="I19" s="37">
        <f t="shared" si="7"/>
        <v>0</v>
      </c>
      <c r="J19" s="37">
        <f t="shared" si="7"/>
        <v>53640.000000000007</v>
      </c>
      <c r="K19" s="37">
        <f t="shared" si="7"/>
        <v>237.84</v>
      </c>
      <c r="L19" s="37">
        <f t="shared" si="7"/>
        <v>88.17</v>
      </c>
      <c r="M19" s="37">
        <f t="shared" si="7"/>
        <v>326.01</v>
      </c>
      <c r="N19" s="37">
        <f t="shared" si="7"/>
        <v>53313.990000000005</v>
      </c>
      <c r="O19" s="37">
        <f t="shared" si="7"/>
        <v>1848.0300000000002</v>
      </c>
      <c r="P19" s="37">
        <f t="shared" si="7"/>
        <v>12174.18</v>
      </c>
      <c r="Q19" s="37">
        <f t="shared" si="7"/>
        <v>35612.49</v>
      </c>
      <c r="R19" s="37">
        <f t="shared" si="7"/>
        <v>3472.29</v>
      </c>
      <c r="S19" s="37">
        <f t="shared" si="7"/>
        <v>30.75</v>
      </c>
      <c r="T19" s="37">
        <f t="shared" si="7"/>
        <v>0</v>
      </c>
      <c r="U19" s="37">
        <f t="shared" si="7"/>
        <v>176.25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53640.000000000007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11955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49278</v>
      </c>
      <c r="I27" s="26"/>
      <c r="J27" s="198">
        <f t="shared" ref="J27:S27" si="8">$E26*J28</f>
        <v>0</v>
      </c>
      <c r="K27" s="198">
        <f t="shared" si="8"/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Inputs!B48+Inputs!B50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22890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34578</v>
      </c>
      <c r="I31" s="30"/>
      <c r="J31" s="198">
        <f t="shared" ref="J31:S31" si="9">$E30*J32</f>
        <v>434.90999999999997</v>
      </c>
      <c r="K31" s="198">
        <f t="shared" si="9"/>
        <v>4555.1100000000006</v>
      </c>
      <c r="L31" s="198">
        <f t="shared" si="9"/>
        <v>15725.430000000002</v>
      </c>
      <c r="M31" s="198">
        <f t="shared" si="9"/>
        <v>1991.4299999999998</v>
      </c>
      <c r="N31" s="198">
        <f t="shared" si="9"/>
        <v>0</v>
      </c>
      <c r="O31" s="198">
        <f t="shared" si="9"/>
        <v>0</v>
      </c>
      <c r="P31" s="198">
        <f t="shared" si="9"/>
        <v>45.78</v>
      </c>
      <c r="Q31" s="198">
        <f t="shared" si="9"/>
        <v>0</v>
      </c>
      <c r="R31" s="198">
        <f t="shared" si="9"/>
        <v>91.56</v>
      </c>
      <c r="S31" s="198">
        <f t="shared" si="9"/>
        <v>45.78</v>
      </c>
      <c r="T31" s="199">
        <f>SUM(J31:S31)</f>
        <v>22890.000000000004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3844</v>
      </c>
      <c r="I32" s="30"/>
      <c r="J32" s="197">
        <f>Inputs!C37</f>
        <v>1.9E-2</v>
      </c>
      <c r="K32" s="197">
        <f>Inputs!C38</f>
        <v>0.19900000000000001</v>
      </c>
      <c r="L32" s="197">
        <f>Inputs!C39</f>
        <v>0.68700000000000006</v>
      </c>
      <c r="M32" s="197">
        <f>Inputs!C40</f>
        <v>8.6999999999999994E-2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19110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29764</v>
      </c>
      <c r="I35" s="30"/>
      <c r="J35" s="198">
        <f t="shared" ref="J35:S35" si="10">$E$34*J36</f>
        <v>458.64</v>
      </c>
      <c r="K35" s="198">
        <f t="shared" si="10"/>
        <v>3917.5499999999997</v>
      </c>
      <c r="L35" s="198">
        <f t="shared" si="10"/>
        <v>13415.22</v>
      </c>
      <c r="M35" s="198">
        <f t="shared" si="10"/>
        <v>1108.3800000000001</v>
      </c>
      <c r="N35" s="198">
        <f t="shared" si="10"/>
        <v>19.11</v>
      </c>
      <c r="O35" s="198">
        <f t="shared" si="10"/>
        <v>0</v>
      </c>
      <c r="P35" s="198">
        <f t="shared" si="10"/>
        <v>95.55</v>
      </c>
      <c r="Q35" s="198">
        <f t="shared" si="10"/>
        <v>0</v>
      </c>
      <c r="R35" s="198">
        <f t="shared" si="10"/>
        <v>76.44</v>
      </c>
      <c r="S35" s="198">
        <f t="shared" si="10"/>
        <v>19.11</v>
      </c>
      <c r="T35" s="199">
        <f>SUM(J35:S35)</f>
        <v>19110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2002</v>
      </c>
      <c r="I36" s="30"/>
      <c r="J36" s="197">
        <f>Inputs!D37</f>
        <v>2.4E-2</v>
      </c>
      <c r="K36" s="197">
        <f>Inputs!D38</f>
        <v>0.20499999999999999</v>
      </c>
      <c r="L36" s="197">
        <f>Inputs!D39</f>
        <v>0.70199999999999996</v>
      </c>
      <c r="M36" s="197">
        <f>Inputs!D40</f>
        <v>5.8000000000000003E-2</v>
      </c>
      <c r="N36" s="197">
        <f>Inputs!D41</f>
        <v>1E-3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11640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18488</v>
      </c>
      <c r="I39" s="30"/>
      <c r="J39" s="198">
        <f t="shared" ref="J39:S39" si="11">$E38*J40</f>
        <v>954.48</v>
      </c>
      <c r="K39" s="198">
        <f t="shared" si="11"/>
        <v>3701.52</v>
      </c>
      <c r="L39" s="198">
        <f t="shared" si="11"/>
        <v>6471.84</v>
      </c>
      <c r="M39" s="198">
        <f t="shared" si="11"/>
        <v>372.48</v>
      </c>
      <c r="N39" s="198">
        <f t="shared" si="11"/>
        <v>11.64</v>
      </c>
      <c r="O39" s="198">
        <f t="shared" si="11"/>
        <v>0</v>
      </c>
      <c r="P39" s="198">
        <f t="shared" si="11"/>
        <v>34.92</v>
      </c>
      <c r="Q39" s="198">
        <f t="shared" si="11"/>
        <v>0</v>
      </c>
      <c r="R39" s="198">
        <f t="shared" si="11"/>
        <v>69.84</v>
      </c>
      <c r="S39" s="198">
        <f t="shared" si="11"/>
        <v>23.28</v>
      </c>
      <c r="T39" s="199">
        <f>SUM(J39:S39)</f>
        <v>11640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8.2000000000000003E-2</v>
      </c>
      <c r="K40" s="197">
        <f>Inputs!E38</f>
        <v>0.318</v>
      </c>
      <c r="L40" s="197">
        <f>Inputs!E39</f>
        <v>0.55600000000000005</v>
      </c>
      <c r="M40" s="197">
        <f>Inputs!E40</f>
        <v>3.2000000000000001E-2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45900.25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720</v>
      </c>
      <c r="C13" s="220">
        <f>'Grade out Information'!X26</f>
        <v>10800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720</v>
      </c>
      <c r="C27" s="222">
        <f>SUM(C13:C26)</f>
        <v>10800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Q30" sqref="Q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35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6300</v>
      </c>
      <c r="Y15" s="209">
        <f>K15+M15+O15+Q15+S15+U15+W15</f>
        <v>0</v>
      </c>
      <c r="Z15" s="226">
        <f>Inputs!I35</f>
        <v>420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2700</v>
      </c>
      <c r="J17" s="133">
        <f>X17*K17</f>
        <v>588.6</v>
      </c>
      <c r="K17" s="184">
        <f>Inputs!C36</f>
        <v>0.218</v>
      </c>
      <c r="L17" s="133">
        <f>X17*M17</f>
        <v>1854.9</v>
      </c>
      <c r="M17" s="184">
        <f>Inputs!C39</f>
        <v>0.68700000000000006</v>
      </c>
      <c r="N17" s="133">
        <f>X17*O17</f>
        <v>234.89999999999998</v>
      </c>
      <c r="O17" s="184">
        <f>Inputs!C40</f>
        <v>8.6999999999999994E-2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21.6</v>
      </c>
      <c r="W17" s="185">
        <f>Inputs!C43</f>
        <v>8.0000000000000002E-3</v>
      </c>
      <c r="X17" s="213">
        <f>Z17*15</f>
        <v>2700</v>
      </c>
      <c r="Y17" s="209">
        <f>K17+M17+O17+Q17+S17+U17+W17</f>
        <v>1</v>
      </c>
      <c r="Z17" s="226">
        <f>Inputs!I36</f>
        <v>180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0.218</v>
      </c>
      <c r="L18" s="133">
        <f>X18*M18</f>
        <v>0</v>
      </c>
      <c r="M18" s="184">
        <f>M17</f>
        <v>0.68700000000000006</v>
      </c>
      <c r="N18" s="133">
        <f>X18*O18</f>
        <v>0</v>
      </c>
      <c r="O18" s="184">
        <f>O17</f>
        <v>8.6999999999999994E-2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8.0000000000000002E-3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1275</v>
      </c>
      <c r="J20" s="133">
        <f>X20*K20</f>
        <v>291.97499999999997</v>
      </c>
      <c r="K20" s="184">
        <f>Inputs!D36</f>
        <v>0.22899999999999998</v>
      </c>
      <c r="L20" s="133">
        <f>X20*M20</f>
        <v>895.05</v>
      </c>
      <c r="M20" s="184">
        <f>Inputs!D39</f>
        <v>0.70199999999999996</v>
      </c>
      <c r="N20" s="133">
        <f>X20*O20</f>
        <v>73.95</v>
      </c>
      <c r="O20" s="184">
        <f>Inputs!D40</f>
        <v>5.8000000000000003E-2</v>
      </c>
      <c r="P20" s="133">
        <f>X20*Q20</f>
        <v>1.2750000000000001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12.75</v>
      </c>
      <c r="W20" s="185">
        <f>Inputs!D43</f>
        <v>0.01</v>
      </c>
      <c r="X20" s="213">
        <f>Z20*15</f>
        <v>1275</v>
      </c>
      <c r="Y20" s="209">
        <f>K20+M20+O20+Q20+S20+U20+W20</f>
        <v>1</v>
      </c>
      <c r="Z20" s="226">
        <f>Inputs!I38</f>
        <v>85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525</v>
      </c>
      <c r="J21" s="133">
        <f>X21*K21</f>
        <v>120.22499999999999</v>
      </c>
      <c r="K21" s="184">
        <f>K20</f>
        <v>0.22899999999999998</v>
      </c>
      <c r="L21" s="133">
        <f>X21*M21</f>
        <v>368.54999999999995</v>
      </c>
      <c r="M21" s="184">
        <f>M20</f>
        <v>0.70199999999999996</v>
      </c>
      <c r="N21" s="133">
        <f>X21*O21</f>
        <v>30.450000000000003</v>
      </c>
      <c r="O21" s="184">
        <f>O20</f>
        <v>5.8000000000000003E-2</v>
      </c>
      <c r="P21" s="133">
        <f>X21*Q21</f>
        <v>0.52500000000000002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5.25</v>
      </c>
      <c r="W21" s="185">
        <f>W20</f>
        <v>0.01</v>
      </c>
      <c r="X21" s="213">
        <f>Z21*15</f>
        <v>525</v>
      </c>
      <c r="Y21" s="209">
        <f>K21+M21+O21+Q21+S21+U21+W21</f>
        <v>1</v>
      </c>
      <c r="Z21" s="226">
        <f>Inputs!I39</f>
        <v>35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0.4</v>
      </c>
      <c r="L23" s="133">
        <f>X23*M23</f>
        <v>0</v>
      </c>
      <c r="M23" s="184">
        <f>Inputs!E39</f>
        <v>0.55600000000000005</v>
      </c>
      <c r="N23" s="133">
        <f>X23*O23</f>
        <v>0</v>
      </c>
      <c r="O23" s="184">
        <f>Inputs!E40</f>
        <v>3.2000000000000001E-2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1000.8000000000001</v>
      </c>
      <c r="K26" s="139"/>
      <c r="L26" s="139">
        <f>SUM(L15:L25)</f>
        <v>3118.5</v>
      </c>
      <c r="M26" s="139"/>
      <c r="N26" s="139">
        <f>SUM(N15:N25)</f>
        <v>339.29999999999995</v>
      </c>
      <c r="O26" s="139"/>
      <c r="P26" s="139">
        <f>SUM(P15:P25)</f>
        <v>1.8000000000000003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39.6</v>
      </c>
      <c r="W26" s="139"/>
      <c r="X26" s="139">
        <f>SUM(X15:X25)</f>
        <v>10800</v>
      </c>
      <c r="Y26" s="139"/>
      <c r="Z26" s="139">
        <f>SUM(Z15:Z25)</f>
        <v>720</v>
      </c>
      <c r="AA26" s="141">
        <f>IF(Z33=0,0,Z33/(H33+Z33))</f>
        <v>0</v>
      </c>
      <c r="AB26" s="139">
        <f>G26+X26</f>
        <v>10800</v>
      </c>
      <c r="AC26" s="139">
        <f>H26+Z26</f>
        <v>720</v>
      </c>
      <c r="AD26" s="141">
        <f>I26+AA26</f>
        <v>0</v>
      </c>
    </row>
    <row r="30" spans="1:30" x14ac:dyDescent="0.2">
      <c r="A30" s="3" t="s">
        <v>100</v>
      </c>
      <c r="B30">
        <f>J26</f>
        <v>1000.8000000000001</v>
      </c>
    </row>
    <row r="31" spans="1:30" x14ac:dyDescent="0.2">
      <c r="A31" s="3" t="s">
        <v>101</v>
      </c>
      <c r="B31">
        <f>L26</f>
        <v>3118.5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339.29999999999995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1.8000000000000003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39.6</v>
      </c>
    </row>
    <row r="38" spans="1:13" x14ac:dyDescent="0.2">
      <c r="A38" s="3" t="s">
        <v>119</v>
      </c>
      <c r="B38">
        <f>SUM(B30:B36)</f>
        <v>4500.0000000000009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3" sqref="I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49278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34578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3844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29764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2002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18488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22" sqref="G2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35</v>
      </c>
      <c r="C7" s="151">
        <v>940962</v>
      </c>
      <c r="D7" s="188" t="s">
        <v>168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1443</v>
      </c>
      <c r="J7" s="189">
        <f>IF(H7="NEW",203, IF(H7="OLD",192,0))</f>
        <v>203</v>
      </c>
      <c r="K7" s="151">
        <v>1646</v>
      </c>
      <c r="L7" s="211">
        <f>IF(K7&gt;0,I7/E7,"NA")</f>
        <v>24.05</v>
      </c>
      <c r="M7" s="151">
        <v>135153</v>
      </c>
      <c r="N7" s="152" t="s">
        <v>235</v>
      </c>
      <c r="O7" s="157" t="s">
        <v>48</v>
      </c>
      <c r="P7" s="187">
        <f>IF(D7=Inputs!F$4,Inputs!I$4,IF(D7=Inputs!F$2,Inputs!I$2,IF(D7=Inputs!F$3,Inputs!I$3,IF(D7=Inputs!F$5,Inputs!I$5,"NA"))))</f>
        <v>46.892857142857146</v>
      </c>
    </row>
    <row r="8" spans="1:16" x14ac:dyDescent="0.25">
      <c r="A8" s="148">
        <v>2</v>
      </c>
      <c r="B8" s="189">
        <f>Inputs!C$2</f>
        <v>35</v>
      </c>
      <c r="C8" s="151">
        <v>940963</v>
      </c>
      <c r="D8" s="188" t="s">
        <v>168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1441</v>
      </c>
      <c r="J8" s="189">
        <f>IF(H8="NEW",203, IF(H8="OLD",192,0))</f>
        <v>203</v>
      </c>
      <c r="K8" s="151">
        <v>1644</v>
      </c>
      <c r="L8" s="211">
        <f>IF(K8&gt;0,I8/E8,"NA")</f>
        <v>24.016666666666666</v>
      </c>
      <c r="M8" s="151">
        <v>135153</v>
      </c>
      <c r="N8" s="152" t="s">
        <v>235</v>
      </c>
      <c r="O8" s="157" t="s">
        <v>48</v>
      </c>
      <c r="P8" s="187">
        <f>IF(D8=Inputs!F$4,Inputs!I$4,IF(D8=Inputs!F$2,Inputs!I$2,IF(D8=Inputs!F$3,Inputs!I$3,IF(D8=Inputs!F$5,Inputs!I$5,"NA"))))</f>
        <v>46.892857142857146</v>
      </c>
    </row>
    <row r="9" spans="1:16" x14ac:dyDescent="0.25">
      <c r="A9" s="148">
        <v>3</v>
      </c>
      <c r="B9" s="189">
        <f>Inputs!C$2</f>
        <v>35</v>
      </c>
      <c r="C9" s="151">
        <v>940964</v>
      </c>
      <c r="D9" s="188" t="s">
        <v>230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1389</v>
      </c>
      <c r="J9" s="189">
        <f>IF(H9="NEW",203, IF(H9="OLD",192,0))</f>
        <v>203</v>
      </c>
      <c r="K9" s="151">
        <v>1592</v>
      </c>
      <c r="L9" s="211">
        <f t="shared" ref="L9:L72" si="1">IF(K9&gt;0,I9/E9,"NA")</f>
        <v>23.15</v>
      </c>
      <c r="M9" s="151">
        <v>135153</v>
      </c>
      <c r="N9" s="152" t="s">
        <v>235</v>
      </c>
      <c r="O9" s="157" t="s">
        <v>236</v>
      </c>
      <c r="P9" s="187">
        <f>IF(D9=Inputs!F$4,Inputs!I$4,IF(D9=Inputs!F$2,Inputs!I$2,IF(D9=Inputs!F$3,Inputs!I$3,IF(D9=Inputs!F$5,Inputs!I$5,"NA"))))</f>
        <v>33.892857142857146</v>
      </c>
    </row>
    <row r="10" spans="1:16" x14ac:dyDescent="0.25">
      <c r="A10" s="148">
        <v>4</v>
      </c>
      <c r="B10" s="189">
        <f>Inputs!C$2</f>
        <v>35</v>
      </c>
      <c r="C10" s="151">
        <v>940965</v>
      </c>
      <c r="D10" s="188" t="s">
        <v>5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1069</v>
      </c>
      <c r="J10" s="189">
        <f>IF(H10="NEW",203, IF(H10="OLD",192,0))</f>
        <v>203</v>
      </c>
      <c r="K10" s="151">
        <v>1272</v>
      </c>
      <c r="L10" s="211">
        <f t="shared" si="1"/>
        <v>17.816666666666666</v>
      </c>
      <c r="M10" s="151">
        <v>135153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21.464285714285715</v>
      </c>
    </row>
    <row r="11" spans="1:16" x14ac:dyDescent="0.25">
      <c r="A11" s="148">
        <v>5</v>
      </c>
      <c r="B11" s="189">
        <f>Inputs!C$2</f>
        <v>35</v>
      </c>
      <c r="C11" s="151">
        <v>940966</v>
      </c>
      <c r="D11" s="188" t="s">
        <v>168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1451</v>
      </c>
      <c r="J11" s="189">
        <f t="shared" ref="J11:J72" si="2">IF(H11="NEW",203, IF(H11="OLD",192,0))</f>
        <v>203</v>
      </c>
      <c r="K11" s="151">
        <v>1654</v>
      </c>
      <c r="L11" s="211">
        <f>IF(K11&gt;0,I11/E11,"NA")</f>
        <v>24.183333333333334</v>
      </c>
      <c r="M11" s="151">
        <v>135153</v>
      </c>
      <c r="N11" s="152" t="s">
        <v>235</v>
      </c>
      <c r="O11" s="157" t="s">
        <v>48</v>
      </c>
      <c r="P11" s="187">
        <f>IF(D11=Inputs!F$4,Inputs!I$4,IF(D11=Inputs!F$2,Inputs!I$2,IF(D11=Inputs!F$3,Inputs!I$3,IF(D11=Inputs!F$5,Inputs!I$5,"NA"))))</f>
        <v>46.892857142857146</v>
      </c>
    </row>
    <row r="12" spans="1:16" x14ac:dyDescent="0.25">
      <c r="A12" s="148">
        <v>6</v>
      </c>
      <c r="B12" s="189">
        <f>Inputs!C$2</f>
        <v>35</v>
      </c>
      <c r="C12" s="151">
        <v>940967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1099</v>
      </c>
      <c r="J12" s="189">
        <f t="shared" si="2"/>
        <v>203</v>
      </c>
      <c r="K12" s="151">
        <v>1302</v>
      </c>
      <c r="L12" s="211">
        <f t="shared" si="1"/>
        <v>18.316666666666666</v>
      </c>
      <c r="M12" s="151">
        <v>135153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21.464285714285715</v>
      </c>
    </row>
    <row r="13" spans="1:16" x14ac:dyDescent="0.25">
      <c r="A13" s="148">
        <v>7</v>
      </c>
      <c r="B13" s="189">
        <f>Inputs!C$2</f>
        <v>35</v>
      </c>
      <c r="C13" s="151">
        <v>940968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1097</v>
      </c>
      <c r="J13" s="189">
        <f t="shared" si="2"/>
        <v>203</v>
      </c>
      <c r="K13" s="151">
        <v>1300</v>
      </c>
      <c r="L13" s="211">
        <f t="shared" si="1"/>
        <v>18.283333333333335</v>
      </c>
      <c r="M13" s="151">
        <v>135153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21.464285714285715</v>
      </c>
    </row>
    <row r="14" spans="1:16" x14ac:dyDescent="0.25">
      <c r="A14" s="148">
        <v>8</v>
      </c>
      <c r="B14" s="189">
        <f>Inputs!C$2</f>
        <v>35</v>
      </c>
      <c r="C14" s="151">
        <v>940969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1099</v>
      </c>
      <c r="J14" s="189">
        <f t="shared" si="2"/>
        <v>203</v>
      </c>
      <c r="K14" s="151">
        <v>1302</v>
      </c>
      <c r="L14" s="211">
        <f t="shared" si="1"/>
        <v>18.316666666666666</v>
      </c>
      <c r="M14" s="151">
        <v>135153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21.464285714285715</v>
      </c>
    </row>
    <row r="15" spans="1:16" x14ac:dyDescent="0.25">
      <c r="A15" s="148">
        <v>9</v>
      </c>
      <c r="B15" s="189">
        <f>Inputs!C$2</f>
        <v>35</v>
      </c>
      <c r="C15" s="151">
        <v>940970</v>
      </c>
      <c r="D15" s="188" t="s">
        <v>230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1393</v>
      </c>
      <c r="J15" s="189">
        <f t="shared" si="2"/>
        <v>203</v>
      </c>
      <c r="K15" s="151">
        <v>1596</v>
      </c>
      <c r="L15" s="211">
        <f t="shared" si="1"/>
        <v>23.216666666666665</v>
      </c>
      <c r="M15" s="151">
        <v>135153</v>
      </c>
      <c r="N15" s="152" t="s">
        <v>235</v>
      </c>
      <c r="O15" s="157" t="s">
        <v>236</v>
      </c>
      <c r="P15" s="187">
        <f>IF(D15=Inputs!F$4,Inputs!I$4,IF(D15=Inputs!F$2,Inputs!I$2,IF(D15=Inputs!F$3,Inputs!I$3,IF(D15=Inputs!F$5,Inputs!I$5,"NA"))))</f>
        <v>33.892857142857146</v>
      </c>
    </row>
    <row r="16" spans="1:16" x14ac:dyDescent="0.25">
      <c r="A16" s="148">
        <v>10</v>
      </c>
      <c r="B16" s="189">
        <f>Inputs!C$2</f>
        <v>35</v>
      </c>
      <c r="C16" s="151">
        <v>940971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1093</v>
      </c>
      <c r="J16" s="189">
        <f t="shared" si="2"/>
        <v>203</v>
      </c>
      <c r="K16" s="151">
        <v>1296</v>
      </c>
      <c r="L16" s="211">
        <f t="shared" si="1"/>
        <v>18.216666666666665</v>
      </c>
      <c r="M16" s="151">
        <v>135153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21.464285714285715</v>
      </c>
    </row>
    <row r="17" spans="1:16" x14ac:dyDescent="0.25">
      <c r="A17" s="148">
        <v>11</v>
      </c>
      <c r="B17" s="189">
        <f>Inputs!C$2</f>
        <v>35</v>
      </c>
      <c r="C17" s="151">
        <v>940972</v>
      </c>
      <c r="D17" s="188" t="s">
        <v>5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1125</v>
      </c>
      <c r="J17" s="189">
        <f t="shared" si="2"/>
        <v>203</v>
      </c>
      <c r="K17" s="151">
        <v>1328</v>
      </c>
      <c r="L17" s="211">
        <f t="shared" si="1"/>
        <v>18.75</v>
      </c>
      <c r="M17" s="151">
        <v>135153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21.464285714285715</v>
      </c>
    </row>
    <row r="18" spans="1:16" x14ac:dyDescent="0.25">
      <c r="A18" s="148">
        <v>12</v>
      </c>
      <c r="B18" s="189">
        <f>Inputs!C$2</f>
        <v>35</v>
      </c>
      <c r="C18" s="151">
        <v>940973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1135</v>
      </c>
      <c r="J18" s="189">
        <f t="shared" si="2"/>
        <v>203</v>
      </c>
      <c r="K18" s="151">
        <v>1338</v>
      </c>
      <c r="L18" s="211">
        <f t="shared" si="1"/>
        <v>18.916666666666668</v>
      </c>
      <c r="M18" s="151">
        <v>135153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21.464285714285715</v>
      </c>
    </row>
    <row r="19" spans="1:16" x14ac:dyDescent="0.25">
      <c r="A19" s="148">
        <v>13</v>
      </c>
      <c r="B19" s="189">
        <f>Inputs!C$2</f>
        <v>35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35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35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35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35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35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35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35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35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35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35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35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35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35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35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35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35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35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35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35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35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35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35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35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35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35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35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35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35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35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35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35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35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35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35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35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35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35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35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35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35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35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35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35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35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35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35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35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35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35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35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35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35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35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35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35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35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35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35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35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35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35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35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35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I22" sqref="I22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35</v>
      </c>
      <c r="F2" s="166" t="s">
        <v>5</v>
      </c>
      <c r="G2" s="186">
        <v>45750</v>
      </c>
      <c r="I2" s="205">
        <f>(C$3-G2)/7</f>
        <v>21.464285714285715</v>
      </c>
      <c r="J2" s="230">
        <f>I2-19</f>
        <v>2.4642857142857153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45900.25</v>
      </c>
      <c r="D3" s="247"/>
      <c r="F3" s="166" t="s">
        <v>168</v>
      </c>
      <c r="G3" s="186">
        <v>45572</v>
      </c>
      <c r="I3" s="205">
        <f>(C$3-G3)/7</f>
        <v>46.892857142857146</v>
      </c>
      <c r="J3" s="230">
        <f>I3-19</f>
        <v>27.892857142857146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33.892857142857146</v>
      </c>
      <c r="J4" s="230">
        <f>I4-19</f>
        <v>14.892857142857146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64.464285714285708</v>
      </c>
      <c r="J5" s="230">
        <f>I5-19</f>
        <v>45.464285714285708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0</v>
      </c>
      <c r="C10" s="165"/>
      <c r="E10" s="139">
        <v>6</v>
      </c>
      <c r="F10" s="168">
        <v>169</v>
      </c>
      <c r="G10" s="165"/>
    </row>
    <row r="11" spans="1:12" x14ac:dyDescent="0.2">
      <c r="A11" s="139">
        <v>7</v>
      </c>
      <c r="B11" s="168">
        <v>189</v>
      </c>
      <c r="C11" s="168">
        <v>20</v>
      </c>
      <c r="E11" s="139">
        <v>7</v>
      </c>
      <c r="F11" s="168">
        <v>196</v>
      </c>
      <c r="G11" s="168">
        <v>22</v>
      </c>
    </row>
    <row r="12" spans="1:12" x14ac:dyDescent="0.2">
      <c r="A12" s="139">
        <v>10</v>
      </c>
      <c r="B12" s="237">
        <v>174</v>
      </c>
      <c r="C12" s="168">
        <v>12</v>
      </c>
      <c r="E12" s="139">
        <v>10</v>
      </c>
      <c r="F12" s="168">
        <v>167</v>
      </c>
      <c r="G12" s="168">
        <v>14</v>
      </c>
    </row>
    <row r="13" spans="1:12" x14ac:dyDescent="0.2">
      <c r="A13" s="139">
        <v>11</v>
      </c>
      <c r="B13" s="168">
        <v>123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208</v>
      </c>
      <c r="C16" s="165"/>
      <c r="E16" s="139">
        <v>6</v>
      </c>
      <c r="F16" s="168">
        <v>99</v>
      </c>
      <c r="G16" s="165"/>
    </row>
    <row r="17" spans="1:11" x14ac:dyDescent="0.2">
      <c r="A17" s="139">
        <v>7</v>
      </c>
      <c r="B17" s="168">
        <v>203</v>
      </c>
      <c r="C17" s="168">
        <v>25</v>
      </c>
      <c r="E17" s="139">
        <v>7</v>
      </c>
      <c r="F17" s="168">
        <v>197</v>
      </c>
      <c r="G17" s="168">
        <v>23</v>
      </c>
    </row>
    <row r="18" spans="1:11" x14ac:dyDescent="0.2">
      <c r="A18" s="139">
        <v>10</v>
      </c>
      <c r="B18" s="168">
        <v>175</v>
      </c>
      <c r="C18" s="168">
        <v>12</v>
      </c>
      <c r="E18" s="139">
        <v>10</v>
      </c>
      <c r="F18" s="168">
        <v>172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110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108</v>
      </c>
      <c r="C23" s="165"/>
      <c r="E23" s="139">
        <v>6</v>
      </c>
      <c r="F23" s="168">
        <v>105</v>
      </c>
      <c r="G23" s="165"/>
    </row>
    <row r="24" spans="1:11" x14ac:dyDescent="0.2">
      <c r="A24" s="139">
        <v>7</v>
      </c>
      <c r="B24" s="168">
        <v>197</v>
      </c>
      <c r="C24" s="168">
        <v>22</v>
      </c>
      <c r="E24" s="139">
        <v>7</v>
      </c>
      <c r="F24" s="168">
        <v>198</v>
      </c>
      <c r="G24" s="168">
        <v>22</v>
      </c>
    </row>
    <row r="25" spans="1:11" x14ac:dyDescent="0.2">
      <c r="A25" s="139">
        <v>10</v>
      </c>
      <c r="B25" s="168">
        <v>161</v>
      </c>
      <c r="C25" s="168">
        <v>13</v>
      </c>
      <c r="E25" s="139">
        <v>10</v>
      </c>
      <c r="F25" s="168">
        <v>180</v>
      </c>
      <c r="G25" s="168">
        <v>15</v>
      </c>
    </row>
    <row r="26" spans="1:11" x14ac:dyDescent="0.2">
      <c r="A26" s="139">
        <v>11</v>
      </c>
      <c r="B26" s="168">
        <v>106</v>
      </c>
      <c r="C26" s="165"/>
      <c r="E26" s="139">
        <v>11</v>
      </c>
      <c r="F26" s="168">
        <v>104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108</v>
      </c>
      <c r="C29" s="165"/>
      <c r="E29" s="139">
        <v>6</v>
      </c>
      <c r="F29" s="203">
        <f t="shared" ref="F29:G31" si="0">B10+F10+B16+F16+B23+F23+B29</f>
        <v>797</v>
      </c>
      <c r="G29" s="204">
        <f t="shared" si="0"/>
        <v>0</v>
      </c>
      <c r="I29" s="139">
        <v>6</v>
      </c>
      <c r="J29" s="203">
        <f t="shared" ref="J29:K31" si="1">F29*15</f>
        <v>11955</v>
      </c>
      <c r="K29" s="204">
        <f t="shared" si="1"/>
        <v>0</v>
      </c>
    </row>
    <row r="30" spans="1:11" x14ac:dyDescent="0.2">
      <c r="A30" s="139">
        <v>7</v>
      </c>
      <c r="B30" s="168">
        <v>192</v>
      </c>
      <c r="C30" s="168">
        <v>20</v>
      </c>
      <c r="E30" s="139">
        <v>7</v>
      </c>
      <c r="F30" s="203">
        <f t="shared" si="0"/>
        <v>1372</v>
      </c>
      <c r="G30" s="203">
        <f t="shared" si="0"/>
        <v>154</v>
      </c>
      <c r="I30" s="139">
        <v>7</v>
      </c>
      <c r="J30" s="203">
        <f t="shared" si="1"/>
        <v>20580</v>
      </c>
      <c r="K30" s="203">
        <f t="shared" si="1"/>
        <v>2310</v>
      </c>
    </row>
    <row r="31" spans="1:11" x14ac:dyDescent="0.2">
      <c r="A31" s="139">
        <v>10</v>
      </c>
      <c r="B31" s="168">
        <v>156</v>
      </c>
      <c r="C31" s="168">
        <v>11</v>
      </c>
      <c r="E31" s="139">
        <v>10</v>
      </c>
      <c r="F31" s="203">
        <f t="shared" si="0"/>
        <v>1185</v>
      </c>
      <c r="G31" s="203">
        <f t="shared" si="0"/>
        <v>89</v>
      </c>
      <c r="I31" s="139">
        <v>10</v>
      </c>
      <c r="J31" s="203">
        <f t="shared" si="1"/>
        <v>17775</v>
      </c>
      <c r="K31" s="203">
        <f t="shared" si="1"/>
        <v>1335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ref="F32:G32" si="2">B13+F13+B19+F19+B26+F26+B32</f>
        <v>776</v>
      </c>
      <c r="G32" s="204">
        <f t="shared" si="2"/>
        <v>0</v>
      </c>
      <c r="I32" s="139">
        <v>11</v>
      </c>
      <c r="J32" s="203">
        <f>F32*15</f>
        <v>11640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420</v>
      </c>
    </row>
    <row r="36" spans="1:9" x14ac:dyDescent="0.2">
      <c r="A36" s="172" t="s">
        <v>100</v>
      </c>
      <c r="B36" s="201">
        <f>B37+B38</f>
        <v>0</v>
      </c>
      <c r="C36" s="201">
        <f>C37+C38</f>
        <v>0.218</v>
      </c>
      <c r="D36" s="201">
        <f>D37+D38</f>
        <v>0.22899999999999998</v>
      </c>
      <c r="E36" s="201">
        <f>E37+E38</f>
        <v>0.4</v>
      </c>
      <c r="G36" s="245" t="s">
        <v>206</v>
      </c>
      <c r="H36" s="245"/>
      <c r="I36" s="225">
        <v>180</v>
      </c>
    </row>
    <row r="37" spans="1:9" x14ac:dyDescent="0.2">
      <c r="A37" s="172" t="s">
        <v>184</v>
      </c>
      <c r="B37" s="236">
        <v>0</v>
      </c>
      <c r="C37" s="173">
        <v>1.9E-2</v>
      </c>
      <c r="D37" s="173">
        <v>2.4E-2</v>
      </c>
      <c r="E37" s="173">
        <v>8.2000000000000003E-2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</v>
      </c>
      <c r="C38" s="173">
        <v>0.19900000000000001</v>
      </c>
      <c r="D38" s="173">
        <v>0.20499999999999999</v>
      </c>
      <c r="E38" s="173">
        <v>0.318</v>
      </c>
      <c r="G38" s="245" t="s">
        <v>216</v>
      </c>
      <c r="H38" s="245"/>
      <c r="I38" s="225">
        <v>85</v>
      </c>
    </row>
    <row r="39" spans="1:9" x14ac:dyDescent="0.2">
      <c r="A39" s="172" t="s">
        <v>186</v>
      </c>
      <c r="B39" s="173">
        <v>0</v>
      </c>
      <c r="C39" s="173">
        <v>0.68700000000000006</v>
      </c>
      <c r="D39" s="173">
        <v>0.70199999999999996</v>
      </c>
      <c r="E39" s="173">
        <v>0.55600000000000005</v>
      </c>
      <c r="G39" s="245" t="s">
        <v>217</v>
      </c>
      <c r="H39" s="245"/>
      <c r="I39" s="225">
        <v>35</v>
      </c>
    </row>
    <row r="40" spans="1:9" x14ac:dyDescent="0.2">
      <c r="A40" s="172" t="s">
        <v>187</v>
      </c>
      <c r="B40" s="173">
        <v>0</v>
      </c>
      <c r="C40" s="173">
        <v>8.6999999999999994E-2</v>
      </c>
      <c r="D40" s="173">
        <v>5.8000000000000003E-2</v>
      </c>
      <c r="E40" s="236">
        <v>3.2000000000000001E-2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0</v>
      </c>
      <c r="D41" s="173">
        <v>1E-3</v>
      </c>
      <c r="E41" s="173">
        <v>1E-3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0</v>
      </c>
      <c r="C44" s="232">
        <v>60.95</v>
      </c>
      <c r="D44" s="232">
        <v>61.13</v>
      </c>
      <c r="E44" s="232">
        <v>62.97</v>
      </c>
    </row>
    <row r="45" spans="1:9" x14ac:dyDescent="0.2">
      <c r="A45" s="233" t="s">
        <v>213</v>
      </c>
      <c r="B45" s="231">
        <f>J29</f>
        <v>11955</v>
      </c>
      <c r="C45" s="231">
        <f>J30</f>
        <v>20580</v>
      </c>
      <c r="D45" s="231">
        <f>J31+K31</f>
        <v>19110</v>
      </c>
      <c r="E45" s="231">
        <f>J32</f>
        <v>11640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0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0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0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0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2025-09-02T17:33:16Z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