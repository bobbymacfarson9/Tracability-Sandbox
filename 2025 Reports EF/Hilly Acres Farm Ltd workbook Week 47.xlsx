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308B3EF2-4084-42CB-8B5E-33B6389CB1D7}" xr6:coauthVersionLast="47" xr6:coauthVersionMax="47" xr10:uidLastSave="{00000000-0000-0000-0000-000000000000}"/>
  <bookViews>
    <workbookView xWindow="75" yWindow="150" windowWidth="29040" windowHeight="15720" tabRatio="500" activeTab="4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Q7" i="6" l="1"/>
  <c r="AH80" i="8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B7" i="6"/>
  <c r="J7" i="6"/>
  <c r="I7" i="6" s="1"/>
  <c r="L7" i="6" s="1"/>
  <c r="P7" i="6"/>
  <c r="B8" i="6"/>
  <c r="J8" i="6"/>
  <c r="I8" i="6" s="1"/>
  <c r="L8" i="6" s="1"/>
  <c r="P8" i="6"/>
  <c r="B9" i="6"/>
  <c r="J9" i="6"/>
  <c r="I9" i="6" s="1"/>
  <c r="L9" i="6" s="1"/>
  <c r="P9" i="6"/>
  <c r="B10" i="6"/>
  <c r="J10" i="6"/>
  <c r="I10" i="6" s="1"/>
  <c r="L10" i="6" s="1"/>
  <c r="P10" i="6"/>
  <c r="B11" i="6"/>
  <c r="J11" i="6"/>
  <c r="I11" i="6" s="1"/>
  <c r="L11" i="6" s="1"/>
  <c r="P11" i="6"/>
  <c r="B12" i="6"/>
  <c r="J12" i="6"/>
  <c r="I12" i="6" s="1"/>
  <c r="L12" i="6" s="1"/>
  <c r="P12" i="6"/>
  <c r="B13" i="6"/>
  <c r="J13" i="6"/>
  <c r="I13" i="6" s="1"/>
  <c r="L13" i="6" s="1"/>
  <c r="P13" i="6"/>
  <c r="B14" i="6"/>
  <c r="J14" i="6"/>
  <c r="I14" i="6" s="1"/>
  <c r="L14" i="6" s="1"/>
  <c r="P14" i="6"/>
  <c r="B15" i="6"/>
  <c r="J15" i="6"/>
  <c r="I15" i="6" s="1"/>
  <c r="L15" i="6" s="1"/>
  <c r="P15" i="6"/>
  <c r="B16" i="6"/>
  <c r="J16" i="6"/>
  <c r="I16" i="6" s="1"/>
  <c r="L16" i="6" s="1"/>
  <c r="P16" i="6"/>
  <c r="B17" i="6"/>
  <c r="J17" i="6"/>
  <c r="I17" i="6" s="1"/>
  <c r="L17" i="6" s="1"/>
  <c r="P17" i="6"/>
  <c r="B18" i="6"/>
  <c r="J18" i="6"/>
  <c r="I18" i="6" s="1"/>
  <c r="L18" i="6" s="1"/>
  <c r="P18" i="6"/>
  <c r="B19" i="6"/>
  <c r="J19" i="6"/>
  <c r="I19" i="6" s="1"/>
  <c r="L19" i="6" s="1"/>
  <c r="P19" i="6"/>
  <c r="B20" i="6"/>
  <c r="J20" i="6"/>
  <c r="I20" i="6" s="1"/>
  <c r="L20" i="6" s="1"/>
  <c r="P20" i="6"/>
  <c r="B21" i="6"/>
  <c r="J21" i="6"/>
  <c r="I21" i="6" s="1"/>
  <c r="L21" i="6" s="1"/>
  <c r="P21" i="6"/>
  <c r="B22" i="6"/>
  <c r="J22" i="6"/>
  <c r="I22" i="6" s="1"/>
  <c r="L22" i="6" s="1"/>
  <c r="P22" i="6"/>
  <c r="B23" i="6"/>
  <c r="J23" i="6"/>
  <c r="I23" i="6" s="1"/>
  <c r="L23" i="6" s="1"/>
  <c r="P23" i="6"/>
  <c r="B24" i="6"/>
  <c r="J24" i="6"/>
  <c r="I24" i="6" s="1"/>
  <c r="L24" i="6" s="1"/>
  <c r="P24" i="6"/>
  <c r="B25" i="6"/>
  <c r="J25" i="6"/>
  <c r="I25" i="6" s="1"/>
  <c r="L25" i="6" s="1"/>
  <c r="P25" i="6"/>
  <c r="B26" i="6"/>
  <c r="J26" i="6"/>
  <c r="I26" i="6" s="1"/>
  <c r="L26" i="6" s="1"/>
  <c r="P26" i="6"/>
  <c r="B27" i="6"/>
  <c r="J27" i="6"/>
  <c r="I27" i="6" s="1"/>
  <c r="L27" i="6" s="1"/>
  <c r="P27" i="6"/>
  <c r="B28" i="6"/>
  <c r="J28" i="6"/>
  <c r="I28" i="6" s="1"/>
  <c r="L28" i="6" s="1"/>
  <c r="P28" i="6"/>
  <c r="B29" i="6"/>
  <c r="J29" i="6"/>
  <c r="I29" i="6" s="1"/>
  <c r="L29" i="6" s="1"/>
  <c r="P29" i="6"/>
  <c r="B30" i="6"/>
  <c r="J30" i="6"/>
  <c r="I30" i="6" s="1"/>
  <c r="L30" i="6" s="1"/>
  <c r="P30" i="6"/>
  <c r="B31" i="6"/>
  <c r="J31" i="6"/>
  <c r="I31" i="6" s="1"/>
  <c r="L31" i="6" s="1"/>
  <c r="P31" i="6"/>
  <c r="B32" i="6"/>
  <c r="J32" i="6"/>
  <c r="I32" i="6" s="1"/>
  <c r="L32" i="6" s="1"/>
  <c r="P32" i="6"/>
  <c r="B33" i="6"/>
  <c r="J33" i="6"/>
  <c r="I33" i="6" s="1"/>
  <c r="L33" i="6" s="1"/>
  <c r="P33" i="6"/>
  <c r="D11" i="5"/>
  <c r="AF32" i="8" l="1"/>
  <c r="AF31" i="8"/>
  <c r="AF30" i="8"/>
  <c r="AF29" i="8"/>
  <c r="AF28" i="8"/>
  <c r="AF27" i="8"/>
  <c r="AF26" i="8"/>
  <c r="F12" i="5"/>
  <c r="F11" i="5"/>
  <c r="E12" i="5"/>
  <c r="D12" i="5"/>
  <c r="C12" i="5"/>
  <c r="C11" i="5"/>
  <c r="E11" i="5"/>
  <c r="AF66" i="8"/>
  <c r="AF65" i="8"/>
  <c r="AF64" i="8"/>
  <c r="AF63" i="8"/>
  <c r="AF62" i="8"/>
  <c r="AF61" i="8"/>
  <c r="AF60" i="8"/>
  <c r="AF54" i="8"/>
  <c r="AF53" i="8"/>
  <c r="AF52" i="8"/>
  <c r="AF51" i="8"/>
  <c r="AF50" i="8"/>
  <c r="AF49" i="8"/>
  <c r="AF48" i="8"/>
  <c r="AF43" i="8"/>
  <c r="AF42" i="8"/>
  <c r="AF41" i="8"/>
  <c r="AF40" i="8"/>
  <c r="AF39" i="8"/>
  <c r="AF38" i="8"/>
  <c r="AF37" i="8"/>
  <c r="AF21" i="8"/>
  <c r="AF20" i="8"/>
  <c r="AF19" i="8"/>
  <c r="AF18" i="8"/>
  <c r="AF17" i="8"/>
  <c r="AF16" i="8"/>
  <c r="AF15" i="8"/>
  <c r="AF10" i="8"/>
  <c r="AF9" i="8"/>
  <c r="AF8" i="8"/>
  <c r="AF7" i="8"/>
  <c r="AF6" i="8"/>
  <c r="AF5" i="8"/>
  <c r="AF4" i="8"/>
  <c r="AF44" i="8" l="1"/>
  <c r="AG43" i="8"/>
  <c r="AD43" i="8"/>
  <c r="AB43" i="8"/>
  <c r="Z43" i="8"/>
  <c r="X43" i="8"/>
  <c r="V43" i="8"/>
  <c r="T43" i="8"/>
  <c r="R43" i="8"/>
  <c r="P43" i="8"/>
  <c r="AG42" i="8"/>
  <c r="AD42" i="8"/>
  <c r="AB42" i="8"/>
  <c r="Z42" i="8"/>
  <c r="X42" i="8"/>
  <c r="V42" i="8"/>
  <c r="T42" i="8"/>
  <c r="R42" i="8"/>
  <c r="P42" i="8"/>
  <c r="AG41" i="8"/>
  <c r="AD41" i="8"/>
  <c r="AB41" i="8"/>
  <c r="Z41" i="8"/>
  <c r="X41" i="8"/>
  <c r="V41" i="8"/>
  <c r="T41" i="8"/>
  <c r="R41" i="8"/>
  <c r="P41" i="8"/>
  <c r="AG40" i="8"/>
  <c r="AD40" i="8"/>
  <c r="AB40" i="8"/>
  <c r="Z40" i="8"/>
  <c r="X40" i="8"/>
  <c r="V40" i="8"/>
  <c r="T40" i="8"/>
  <c r="R40" i="8"/>
  <c r="P40" i="8"/>
  <c r="AG39" i="8"/>
  <c r="AD39" i="8"/>
  <c r="AB39" i="8"/>
  <c r="Z39" i="8"/>
  <c r="X39" i="8"/>
  <c r="V39" i="8"/>
  <c r="T39" i="8"/>
  <c r="R39" i="8"/>
  <c r="P39" i="8"/>
  <c r="AG38" i="8"/>
  <c r="AD38" i="8"/>
  <c r="AB38" i="8"/>
  <c r="Z38" i="8"/>
  <c r="X38" i="8"/>
  <c r="V38" i="8"/>
  <c r="T38" i="8"/>
  <c r="R38" i="8"/>
  <c r="P38" i="8"/>
  <c r="AG37" i="8"/>
  <c r="AD37" i="8"/>
  <c r="AB37" i="8"/>
  <c r="Z37" i="8"/>
  <c r="X37" i="8"/>
  <c r="V37" i="8"/>
  <c r="T37" i="8"/>
  <c r="R37" i="8"/>
  <c r="P37" i="8"/>
  <c r="AG21" i="8"/>
  <c r="AG20" i="8"/>
  <c r="AG19" i="8"/>
  <c r="AG18" i="8"/>
  <c r="AG17" i="8"/>
  <c r="AG16" i="8"/>
  <c r="AG15" i="8"/>
  <c r="AF67" i="8"/>
  <c r="AG66" i="8"/>
  <c r="AD66" i="8"/>
  <c r="AB66" i="8"/>
  <c r="Z66" i="8"/>
  <c r="X66" i="8"/>
  <c r="V66" i="8"/>
  <c r="T66" i="8"/>
  <c r="R66" i="8"/>
  <c r="P66" i="8"/>
  <c r="AG65" i="8"/>
  <c r="AD65" i="8"/>
  <c r="AB65" i="8"/>
  <c r="Z65" i="8"/>
  <c r="X65" i="8"/>
  <c r="V65" i="8"/>
  <c r="T65" i="8"/>
  <c r="R65" i="8"/>
  <c r="P65" i="8"/>
  <c r="AG64" i="8"/>
  <c r="AD64" i="8"/>
  <c r="AB64" i="8"/>
  <c r="Z64" i="8"/>
  <c r="X64" i="8"/>
  <c r="V64" i="8"/>
  <c r="T64" i="8"/>
  <c r="R64" i="8"/>
  <c r="P64" i="8"/>
  <c r="AG63" i="8"/>
  <c r="AD63" i="8"/>
  <c r="AB63" i="8"/>
  <c r="Z63" i="8"/>
  <c r="X63" i="8"/>
  <c r="V63" i="8"/>
  <c r="T63" i="8"/>
  <c r="R63" i="8"/>
  <c r="P63" i="8"/>
  <c r="AG62" i="8"/>
  <c r="AD62" i="8"/>
  <c r="AB62" i="8"/>
  <c r="Z62" i="8"/>
  <c r="X62" i="8"/>
  <c r="V62" i="8"/>
  <c r="T62" i="8"/>
  <c r="R62" i="8"/>
  <c r="P62" i="8"/>
  <c r="AG61" i="8"/>
  <c r="AD61" i="8"/>
  <c r="AB61" i="8"/>
  <c r="Z61" i="8"/>
  <c r="X61" i="8"/>
  <c r="V61" i="8"/>
  <c r="T61" i="8"/>
  <c r="R61" i="8"/>
  <c r="P61" i="8"/>
  <c r="AG60" i="8"/>
  <c r="AD60" i="8"/>
  <c r="AB60" i="8"/>
  <c r="Z60" i="8"/>
  <c r="X60" i="8"/>
  <c r="V60" i="8"/>
  <c r="T60" i="8"/>
  <c r="R60" i="8"/>
  <c r="P60" i="8"/>
  <c r="AF55" i="8"/>
  <c r="AG54" i="8"/>
  <c r="AD54" i="8"/>
  <c r="AB54" i="8"/>
  <c r="Z54" i="8"/>
  <c r="X54" i="8"/>
  <c r="V54" i="8"/>
  <c r="T54" i="8"/>
  <c r="R54" i="8"/>
  <c r="P54" i="8"/>
  <c r="AG53" i="8"/>
  <c r="AD53" i="8"/>
  <c r="AB53" i="8"/>
  <c r="Z53" i="8"/>
  <c r="X53" i="8"/>
  <c r="V53" i="8"/>
  <c r="T53" i="8"/>
  <c r="R53" i="8"/>
  <c r="P53" i="8"/>
  <c r="AG52" i="8"/>
  <c r="AD52" i="8"/>
  <c r="AB52" i="8"/>
  <c r="Z52" i="8"/>
  <c r="X52" i="8"/>
  <c r="V52" i="8"/>
  <c r="T52" i="8"/>
  <c r="R52" i="8"/>
  <c r="P52" i="8"/>
  <c r="AG51" i="8"/>
  <c r="AD51" i="8"/>
  <c r="AB51" i="8"/>
  <c r="Z51" i="8"/>
  <c r="X51" i="8"/>
  <c r="V51" i="8"/>
  <c r="T51" i="8"/>
  <c r="R51" i="8"/>
  <c r="P51" i="8"/>
  <c r="AG50" i="8"/>
  <c r="AD50" i="8"/>
  <c r="AB50" i="8"/>
  <c r="Z50" i="8"/>
  <c r="X50" i="8"/>
  <c r="V50" i="8"/>
  <c r="T50" i="8"/>
  <c r="R50" i="8"/>
  <c r="P50" i="8"/>
  <c r="AG49" i="8"/>
  <c r="AD49" i="8"/>
  <c r="AB49" i="8"/>
  <c r="Z49" i="8"/>
  <c r="X49" i="8"/>
  <c r="V49" i="8"/>
  <c r="T49" i="8"/>
  <c r="R49" i="8"/>
  <c r="P49" i="8"/>
  <c r="AG48" i="8"/>
  <c r="AD48" i="8"/>
  <c r="AB48" i="8"/>
  <c r="Z48" i="8"/>
  <c r="X48" i="8"/>
  <c r="V48" i="8"/>
  <c r="T48" i="8"/>
  <c r="R48" i="8"/>
  <c r="P48" i="8"/>
  <c r="AG32" i="8"/>
  <c r="AG31" i="8"/>
  <c r="AG30" i="8"/>
  <c r="AG29" i="8"/>
  <c r="AG28" i="8"/>
  <c r="AG27" i="8"/>
  <c r="AG26" i="8"/>
  <c r="AG10" i="8"/>
  <c r="AG9" i="8"/>
  <c r="AG8" i="8"/>
  <c r="AG7" i="8"/>
  <c r="AG6" i="8"/>
  <c r="AG5" i="8"/>
  <c r="AG4" i="8"/>
  <c r="AD44" i="8" l="1"/>
  <c r="AB44" i="8"/>
  <c r="AH67" i="8"/>
  <c r="AB23" i="5" s="1"/>
  <c r="Z23" i="5" s="1"/>
  <c r="AH55" i="8"/>
  <c r="P44" i="8"/>
  <c r="R44" i="8"/>
  <c r="X44" i="8"/>
  <c r="T44" i="8"/>
  <c r="Z44" i="8"/>
  <c r="V44" i="8"/>
  <c r="AH44" i="8"/>
  <c r="T67" i="8"/>
  <c r="T55" i="8"/>
  <c r="V67" i="8"/>
  <c r="R55" i="8"/>
  <c r="P67" i="8"/>
  <c r="P55" i="8"/>
  <c r="V55" i="8"/>
  <c r="Z55" i="8"/>
  <c r="X67" i="8"/>
  <c r="AB67" i="8"/>
  <c r="X55" i="8"/>
  <c r="AB55" i="8"/>
  <c r="Z67" i="8"/>
  <c r="AD67" i="8"/>
  <c r="R67" i="8"/>
  <c r="AD55" i="8"/>
  <c r="AD88" i="8" s="1"/>
  <c r="G11" i="5"/>
  <c r="H11" i="5" s="1"/>
  <c r="J34" i="6"/>
  <c r="I71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35" i="6"/>
  <c r="I35" i="6" s="1"/>
  <c r="J36" i="6"/>
  <c r="I36" i="6" s="1"/>
  <c r="L36" i="6" s="1"/>
  <c r="J37" i="6"/>
  <c r="I37" i="6" s="1"/>
  <c r="J38" i="6"/>
  <c r="I38" i="6" s="1"/>
  <c r="L38" i="6" s="1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I34" i="6"/>
  <c r="L34" i="6" s="1"/>
  <c r="G1" i="2"/>
  <c r="C3" i="8"/>
  <c r="I3" i="8" s="1"/>
  <c r="J3" i="8" s="1"/>
  <c r="E9" i="4"/>
  <c r="F6" i="4"/>
  <c r="G12" i="5"/>
  <c r="H12" i="5" s="1"/>
  <c r="H39" i="2"/>
  <c r="H32" i="2"/>
  <c r="H31" i="2"/>
  <c r="H27" i="2"/>
  <c r="H36" i="2"/>
  <c r="H35" i="2"/>
  <c r="J4" i="6"/>
  <c r="J5" i="6"/>
  <c r="J3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34" i="6"/>
  <c r="T21" i="5" l="1"/>
  <c r="Z88" i="8"/>
  <c r="AA55" i="8"/>
  <c r="L21" i="5"/>
  <c r="M21" i="5" s="1"/>
  <c r="S55" i="8"/>
  <c r="R88" i="8"/>
  <c r="AB21" i="5"/>
  <c r="Z21" i="5" s="1"/>
  <c r="AH88" i="8"/>
  <c r="AF88" i="8" s="1"/>
  <c r="AE88" i="8" s="1"/>
  <c r="P21" i="5"/>
  <c r="Q21" i="5" s="1"/>
  <c r="V88" i="8"/>
  <c r="W88" i="8" s="1"/>
  <c r="W55" i="8"/>
  <c r="X21" i="5"/>
  <c r="AE55" i="8"/>
  <c r="N21" i="5"/>
  <c r="T88" i="8"/>
  <c r="U55" i="8"/>
  <c r="V21" i="5"/>
  <c r="W21" i="5" s="1"/>
  <c r="AB88" i="8"/>
  <c r="AC88" i="8" s="1"/>
  <c r="AC55" i="8"/>
  <c r="J21" i="5"/>
  <c r="P88" i="8"/>
  <c r="Q88" i="8" s="1"/>
  <c r="Q55" i="8"/>
  <c r="R21" i="5"/>
  <c r="S21" i="5" s="1"/>
  <c r="X88" i="8"/>
  <c r="Y55" i="8"/>
  <c r="L20" i="5"/>
  <c r="S44" i="8"/>
  <c r="R87" i="8"/>
  <c r="J20" i="5"/>
  <c r="Q44" i="8"/>
  <c r="P87" i="8"/>
  <c r="V20" i="5"/>
  <c r="AB87" i="8"/>
  <c r="AC44" i="8"/>
  <c r="AB20" i="5"/>
  <c r="Z20" i="5" s="1"/>
  <c r="AH87" i="8"/>
  <c r="AF87" i="8" s="1"/>
  <c r="AF89" i="8" s="1"/>
  <c r="AH89" i="8" s="1"/>
  <c r="P20" i="5"/>
  <c r="W44" i="8"/>
  <c r="V87" i="8"/>
  <c r="T20" i="5"/>
  <c r="Z87" i="8"/>
  <c r="AA44" i="8"/>
  <c r="N20" i="5"/>
  <c r="O20" i="5" s="1"/>
  <c r="T87" i="8"/>
  <c r="U44" i="8"/>
  <c r="R20" i="5"/>
  <c r="Y44" i="8"/>
  <c r="X87" i="8"/>
  <c r="X20" i="5"/>
  <c r="AE44" i="8"/>
  <c r="AD87" i="8"/>
  <c r="AD89" i="8" s="1"/>
  <c r="J23" i="5"/>
  <c r="K23" i="5" s="1"/>
  <c r="Q67" i="8"/>
  <c r="P23" i="5"/>
  <c r="W67" i="8"/>
  <c r="N40" i="2" s="1"/>
  <c r="L23" i="5"/>
  <c r="M23" i="5" s="1"/>
  <c r="S67" i="8"/>
  <c r="L40" i="2" s="1"/>
  <c r="N23" i="5"/>
  <c r="O23" i="5" s="1"/>
  <c r="U67" i="8"/>
  <c r="M40" i="2" s="1"/>
  <c r="T23" i="5"/>
  <c r="U23" i="5" s="1"/>
  <c r="AA67" i="8"/>
  <c r="O40" i="2" s="1"/>
  <c r="V23" i="5"/>
  <c r="W23" i="5" s="1"/>
  <c r="AC67" i="8"/>
  <c r="P40" i="2" s="1"/>
  <c r="X23" i="5"/>
  <c r="Y23" i="5" s="1"/>
  <c r="AE67" i="8"/>
  <c r="R40" i="2" s="1"/>
  <c r="R23" i="5"/>
  <c r="Y67" i="8"/>
  <c r="Q40" i="2" s="1"/>
  <c r="U21" i="5"/>
  <c r="K21" i="5"/>
  <c r="S23" i="5"/>
  <c r="Q23" i="5"/>
  <c r="O21" i="5"/>
  <c r="B3" i="4"/>
  <c r="L35" i="6"/>
  <c r="L37" i="6"/>
  <c r="H26" i="5"/>
  <c r="I5" i="8"/>
  <c r="G26" i="5"/>
  <c r="I21" i="5" l="1"/>
  <c r="S88" i="8"/>
  <c r="AG88" i="8" s="1"/>
  <c r="U88" i="8"/>
  <c r="AA88" i="8"/>
  <c r="Y88" i="8"/>
  <c r="Y21" i="5"/>
  <c r="S20" i="5"/>
  <c r="AB89" i="8"/>
  <c r="AC89" i="8" s="1"/>
  <c r="P36" i="2" s="1"/>
  <c r="AC87" i="8"/>
  <c r="W20" i="5"/>
  <c r="Q87" i="8"/>
  <c r="K20" i="5"/>
  <c r="X89" i="8"/>
  <c r="Y89" i="8" s="1"/>
  <c r="Q36" i="2" s="1"/>
  <c r="Y87" i="8"/>
  <c r="U20" i="5"/>
  <c r="AA20" i="5" s="1"/>
  <c r="R89" i="8"/>
  <c r="S89" i="8" s="1"/>
  <c r="L36" i="2" s="1"/>
  <c r="S87" i="8"/>
  <c r="T89" i="8"/>
  <c r="U89" i="8" s="1"/>
  <c r="M36" i="2" s="1"/>
  <c r="U87" i="8"/>
  <c r="AE89" i="8"/>
  <c r="R36" i="2" s="1"/>
  <c r="Z89" i="8"/>
  <c r="AA89" i="8" s="1"/>
  <c r="O36" i="2" s="1"/>
  <c r="AA87" i="8"/>
  <c r="AE87" i="8"/>
  <c r="W87" i="8"/>
  <c r="M20" i="5"/>
  <c r="Y20" i="5"/>
  <c r="Q20" i="5"/>
  <c r="AA23" i="5"/>
  <c r="AA21" i="5"/>
  <c r="V89" i="8"/>
  <c r="W89" i="8" s="1"/>
  <c r="N36" i="2" s="1"/>
  <c r="AG55" i="8"/>
  <c r="P89" i="8"/>
  <c r="Q89" i="8" s="1"/>
  <c r="K36" i="2" s="1"/>
  <c r="AG44" i="8"/>
  <c r="I20" i="5"/>
  <c r="AG67" i="8"/>
  <c r="K40" i="2"/>
  <c r="T40" i="2" s="1"/>
  <c r="A8" i="5"/>
  <c r="G32" i="8"/>
  <c r="K32" i="8" s="1"/>
  <c r="G29" i="8"/>
  <c r="K29" i="8" s="1"/>
  <c r="G30" i="8"/>
  <c r="K30" i="8" s="1"/>
  <c r="G31" i="8"/>
  <c r="K31" i="8" s="1"/>
  <c r="F32" i="8"/>
  <c r="J32" i="8" s="1"/>
  <c r="E38" i="2" s="1"/>
  <c r="F30" i="8"/>
  <c r="J30" i="8" s="1"/>
  <c r="F29" i="8"/>
  <c r="J29" i="8" s="1"/>
  <c r="F31" i="8"/>
  <c r="J31" i="8" s="1"/>
  <c r="AG87" i="8" l="1"/>
  <c r="AG89" i="8"/>
  <c r="T36" i="2"/>
  <c r="E26" i="2"/>
  <c r="K39" i="2"/>
  <c r="E34" i="2"/>
  <c r="I23" i="5"/>
  <c r="E30" i="2"/>
  <c r="G2" i="2"/>
  <c r="I4" i="8"/>
  <c r="I2" i="8"/>
  <c r="P34" i="6" l="1"/>
  <c r="O13" i="2"/>
  <c r="O14" i="2"/>
  <c r="O11" i="2"/>
  <c r="O10" i="2"/>
  <c r="O7" i="2"/>
  <c r="P38" i="6"/>
  <c r="P36" i="6"/>
  <c r="P35" i="6"/>
  <c r="P37" i="6"/>
  <c r="J2" i="8"/>
  <c r="L39" i="2"/>
  <c r="Q39" i="2"/>
  <c r="R39" i="2"/>
  <c r="O39" i="2"/>
  <c r="M39" i="2"/>
  <c r="N39" i="2"/>
  <c r="P39" i="2"/>
  <c r="P35" i="2"/>
  <c r="P13" i="2"/>
  <c r="J5" i="8"/>
  <c r="J4" i="8"/>
  <c r="N35" i="2"/>
  <c r="O35" i="2"/>
  <c r="Q35" i="2"/>
  <c r="K35" i="2"/>
  <c r="M35" i="2"/>
  <c r="L35" i="2"/>
  <c r="R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C26" i="5"/>
  <c r="F26" i="5"/>
  <c r="E26" i="5"/>
  <c r="D26" i="5"/>
  <c r="C26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5" i="2"/>
  <c r="I19" i="2"/>
  <c r="S13" i="2" l="1"/>
  <c r="L8" i="2"/>
  <c r="R14" i="2"/>
  <c r="T13" i="2"/>
  <c r="G32" i="4"/>
  <c r="G42" i="4" s="1"/>
  <c r="Q14" i="2"/>
  <c r="U14" i="2"/>
  <c r="V13" i="2"/>
  <c r="P14" i="2"/>
  <c r="B18" i="4"/>
  <c r="L7" i="2" l="1"/>
  <c r="O8" i="2"/>
  <c r="R13" i="2"/>
  <c r="E42" i="4"/>
  <c r="AF26" i="5"/>
  <c r="M16" i="2"/>
  <c r="T14" i="2"/>
  <c r="N16" i="2"/>
  <c r="S14" i="2"/>
  <c r="Q13" i="2"/>
  <c r="U13" i="2"/>
  <c r="V14" i="2"/>
  <c r="L14" i="2"/>
  <c r="L13" i="2"/>
  <c r="L11" i="2"/>
  <c r="L10" i="2"/>
  <c r="K13" i="2"/>
  <c r="K14" i="2"/>
  <c r="H16" i="2" l="1"/>
  <c r="J16" i="2" s="1"/>
  <c r="N14" i="2"/>
  <c r="L19" i="2"/>
  <c r="M14" i="2"/>
  <c r="M13" i="2"/>
  <c r="N13" i="2"/>
  <c r="O19" i="2"/>
  <c r="H14" i="2" l="1"/>
  <c r="J14" i="2" s="1"/>
  <c r="H13" i="2"/>
  <c r="J13" i="2" l="1"/>
  <c r="P6" i="8"/>
  <c r="V6" i="8"/>
  <c r="T6" i="8"/>
  <c r="AB6" i="8"/>
  <c r="AD6" i="8"/>
  <c r="R6" i="8"/>
  <c r="Z6" i="8"/>
  <c r="X6" i="8"/>
  <c r="R7" i="8"/>
  <c r="V7" i="8"/>
  <c r="AB7" i="8"/>
  <c r="T7" i="8"/>
  <c r="Z7" i="8"/>
  <c r="X7" i="8"/>
  <c r="AD7" i="8"/>
  <c r="P7" i="8"/>
  <c r="V8" i="8"/>
  <c r="Z8" i="8"/>
  <c r="P8" i="8"/>
  <c r="AB8" i="8"/>
  <c r="R8" i="8"/>
  <c r="X8" i="8"/>
  <c r="AD8" i="8"/>
  <c r="T8" i="8"/>
  <c r="AD9" i="8"/>
  <c r="AB9" i="8"/>
  <c r="P9" i="8"/>
  <c r="R9" i="8"/>
  <c r="T9" i="8"/>
  <c r="V9" i="8"/>
  <c r="Z9" i="8"/>
  <c r="X9" i="8"/>
  <c r="AD10" i="8"/>
  <c r="P10" i="8"/>
  <c r="T10" i="8"/>
  <c r="R10" i="8"/>
  <c r="V10" i="8"/>
  <c r="X10" i="8"/>
  <c r="Z10" i="8"/>
  <c r="AB10" i="8"/>
  <c r="P5" i="8"/>
  <c r="X5" i="8"/>
  <c r="T5" i="8"/>
  <c r="AD5" i="8"/>
  <c r="R5" i="8"/>
  <c r="Z5" i="8"/>
  <c r="AB5" i="8"/>
  <c r="V5" i="8"/>
  <c r="AB4" i="8" l="1"/>
  <c r="AB11" i="8" s="1"/>
  <c r="T4" i="8"/>
  <c r="T11" i="8" s="1"/>
  <c r="Z4" i="8"/>
  <c r="Z11" i="8" s="1"/>
  <c r="V4" i="8"/>
  <c r="V11" i="8" s="1"/>
  <c r="AF11" i="8"/>
  <c r="P15" i="5" l="1"/>
  <c r="W11" i="8"/>
  <c r="N28" i="2" s="1"/>
  <c r="T15" i="5"/>
  <c r="AA11" i="8"/>
  <c r="O28" i="2" s="1"/>
  <c r="N15" i="5"/>
  <c r="U11" i="8"/>
  <c r="M28" i="2" s="1"/>
  <c r="V15" i="5"/>
  <c r="AC11" i="8"/>
  <c r="P28" i="2" s="1"/>
  <c r="AH11" i="8"/>
  <c r="AB15" i="5" s="1"/>
  <c r="Z15" i="5" s="1"/>
  <c r="Q15" i="5" s="1"/>
  <c r="X4" i="8"/>
  <c r="X11" i="8" s="1"/>
  <c r="R4" i="8"/>
  <c r="R11" i="8" s="1"/>
  <c r="AD4" i="8"/>
  <c r="AD11" i="8" s="1"/>
  <c r="P4" i="8"/>
  <c r="P11" i="8" s="1"/>
  <c r="R15" i="5" l="1"/>
  <c r="Y11" i="8"/>
  <c r="Q28" i="2" s="1"/>
  <c r="L15" i="5"/>
  <c r="S11" i="8"/>
  <c r="L28" i="2" s="1"/>
  <c r="Q7" i="2" s="1"/>
  <c r="J15" i="5"/>
  <c r="Q11" i="8"/>
  <c r="X15" i="5"/>
  <c r="AE11" i="8"/>
  <c r="R28" i="2" s="1"/>
  <c r="M15" i="5"/>
  <c r="L27" i="2" s="1"/>
  <c r="K15" i="5"/>
  <c r="Y15" i="5"/>
  <c r="K7" i="2" s="1"/>
  <c r="Q27" i="2"/>
  <c r="V8" i="2"/>
  <c r="V7" i="2"/>
  <c r="N27" i="2"/>
  <c r="S8" i="2"/>
  <c r="S7" i="2"/>
  <c r="O15" i="5"/>
  <c r="U15" i="5"/>
  <c r="W15" i="5"/>
  <c r="X15" i="8"/>
  <c r="AD15" i="8"/>
  <c r="R15" i="8"/>
  <c r="V15" i="8"/>
  <c r="T15" i="8"/>
  <c r="AB15" i="8"/>
  <c r="Z15" i="8"/>
  <c r="AF22" i="8"/>
  <c r="P15" i="8"/>
  <c r="T21" i="8"/>
  <c r="V21" i="8"/>
  <c r="X21" i="8"/>
  <c r="Z21" i="8"/>
  <c r="AB21" i="8"/>
  <c r="R21" i="8"/>
  <c r="AD21" i="8"/>
  <c r="P21" i="8"/>
  <c r="P20" i="8"/>
  <c r="R20" i="8"/>
  <c r="T20" i="8"/>
  <c r="V20" i="8"/>
  <c r="X20" i="8"/>
  <c r="Z20" i="8"/>
  <c r="AB20" i="8"/>
  <c r="AD20" i="8"/>
  <c r="Z16" i="8"/>
  <c r="V16" i="8"/>
  <c r="X16" i="8"/>
  <c r="AB16" i="8"/>
  <c r="T16" i="8"/>
  <c r="AD16" i="8"/>
  <c r="R16" i="8"/>
  <c r="P16" i="8"/>
  <c r="Z17" i="8"/>
  <c r="AB17" i="8"/>
  <c r="V17" i="8"/>
  <c r="AD17" i="8"/>
  <c r="X17" i="8"/>
  <c r="P17" i="8"/>
  <c r="R17" i="8"/>
  <c r="T17" i="8"/>
  <c r="AD18" i="8"/>
  <c r="P18" i="8"/>
  <c r="R18" i="8"/>
  <c r="Z18" i="8"/>
  <c r="T18" i="8"/>
  <c r="V18" i="8"/>
  <c r="AB18" i="8"/>
  <c r="X18" i="8"/>
  <c r="P19" i="8"/>
  <c r="AD19" i="8"/>
  <c r="R19" i="8"/>
  <c r="T19" i="8"/>
  <c r="V19" i="8"/>
  <c r="X19" i="8"/>
  <c r="Z19" i="8"/>
  <c r="AB19" i="8"/>
  <c r="R22" i="8" l="1"/>
  <c r="I15" i="5"/>
  <c r="S15" i="5"/>
  <c r="S22" i="8"/>
  <c r="K28" i="2"/>
  <c r="P8" i="2" s="1"/>
  <c r="AG11" i="8"/>
  <c r="K8" i="2"/>
  <c r="M8" i="2" s="1"/>
  <c r="R27" i="2"/>
  <c r="P7" i="2"/>
  <c r="Q8" i="2"/>
  <c r="O27" i="2"/>
  <c r="T8" i="2"/>
  <c r="T7" i="2"/>
  <c r="M27" i="2"/>
  <c r="R8" i="2"/>
  <c r="R7" i="2"/>
  <c r="M7" i="2"/>
  <c r="P27" i="2"/>
  <c r="U8" i="2"/>
  <c r="U7" i="2"/>
  <c r="T22" i="8"/>
  <c r="U22" i="8" s="1"/>
  <c r="T28" i="2"/>
  <c r="AB22" i="8"/>
  <c r="AB80" i="8" s="1"/>
  <c r="AD22" i="8"/>
  <c r="P22" i="8"/>
  <c r="Q22" i="8" s="1"/>
  <c r="AA15" i="5"/>
  <c r="AH22" i="8"/>
  <c r="Z22" i="8"/>
  <c r="Z80" i="8" s="1"/>
  <c r="V22" i="8"/>
  <c r="V80" i="8" s="1"/>
  <c r="X22" i="8"/>
  <c r="X80" i="8" s="1"/>
  <c r="X17" i="5" l="1"/>
  <c r="AD80" i="8"/>
  <c r="AE22" i="8"/>
  <c r="R17" i="5"/>
  <c r="Y22" i="8"/>
  <c r="P17" i="5"/>
  <c r="W22" i="8"/>
  <c r="V17" i="5"/>
  <c r="AC22" i="8"/>
  <c r="T17" i="5"/>
  <c r="AA22" i="8"/>
  <c r="K27" i="2"/>
  <c r="T27" i="2" s="1"/>
  <c r="N8" i="2"/>
  <c r="H8" i="2" s="1"/>
  <c r="J8" i="2" s="1"/>
  <c r="AB17" i="5"/>
  <c r="Z17" i="5" s="1"/>
  <c r="AF80" i="8"/>
  <c r="W80" i="8" s="1"/>
  <c r="J17" i="5"/>
  <c r="K17" i="5" s="1"/>
  <c r="P80" i="8"/>
  <c r="N17" i="5"/>
  <c r="T80" i="8"/>
  <c r="L17" i="5"/>
  <c r="R80" i="8"/>
  <c r="N7" i="2"/>
  <c r="V26" i="8"/>
  <c r="Z26" i="8"/>
  <c r="R26" i="8"/>
  <c r="X26" i="8"/>
  <c r="AD26" i="8"/>
  <c r="T26" i="8"/>
  <c r="AF33" i="8"/>
  <c r="AB26" i="8"/>
  <c r="P26" i="8"/>
  <c r="R31" i="8"/>
  <c r="T31" i="8"/>
  <c r="X31" i="8"/>
  <c r="Z31" i="8"/>
  <c r="AB31" i="8"/>
  <c r="V31" i="8"/>
  <c r="AD31" i="8"/>
  <c r="P31" i="8"/>
  <c r="X27" i="8"/>
  <c r="AB27" i="8"/>
  <c r="P27" i="8"/>
  <c r="AD27" i="8"/>
  <c r="T27" i="8"/>
  <c r="Z27" i="8"/>
  <c r="R27" i="8"/>
  <c r="V27" i="8"/>
  <c r="R28" i="8"/>
  <c r="T28" i="8"/>
  <c r="AB28" i="8"/>
  <c r="AD28" i="8"/>
  <c r="P28" i="8"/>
  <c r="X28" i="8"/>
  <c r="V28" i="8"/>
  <c r="Z28" i="8"/>
  <c r="X29" i="8"/>
  <c r="P29" i="8"/>
  <c r="R29" i="8"/>
  <c r="T29" i="8"/>
  <c r="Z29" i="8"/>
  <c r="AB29" i="8"/>
  <c r="V29" i="8"/>
  <c r="AD29" i="8"/>
  <c r="R30" i="8"/>
  <c r="V30" i="8"/>
  <c r="AB30" i="8"/>
  <c r="P30" i="8"/>
  <c r="AD30" i="8"/>
  <c r="T30" i="8"/>
  <c r="Z30" i="8"/>
  <c r="X30" i="8"/>
  <c r="T32" i="8"/>
  <c r="X32" i="8"/>
  <c r="Z32" i="8"/>
  <c r="AB32" i="8"/>
  <c r="AD32" i="8"/>
  <c r="V32" i="8"/>
  <c r="P32" i="8"/>
  <c r="R32" i="8"/>
  <c r="W17" i="5" l="1"/>
  <c r="M17" i="5"/>
  <c r="S17" i="5"/>
  <c r="U80" i="8"/>
  <c r="O17" i="5"/>
  <c r="Q80" i="8"/>
  <c r="AE80" i="8"/>
  <c r="AA80" i="8"/>
  <c r="AG22" i="8"/>
  <c r="Y80" i="8"/>
  <c r="U17" i="5"/>
  <c r="AC80" i="8"/>
  <c r="Q17" i="5"/>
  <c r="Y17" i="5"/>
  <c r="AA17" i="5" s="1"/>
  <c r="S80" i="8"/>
  <c r="I17" i="5"/>
  <c r="H7" i="2"/>
  <c r="J7" i="2" s="1"/>
  <c r="AB33" i="8"/>
  <c r="AB81" i="8" s="1"/>
  <c r="P33" i="8"/>
  <c r="Q33" i="8" s="1"/>
  <c r="T33" i="8"/>
  <c r="U33" i="8" s="1"/>
  <c r="AD33" i="8"/>
  <c r="AD81" i="8" s="1"/>
  <c r="X33" i="8"/>
  <c r="X81" i="8" s="1"/>
  <c r="R33" i="8"/>
  <c r="S33" i="8" s="1"/>
  <c r="Z33" i="8"/>
  <c r="Z81" i="8" s="1"/>
  <c r="V33" i="8"/>
  <c r="V81" i="8" s="1"/>
  <c r="AH33" i="8"/>
  <c r="AG80" i="8" l="1"/>
  <c r="R18" i="5"/>
  <c r="R26" i="5" s="1"/>
  <c r="B34" i="5" s="1"/>
  <c r="Y33" i="8"/>
  <c r="X18" i="5"/>
  <c r="X26" i="5" s="1"/>
  <c r="B37" i="5" s="1"/>
  <c r="AE33" i="8"/>
  <c r="V18" i="5"/>
  <c r="AC33" i="8"/>
  <c r="P18" i="5"/>
  <c r="P26" i="5" s="1"/>
  <c r="B33" i="5" s="1"/>
  <c r="W33" i="8"/>
  <c r="T18" i="5"/>
  <c r="AA33" i="8"/>
  <c r="AB18" i="5"/>
  <c r="AH81" i="8"/>
  <c r="AF81" i="8" s="1"/>
  <c r="W81" i="8" s="1"/>
  <c r="J18" i="5"/>
  <c r="P81" i="8"/>
  <c r="L18" i="5"/>
  <c r="R81" i="8"/>
  <c r="N18" i="5"/>
  <c r="T81" i="8"/>
  <c r="P82" i="8" l="1"/>
  <c r="Q81" i="8"/>
  <c r="T82" i="8"/>
  <c r="U81" i="8"/>
  <c r="AC81" i="8"/>
  <c r="AB26" i="5"/>
  <c r="AE26" i="5" s="1"/>
  <c r="Z18" i="5"/>
  <c r="Z26" i="5" s="1"/>
  <c r="AE81" i="8"/>
  <c r="O18" i="5"/>
  <c r="Y81" i="8"/>
  <c r="R82" i="8"/>
  <c r="S81" i="8"/>
  <c r="T26" i="5"/>
  <c r="B35" i="5" s="1"/>
  <c r="U18" i="5"/>
  <c r="AA81" i="8"/>
  <c r="AG33" i="8"/>
  <c r="V26" i="5"/>
  <c r="B36" i="5" s="1"/>
  <c r="L26" i="5"/>
  <c r="B31" i="5" s="1"/>
  <c r="N26" i="5"/>
  <c r="B32" i="5" s="1"/>
  <c r="I18" i="5"/>
  <c r="AD82" i="8"/>
  <c r="AF82" i="8"/>
  <c r="AH82" i="8" s="1"/>
  <c r="X82" i="8"/>
  <c r="AB82" i="8"/>
  <c r="Z82" i="8"/>
  <c r="V82" i="8"/>
  <c r="K18" i="5"/>
  <c r="J26" i="5"/>
  <c r="B30" i="5" s="1"/>
  <c r="Q18" i="5" l="1"/>
  <c r="AG81" i="8"/>
  <c r="W18" i="5"/>
  <c r="C13" i="4"/>
  <c r="AD26" i="5"/>
  <c r="M18" i="5"/>
  <c r="Y18" i="5"/>
  <c r="S18" i="5"/>
  <c r="W82" i="8"/>
  <c r="N32" i="2" s="1"/>
  <c r="S10" i="2" s="1"/>
  <c r="AA82" i="8"/>
  <c r="O32" i="2" s="1"/>
  <c r="O31" i="2" s="1"/>
  <c r="AC82" i="8"/>
  <c r="P32" i="2" s="1"/>
  <c r="P31" i="2" s="1"/>
  <c r="Y82" i="8"/>
  <c r="Q32" i="2" s="1"/>
  <c r="Q31" i="2" s="1"/>
  <c r="AE82" i="8"/>
  <c r="R32" i="2" s="1"/>
  <c r="R31" i="2" s="1"/>
  <c r="Q82" i="8"/>
  <c r="K32" i="2" s="1"/>
  <c r="S82" i="8"/>
  <c r="L32" i="2" s="1"/>
  <c r="U82" i="8"/>
  <c r="M32" i="2" s="1"/>
  <c r="B39" i="5"/>
  <c r="AA18" i="5" l="1"/>
  <c r="T32" i="2"/>
  <c r="C27" i="4"/>
  <c r="B13" i="4"/>
  <c r="B27" i="4" s="1"/>
  <c r="AG82" i="8"/>
  <c r="M31" i="2"/>
  <c r="R11" i="2"/>
  <c r="R10" i="2"/>
  <c r="Q11" i="2"/>
  <c r="Q10" i="2"/>
  <c r="L31" i="2"/>
  <c r="K31" i="2"/>
  <c r="P10" i="2"/>
  <c r="P11" i="2"/>
  <c r="K10" i="2"/>
  <c r="M10" i="2" s="1"/>
  <c r="K11" i="2"/>
  <c r="M11" i="2" s="1"/>
  <c r="T10" i="2"/>
  <c r="T11" i="2"/>
  <c r="V10" i="2"/>
  <c r="V11" i="2"/>
  <c r="U10" i="2"/>
  <c r="U11" i="2"/>
  <c r="S11" i="2"/>
  <c r="S19" i="2" s="1"/>
  <c r="N31" i="2"/>
  <c r="T31" i="2" l="1"/>
  <c r="T19" i="2"/>
  <c r="R19" i="2"/>
  <c r="V19" i="2"/>
  <c r="U19" i="2"/>
  <c r="N11" i="2"/>
  <c r="H11" i="2" s="1"/>
  <c r="J11" i="2" s="1"/>
  <c r="M19" i="2"/>
  <c r="K19" i="2"/>
  <c r="P19" i="2"/>
  <c r="N10" i="2"/>
  <c r="H10" i="2" s="1"/>
  <c r="J10" i="2" s="1"/>
  <c r="Q19" i="2"/>
  <c r="J19" i="2" l="1"/>
  <c r="N19" i="2"/>
  <c r="N21" i="2" s="1"/>
  <c r="H19" i="2"/>
</calcChain>
</file>

<file path=xl/sharedStrings.xml><?xml version="1.0" encoding="utf-8"?>
<sst xmlns="http://schemas.openxmlformats.org/spreadsheetml/2006/main" count="909" uniqueCount="236">
  <si>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</si>
  <si>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</si>
  <si>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</si>
  <si>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</si>
  <si>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</si>
  <si>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</si>
  <si>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</si>
  <si>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</si>
  <si>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</si>
  <si>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</si>
  <si>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</si>
  <si>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</si>
  <si>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</si>
  <si>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</si>
  <si>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</si>
  <si>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</si>
  <si>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</si>
  <si>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</si>
  <si>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</si>
  <si>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</si>
  <si>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</si>
  <si>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</si>
  <si>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</si>
  <si>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</si>
  <si>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</si>
  <si>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</si>
  <si>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</si>
  <si>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</si>
  <si>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</si>
  <si>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</si>
  <si>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</si>
  <si>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</si>
  <si>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</si>
  <si>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</si>
  <si>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</si>
  <si>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</si>
  <si>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</si>
  <si>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</si>
  <si>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</si>
  <si>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</si>
  <si>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</si>
  <si>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</si>
  <si>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</si>
  <si>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</si>
  <si>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</si>
  <si>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</si>
  <si>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</si>
  <si>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</si>
  <si>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</si>
  <si>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</si>
  <si>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</si>
  <si>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</si>
  <si>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</si>
  <si>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</si>
  <si>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</si>
  <si>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</si>
  <si>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</si>
  <si>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</si>
  <si>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</si>
  <si>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</si>
  <si>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</si>
  <si>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</si>
  <si>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</si>
  <si>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</si>
  <si>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</si>
  <si>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</si>
  <si>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</si>
  <si>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</si>
  <si>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</si>
  <si>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</si>
  <si>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</si>
  <si>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</si>
  <si>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</si>
  <si>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</si>
  <si>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</si>
  <si>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</si>
  <si>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</si>
  <si>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</si>
  <si>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</si>
  <si>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</si>
  <si>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</si>
  <si>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</si>
  <si>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</si>
  <si>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</si>
  <si>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</si>
  <si>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</si>
  <si>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</si>
  <si>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</si>
  <si>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</si>
  <si>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</si>
  <si>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</si>
  <si>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</si>
  <si>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</si>
  <si>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</si>
  <si>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</si>
  <si>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</si>
  <si>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</si>
  <si>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</si>
  <si>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</si>
  <si>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</si>
  <si>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</si>
  <si>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</si>
  <si>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</si>
  <si>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</si>
  <si>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</si>
  <si>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</si>
  <si>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</si>
  <si>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</si>
  <si>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</si>
  <si>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</si>
  <si>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</si>
  <si>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</si>
  <si>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</si>
  <si>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</si>
  <si>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</si>
  <si>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</si>
  <si>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</si>
  <si>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</si>
  <si>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</si>
  <si>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</si>
  <si>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</si>
  <si>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</si>
  <si>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</si>
  <si>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</si>
  <si>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</si>
  <si>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</si>
  <si>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</si>
  <si>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</si>
  <si>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</si>
  <si>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</si>
  <si>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</si>
  <si>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</si>
  <si>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</si>
  <si>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</si>
  <si>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</si>
  <si>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</si>
  <si>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</si>
  <si>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</si>
  <si>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</si>
  <si>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</si>
  <si>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</si>
  <si>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</si>
  <si>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</si>
  <si>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</si>
  <si>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</si>
  <si>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</si>
  <si>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</si>
  <si>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</si>
  <si>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</si>
  <si>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</si>
  <si>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</si>
  <si>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</si>
  <si>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</si>
  <si>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</si>
  <si>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</si>
  <si>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</si>
  <si>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</si>
  <si>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</si>
  <si>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</si>
  <si>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</si>
  <si>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</si>
  <si>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</si>
  <si>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</si>
  <si>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</si>
  <si>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</si>
  <si>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</si>
  <si>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</si>
  <si>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</si>
  <si>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</si>
  <si>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</si>
  <si>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</si>
  <si>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</si>
  <si>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</si>
  <si>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</si>
  <si>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</si>
  <si>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</si>
  <si>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</si>
  <si>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</si>
  <si>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</si>
  <si>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Barn 7 total dozen production for the week</t>
  </si>
  <si>
    <t>Week Ending</t>
  </si>
  <si>
    <t>Year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</si>
  <si>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</si>
  <si>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</si>
  <si>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</si>
  <si>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</si>
  <si>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</si>
  <si>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</si>
  <si>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</si>
  <si>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</si>
  <si>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</si>
  <si>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</si>
  <si>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</si>
  <si>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</si>
  <si>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Wks lay</t>
  </si>
  <si>
    <t>Barn 10 White</t>
  </si>
  <si>
    <t>Barn 10 Brown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</si>
  <si>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</si>
  <si>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</si>
  <si>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</si>
  <si>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</si>
  <si>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</si>
  <si>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</si>
  <si>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</si>
  <si>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</si>
  <si>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</si>
  <si>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</si>
  <si>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</si>
  <si>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</si>
  <si>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</si>
  <si>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</si>
  <si>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</si>
  <si>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</si>
  <si>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 xml:space="preserve">Pamela Penney </t>
  </si>
  <si>
    <t>NR Grid Size</t>
  </si>
  <si>
    <t>C</t>
  </si>
  <si>
    <t>Rej/Loss</t>
  </si>
  <si>
    <t>NR 18</t>
  </si>
  <si>
    <t>NR 19</t>
  </si>
  <si>
    <t>NR 20</t>
  </si>
  <si>
    <t>NR 21</t>
  </si>
  <si>
    <t>NR 22</t>
  </si>
  <si>
    <t>NR 23</t>
  </si>
  <si>
    <t>NR 24</t>
  </si>
  <si>
    <t>Reject/</t>
  </si>
  <si>
    <t>loss</t>
  </si>
  <si>
    <t>Rejects/loss</t>
  </si>
  <si>
    <t>Graded - White</t>
  </si>
  <si>
    <t>Graded - Brown</t>
  </si>
  <si>
    <t>Graded IP boxes</t>
  </si>
  <si>
    <t>boxes</t>
  </si>
  <si>
    <t>REJECTS/ LOSS</t>
  </si>
  <si>
    <t>Barn 7 B/W</t>
  </si>
  <si>
    <t>Barn 10 B/W</t>
  </si>
  <si>
    <t>Nov 21/25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</si>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</sst>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  <numFmt numFmtId="173" formatCode="0.0000"/>
    <numFmt numFmtId="174" formatCode="0.0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6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0" fontId="33" fillId="8" borderId="1" xfId="0" applyFont="1" applyFill="1" applyBorder="1"/>
    <xf numFmtId="0" fontId="1" fillId="2" borderId="0" xfId="2" applyFill="1" applyAlignment="1">
      <alignment horizontal="center"/>
    </xf>
    <xf numFmtId="10" fontId="0" fillId="0" borderId="1" xfId="1" applyNumberFormat="1" applyFont="1" applyBorder="1"/>
    <xf numFmtId="2" fontId="0" fillId="0" borderId="1" xfId="0" applyNumberFormat="1" applyBorder="1"/>
    <xf numFmtId="10" fontId="0" fillId="0" borderId="1" xfId="0" applyNumberFormat="1" applyBorder="1"/>
    <xf numFmtId="171" fontId="2" fillId="0" borderId="20" xfId="0" applyNumberFormat="1" applyFont="1" applyBorder="1"/>
    <xf numFmtId="171" fontId="0" fillId="0" borderId="19" xfId="0" applyNumberFormat="1" applyBorder="1"/>
    <xf numFmtId="171" fontId="0" fillId="0" borderId="1" xfId="1" applyNumberFormat="1" applyFont="1" applyBorder="1" applyProtection="1"/>
    <xf numFmtId="171" fontId="0" fillId="0" borderId="1" xfId="0" applyNumberFormat="1" applyBorder="1"/>
    <xf numFmtId="171" fontId="1" fillId="10" borderId="20" xfId="1" applyNumberFormat="1" applyFont="1" applyFill="1" applyBorder="1" applyProtection="1"/>
    <xf numFmtId="171" fontId="1" fillId="0" borderId="20" xfId="1" applyNumberFormat="1" applyFont="1" applyBorder="1" applyProtection="1"/>
    <xf numFmtId="171" fontId="1" fillId="13" borderId="20" xfId="1" applyNumberFormat="1" applyFont="1" applyFill="1" applyBorder="1" applyProtection="1"/>
    <xf numFmtId="171" fontId="0" fillId="0" borderId="20" xfId="0" applyNumberFormat="1" applyBorder="1"/>
    <xf numFmtId="171" fontId="0" fillId="13" borderId="20" xfId="0" applyNumberFormat="1" applyFill="1" applyBorder="1"/>
    <xf numFmtId="0" fontId="33" fillId="0" borderId="19" xfId="0" applyFont="1" applyBorder="1"/>
    <xf numFmtId="0" fontId="0" fillId="24" borderId="0" xfId="0" applyFill="1"/>
    <xf numFmtId="0" fontId="8" fillId="0" borderId="0" xfId="3" applyFont="1" applyAlignment="1">
      <alignment horizontal="center" wrapText="1"/>
    </xf>
    <xf numFmtId="9" fontId="33" fillId="0" borderId="1" xfId="1" applyBorder="1"/>
    <xf numFmtId="173" fontId="0" fillId="0" borderId="1" xfId="0" applyNumberFormat="1" applyBorder="1"/>
    <xf numFmtId="168" fontId="33" fillId="0" borderId="1" xfId="1" applyNumberFormat="1" applyBorder="1"/>
    <xf numFmtId="168" fontId="0" fillId="0" borderId="1" xfId="0" applyNumberFormat="1" applyBorder="1"/>
    <xf numFmtId="168" fontId="0" fillId="0" borderId="0" xfId="0" applyNumberFormat="1"/>
    <xf numFmtId="168" fontId="33" fillId="0" borderId="0" xfId="0" applyNumberFormat="1" applyFont="1"/>
    <xf numFmtId="2" fontId="0" fillId="0" borderId="0" xfId="0" applyNumberFormat="1"/>
    <xf numFmtId="0" fontId="36" fillId="0" borderId="20" xfId="0" applyFont="1" applyBorder="1"/>
    <xf numFmtId="2" fontId="0" fillId="0" borderId="17" xfId="0" applyNumberFormat="1" applyBorder="1"/>
    <xf numFmtId="2" fontId="0" fillId="0" borderId="19" xfId="0" applyNumberFormat="1" applyBorder="1"/>
    <xf numFmtId="2" fontId="2" fillId="20" borderId="20" xfId="0" applyNumberFormat="1" applyFont="1" applyFill="1" applyBorder="1"/>
    <xf numFmtId="1" fontId="0" fillId="0" borderId="1" xfId="0" applyNumberFormat="1" applyBorder="1"/>
    <xf numFmtId="10" fontId="33" fillId="0" borderId="1" xfId="1" applyNumberFormat="1" applyBorder="1"/>
    <xf numFmtId="166" fontId="2" fillId="22" borderId="20" xfId="0" applyNumberFormat="1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  <xf numFmtId="174" fontId="1" fillId="0" borderId="0" xfId="2" applyNumberFormat="1"/>
    <xf numFmtId="1" fontId="1" fillId="0" borderId="0" xfId="2" applyNumberFormat="1"/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E26" sqref="E26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16.28515625" style="5" bestFit="1" customWidth="1"/>
    <col min="12" max="12" width="10.7109375" style="5" bestFit="1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47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56">
        <f>Inputs!C3</f>
        <v>45984.25</v>
      </c>
      <c r="H2" s="257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197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28169.999999999996</v>
      </c>
      <c r="I7" s="27">
        <v>0</v>
      </c>
      <c r="J7" s="26">
        <f>IFERROR(H7-I7,"")</f>
        <v>28169.999999999996</v>
      </c>
      <c r="K7" s="26">
        <f>IFERROR(($E$26/($H$27+$H$28)*$H$27)*R28,"")</f>
        <v>422.16615438830394</v>
      </c>
      <c r="L7" s="26">
        <f>IFERROR(($E$26/($H$27+$H$28)*$H$27)*S28,"")</f>
        <v>0</v>
      </c>
      <c r="M7" s="28">
        <f>IFERROR(K7+L7,"")</f>
        <v>422.16615438830394</v>
      </c>
      <c r="N7" s="29">
        <f>IFERROR(O7+P7+Q7+R7+S7+T7+U7+V7,"")</f>
        <v>27747.833845611691</v>
      </c>
      <c r="O7" s="26">
        <f t="shared" ref="O7:V7" si="0">IFERROR(($E$26/($H$27+$H$28)*$H$27)*J28,"")</f>
        <v>0</v>
      </c>
      <c r="P7" s="26">
        <f t="shared" si="0"/>
        <v>9219.7408098072465</v>
      </c>
      <c r="Q7" s="26">
        <f t="shared" si="0"/>
        <v>14641.858041876741</v>
      </c>
      <c r="R7" s="26">
        <f t="shared" si="0"/>
        <v>2933.3859618680954</v>
      </c>
      <c r="S7" s="26">
        <f t="shared" si="0"/>
        <v>54.080073790851166</v>
      </c>
      <c r="T7" s="26">
        <f t="shared" si="0"/>
        <v>145.45431444898742</v>
      </c>
      <c r="U7" s="26">
        <f t="shared" si="0"/>
        <v>747.78820476105523</v>
      </c>
      <c r="V7" s="26">
        <f t="shared" si="0"/>
        <v>5.5264390587189922</v>
      </c>
    </row>
    <row r="8" spans="1:22" x14ac:dyDescent="0.2">
      <c r="A8" s="3" t="s">
        <v>197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198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20405.00443516827</v>
      </c>
      <c r="I10" s="27">
        <v>0</v>
      </c>
      <c r="J10" s="26">
        <f>IFERROR(H10-I10,"")</f>
        <v>20405.00443516827</v>
      </c>
      <c r="K10" s="26">
        <f>IFERROR(($E$30/($H$31+$H$32)*$H$31)*R32,"")</f>
        <v>312.61285984319704</v>
      </c>
      <c r="L10" s="26">
        <f>IFERROR(($E$30/($H$31+$H$32)*$H$31)*S32,"")</f>
        <v>0</v>
      </c>
      <c r="M10" s="28">
        <f>IFERROR(K10+L10,"")</f>
        <v>312.61285984319704</v>
      </c>
      <c r="N10" s="29">
        <f>IFERROR(O10+P10+Q10+R10+S10+T10+U10+V10,"")</f>
        <v>20092.391575325073</v>
      </c>
      <c r="O10" s="26">
        <f t="shared" ref="O10:V10" si="2">IFERROR(($E$30/($H$31+$H$32)*$H$31)*J32,"")</f>
        <v>0</v>
      </c>
      <c r="P10" s="26">
        <f t="shared" si="2"/>
        <v>6903.8331290269161</v>
      </c>
      <c r="Q10" s="26">
        <f t="shared" si="2"/>
        <v>10475.285305325595</v>
      </c>
      <c r="R10" s="26">
        <f t="shared" si="2"/>
        <v>2010.1824105541796</v>
      </c>
      <c r="S10" s="26">
        <f t="shared" si="2"/>
        <v>36.578177609828984</v>
      </c>
      <c r="T10" s="26">
        <f t="shared" si="2"/>
        <v>108.19140423952727</v>
      </c>
      <c r="U10" s="26">
        <f t="shared" si="2"/>
        <v>554.32762692323399</v>
      </c>
      <c r="V10" s="26">
        <f t="shared" si="2"/>
        <v>3.9935216457954263</v>
      </c>
    </row>
    <row r="11" spans="1:22" x14ac:dyDescent="0.2">
      <c r="A11" s="3" t="s">
        <v>198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2259.9955648317246</v>
      </c>
      <c r="I11" s="27">
        <v>0</v>
      </c>
      <c r="J11" s="26">
        <f>IFERROR(H11-I11,"")</f>
        <v>2259.9955648317246</v>
      </c>
      <c r="K11" s="26">
        <f>IFERROR(($E$30/($H$31+$H$32)*$H$32)*R32,"")</f>
        <v>34.62403936248694</v>
      </c>
      <c r="L11" s="26">
        <f>IFERROR(($E$30/($H$31+$H$32)*$H$32)*S32,"")</f>
        <v>0</v>
      </c>
      <c r="M11" s="28">
        <f>IFERROR(K11+L11,"")</f>
        <v>34.62403936248694</v>
      </c>
      <c r="N11" s="29">
        <f>IFERROR(O11+P11+Q11+R11+S11+T11+U11+V11,"")</f>
        <v>2225.3715254692374</v>
      </c>
      <c r="O11" s="26">
        <f t="shared" ref="O11:V11" si="3">IFERROR(($E$30/($H$31+$H$32)*$H$32)*J32,"")</f>
        <v>0</v>
      </c>
      <c r="P11" s="26">
        <f t="shared" si="3"/>
        <v>764.64733450622691</v>
      </c>
      <c r="Q11" s="26">
        <f t="shared" si="3"/>
        <v>1160.2103986598595</v>
      </c>
      <c r="R11" s="26">
        <f t="shared" si="3"/>
        <v>222.64162435197852</v>
      </c>
      <c r="S11" s="26">
        <f t="shared" si="3"/>
        <v>4.0512865081942273</v>
      </c>
      <c r="T11" s="26">
        <f t="shared" si="3"/>
        <v>11.982947345643714</v>
      </c>
      <c r="U11" s="26">
        <f t="shared" si="3"/>
        <v>61.395623916210745</v>
      </c>
      <c r="V11" s="26">
        <f t="shared" si="3"/>
        <v>0.44231018112409065</v>
      </c>
    </row>
    <row r="13" spans="1:22" x14ac:dyDescent="0.2">
      <c r="A13" s="3" t="s">
        <v>199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16208.260183138615</v>
      </c>
      <c r="I13" s="27">
        <v>0</v>
      </c>
      <c r="J13" s="26">
        <f>IFERROR(H13-I13,"")</f>
        <v>16208.260183138615</v>
      </c>
      <c r="K13" s="26">
        <f>IFERROR(($E$34/($H$35+$H$36)*$H$35)*R36,"")</f>
        <v>261.85206492527004</v>
      </c>
      <c r="L13" s="26">
        <f>IFERROR(($E$34/($H$35+$H$36)*$H$35)*S36,"")</f>
        <v>0</v>
      </c>
      <c r="M13" s="28">
        <f>IFERROR(K13+L13,"")</f>
        <v>261.85206492527004</v>
      </c>
      <c r="N13" s="29">
        <f>IFERROR(O13+P13+Q13+R13+S13+T13+U13+V13,"")</f>
        <v>15946.408118213345</v>
      </c>
      <c r="O13" s="26">
        <f t="shared" ref="O13:V13" si="4">IFERROR(($E$34/($H$35+$H$36)*$H$35)*J36,"")</f>
        <v>0</v>
      </c>
      <c r="P13" s="26">
        <f t="shared" si="4"/>
        <v>5931.693456439496</v>
      </c>
      <c r="Q13" s="26">
        <f t="shared" si="4"/>
        <v>8061.5043158669077</v>
      </c>
      <c r="R13" s="26">
        <f t="shared" si="4"/>
        <v>1369.1240530078564</v>
      </c>
      <c r="S13" s="26">
        <f t="shared" si="4"/>
        <v>23.902159499834795</v>
      </c>
      <c r="T13" s="26">
        <f t="shared" si="4"/>
        <v>91.561752464080627</v>
      </c>
      <c r="U13" s="26">
        <f t="shared" si="4"/>
        <v>465.46921486324436</v>
      </c>
      <c r="V13" s="26">
        <f t="shared" si="4"/>
        <v>3.1531660719270569</v>
      </c>
    </row>
    <row r="14" spans="1:22" x14ac:dyDescent="0.2">
      <c r="A14" s="3" t="s">
        <v>199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1086.7398168613831</v>
      </c>
      <c r="I14" s="27">
        <v>0</v>
      </c>
      <c r="J14" s="26">
        <f>IFERROR(H14-I14,"")</f>
        <v>1086.7398168613831</v>
      </c>
      <c r="K14" s="26">
        <f>IFERROR(($E$34/($H$35+$H$36)*$H$36)*R36,"")</f>
        <v>17.556792762846612</v>
      </c>
      <c r="L14" s="26">
        <f>IFERROR(($E$34/($H$35+$H$36)*$H$36)*S36,"")</f>
        <v>0</v>
      </c>
      <c r="M14" s="28">
        <f>IFERROR(K14+L14,"")</f>
        <v>17.556792762846612</v>
      </c>
      <c r="N14" s="29">
        <f>IFERROR(O14+P14+Q14+R14+S14+T14+U14+V14,"")</f>
        <v>1069.1830240985366</v>
      </c>
      <c r="O14" s="26">
        <f t="shared" ref="O14:V14" si="5">IFERROR(($E$34/($H$35+$H$36)*$H$36)*J36,"")</f>
        <v>0</v>
      </c>
      <c r="P14" s="26">
        <f t="shared" si="5"/>
        <v>397.711252638632</v>
      </c>
      <c r="Q14" s="26">
        <f t="shared" si="5"/>
        <v>540.51191336169632</v>
      </c>
      <c r="R14" s="26">
        <f t="shared" si="5"/>
        <v>91.797738055445905</v>
      </c>
      <c r="S14" s="26">
        <f t="shared" si="5"/>
        <v>1.6026043599956616</v>
      </c>
      <c r="T14" s="26">
        <f t="shared" si="5"/>
        <v>6.1390797642695576</v>
      </c>
      <c r="U14" s="26">
        <f t="shared" si="5"/>
        <v>31.209020807879259</v>
      </c>
      <c r="V14" s="26">
        <f t="shared" si="5"/>
        <v>0.21141511061775078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201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13049.999999999998</v>
      </c>
      <c r="I16" s="27">
        <v>0</v>
      </c>
      <c r="J16" s="26">
        <f>IFERROR(H16-I16,"")</f>
        <v>13049.999999999998</v>
      </c>
      <c r="K16" s="26">
        <f>IFERROR(($E$38/($H$39)*$H$39)*R40,"")</f>
        <v>90.279278209512995</v>
      </c>
      <c r="L16" s="26">
        <f>IFERROR(($E$38/($H$39)*$H$39)*S40,"")</f>
        <v>0</v>
      </c>
      <c r="M16" s="28">
        <f>IFERROR(K16+L16,"")</f>
        <v>90.279278209512995</v>
      </c>
      <c r="N16" s="29">
        <f>IFERROR(O16+P16+Q16+R16+S16+T16+U16+V16,"")</f>
        <v>12959.720721790485</v>
      </c>
      <c r="O16" s="26">
        <f t="shared" ref="O16:V16" si="6">IFERROR(($E$38/($H$39)*$H$39)*J40,"")</f>
        <v>0</v>
      </c>
      <c r="P16" s="26">
        <f t="shared" si="6"/>
        <v>308.09557041276446</v>
      </c>
      <c r="Q16" s="26">
        <f t="shared" si="6"/>
        <v>2300.1405023916204</v>
      </c>
      <c r="R16" s="26">
        <f t="shared" si="6"/>
        <v>8166.3124198759751</v>
      </c>
      <c r="S16" s="26">
        <f t="shared" si="6"/>
        <v>1989.4722824568341</v>
      </c>
      <c r="T16" s="26">
        <f t="shared" si="6"/>
        <v>50.991999557800334</v>
      </c>
      <c r="U16" s="26">
        <f t="shared" si="6"/>
        <v>88.086569344234093</v>
      </c>
      <c r="V16" s="26">
        <f t="shared" si="6"/>
        <v>56.621377751256453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81180</v>
      </c>
      <c r="I19" s="37">
        <f t="shared" si="7"/>
        <v>0</v>
      </c>
      <c r="J19" s="37">
        <f t="shared" si="7"/>
        <v>81180</v>
      </c>
      <c r="K19" s="37">
        <f t="shared" si="7"/>
        <v>1139.0911894916176</v>
      </c>
      <c r="L19" s="37">
        <f t="shared" si="7"/>
        <v>0</v>
      </c>
      <c r="M19" s="37">
        <f t="shared" si="7"/>
        <v>1139.0911894916176</v>
      </c>
      <c r="N19" s="37">
        <f t="shared" si="7"/>
        <v>80040.908810508379</v>
      </c>
      <c r="O19" s="37">
        <f t="shared" si="7"/>
        <v>0</v>
      </c>
      <c r="P19" s="37">
        <f t="shared" si="7"/>
        <v>23525.721552831281</v>
      </c>
      <c r="Q19" s="37">
        <f t="shared" si="7"/>
        <v>37179.510477482421</v>
      </c>
      <c r="R19" s="37">
        <f t="shared" si="7"/>
        <v>14793.444207713532</v>
      </c>
      <c r="S19" s="37">
        <f t="shared" si="7"/>
        <v>2109.6865842255388</v>
      </c>
      <c r="T19" s="37">
        <f t="shared" si="7"/>
        <v>414.32149782030899</v>
      </c>
      <c r="U19" s="37">
        <f t="shared" si="7"/>
        <v>1948.2762606158578</v>
      </c>
      <c r="V19" s="37">
        <f t="shared" si="7"/>
        <v>69.948229819439774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81180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105</v>
      </c>
      <c r="P24" s="18" t="s">
        <v>215</v>
      </c>
      <c r="Q24" s="18" t="s">
        <v>44</v>
      </c>
      <c r="R24" s="241" t="s">
        <v>231</v>
      </c>
      <c r="S24" s="18"/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3">
        <f>Inputs!J29</f>
        <v>28170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197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49042</v>
      </c>
      <c r="I27" s="26"/>
      <c r="J27" s="195"/>
      <c r="K27" s="195">
        <f t="shared" ref="K27:R27" si="8">$E26*K28</f>
        <v>9219.7408098072483</v>
      </c>
      <c r="L27" s="195">
        <f t="shared" si="8"/>
        <v>14641.858041876743</v>
      </c>
      <c r="M27" s="195">
        <f t="shared" si="8"/>
        <v>2933.3859618680958</v>
      </c>
      <c r="N27" s="195">
        <f t="shared" si="8"/>
        <v>54.080073790851173</v>
      </c>
      <c r="O27" s="195">
        <f t="shared" si="8"/>
        <v>145.45431444898742</v>
      </c>
      <c r="P27" s="195">
        <f t="shared" si="8"/>
        <v>747.78820476105523</v>
      </c>
      <c r="Q27" s="195">
        <f t="shared" si="8"/>
        <v>5.5264390587189931</v>
      </c>
      <c r="R27" s="195">
        <f t="shared" si="8"/>
        <v>422.16615438830399</v>
      </c>
      <c r="S27" s="195"/>
      <c r="T27" s="196">
        <f>SUM(J27:S27)</f>
        <v>28170.000000000004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4"/>
      <c r="K28" s="194">
        <f>Inputs!Q11</f>
        <v>0.32728934362113055</v>
      </c>
      <c r="L28" s="194">
        <f>Inputs!S11</f>
        <v>0.51976776861472285</v>
      </c>
      <c r="M28" s="194">
        <f>Inputs!U11</f>
        <v>0.10413155704182094</v>
      </c>
      <c r="N28" s="194">
        <f>Inputs!W11</f>
        <v>1.9197754274352563E-3</v>
      </c>
      <c r="O28" s="194">
        <f>Inputs!AA11</f>
        <v>5.1634474422785738E-3</v>
      </c>
      <c r="P28" s="194">
        <f>Inputs!AC11</f>
        <v>2.6545552174691348E-2</v>
      </c>
      <c r="Q28" s="194">
        <f>Inputs!Y11</f>
        <v>1.9618172022431641E-4</v>
      </c>
      <c r="R28" s="194">
        <f>Inputs!AE11</f>
        <v>1.4986373957696272E-2</v>
      </c>
      <c r="S28" s="194"/>
      <c r="T28" s="197">
        <f>SUM(J28:S28)</f>
        <v>1.0000000000000002</v>
      </c>
    </row>
    <row r="30" spans="1:22" ht="15.75" x14ac:dyDescent="0.25">
      <c r="A30" s="50" t="s">
        <v>179</v>
      </c>
      <c r="B30" s="51"/>
      <c r="C30" s="51"/>
      <c r="D30" s="51"/>
      <c r="E30" s="203">
        <f>Inputs!J30+Inputs!K30</f>
        <v>22665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198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34508</v>
      </c>
      <c r="I31" s="30"/>
      <c r="J31" s="195"/>
      <c r="K31" s="195">
        <f t="shared" ref="K31:R31" si="9">$E30*K32</f>
        <v>7668.4804635331438</v>
      </c>
      <c r="L31" s="195">
        <f t="shared" si="9"/>
        <v>11635.495703985454</v>
      </c>
      <c r="M31" s="195">
        <f t="shared" si="9"/>
        <v>2232.824034906158</v>
      </c>
      <c r="N31" s="195">
        <f t="shared" si="9"/>
        <v>40.629464118023215</v>
      </c>
      <c r="O31" s="195">
        <f t="shared" si="9"/>
        <v>120.174351585171</v>
      </c>
      <c r="P31" s="195">
        <f t="shared" si="9"/>
        <v>615.72325083944474</v>
      </c>
      <c r="Q31" s="195">
        <f t="shared" si="9"/>
        <v>4.4358318269195172</v>
      </c>
      <c r="R31" s="195">
        <f t="shared" si="9"/>
        <v>347.23689920568404</v>
      </c>
      <c r="S31" s="195"/>
      <c r="T31" s="196">
        <f>SUM(J31:S31)</f>
        <v>22664.999999999996</v>
      </c>
    </row>
    <row r="32" spans="1:22" x14ac:dyDescent="0.2">
      <c r="A32" s="3" t="s">
        <v>198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3822</v>
      </c>
      <c r="I32" s="30"/>
      <c r="J32" s="194"/>
      <c r="K32" s="194">
        <f>Inputs!Q82</f>
        <v>0.33834019252297126</v>
      </c>
      <c r="L32" s="194">
        <f>Inputs!S82</f>
        <v>0.51336844050233643</v>
      </c>
      <c r="M32" s="194">
        <f>Inputs!U82</f>
        <v>9.8514186406625112E-2</v>
      </c>
      <c r="N32" s="194">
        <f>Inputs!W82</f>
        <v>1.7926081675721693E-3</v>
      </c>
      <c r="O32" s="194">
        <f>Inputs!AA82</f>
        <v>5.3021994963675708E-3</v>
      </c>
      <c r="P32" s="194">
        <f>Inputs!AC82</f>
        <v>2.7166258585459728E-2</v>
      </c>
      <c r="Q32" s="194">
        <f>Inputs!Y82</f>
        <v>1.9571285360333188E-4</v>
      </c>
      <c r="R32" s="194">
        <f>Inputs!AE82</f>
        <v>1.5320401465064373E-2</v>
      </c>
      <c r="S32" s="194"/>
      <c r="T32" s="197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200</v>
      </c>
      <c r="B34" s="51"/>
      <c r="C34" s="51"/>
      <c r="D34" s="51"/>
      <c r="E34" s="203">
        <f>Inputs!J31+Inputs!K31</f>
        <v>17295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199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29680</v>
      </c>
      <c r="I35" s="30"/>
      <c r="J35" s="195"/>
      <c r="K35" s="195">
        <f t="shared" ref="K35:R35" si="10">$E$34*K36</f>
        <v>6329.4047090781278</v>
      </c>
      <c r="L35" s="195">
        <f t="shared" si="10"/>
        <v>8602.0162292286041</v>
      </c>
      <c r="M35" s="195">
        <f t="shared" si="10"/>
        <v>1460.9217910633022</v>
      </c>
      <c r="N35" s="195">
        <f t="shared" si="10"/>
        <v>25.504763859830454</v>
      </c>
      <c r="O35" s="195">
        <f t="shared" si="10"/>
        <v>97.70083222835018</v>
      </c>
      <c r="P35" s="195">
        <f t="shared" si="10"/>
        <v>496.67823567112362</v>
      </c>
      <c r="Q35" s="195">
        <f t="shared" si="10"/>
        <v>3.3645811825448071</v>
      </c>
      <c r="R35" s="195">
        <f t="shared" si="10"/>
        <v>279.40885768811665</v>
      </c>
      <c r="S35" s="195"/>
      <c r="T35" s="196">
        <f>SUM(J35:S35)</f>
        <v>17294.999999999996</v>
      </c>
    </row>
    <row r="36" spans="1:20" x14ac:dyDescent="0.2">
      <c r="A36" s="3" t="s">
        <v>199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1990</v>
      </c>
      <c r="I36" s="30"/>
      <c r="J36" s="194"/>
      <c r="K36" s="194">
        <f>Inputs!Q89</f>
        <v>0.36596731477757316</v>
      </c>
      <c r="L36" s="194">
        <f>Inputs!S89</f>
        <v>0.49737012022137056</v>
      </c>
      <c r="M36" s="194">
        <f>Inputs!U89</f>
        <v>8.4470759818635568E-2</v>
      </c>
      <c r="N36" s="194">
        <f>Inputs!W89</f>
        <v>1.4746900179144523E-3</v>
      </c>
      <c r="O36" s="194">
        <f>Inputs!AA89</f>
        <v>5.6490796315900654E-3</v>
      </c>
      <c r="P36" s="194">
        <f>Inputs!AC89</f>
        <v>2.8718024612380665E-2</v>
      </c>
      <c r="Q36" s="194">
        <f>Inputs!Y89</f>
        <v>1.9454068705087061E-4</v>
      </c>
      <c r="R36" s="194">
        <f>Inputs!AE89</f>
        <v>1.6155470233484629E-2</v>
      </c>
      <c r="S36" s="194"/>
      <c r="T36" s="197">
        <f>SUM(J36:S36)</f>
        <v>1.0000000000000002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3">
        <f>Inputs!J32</f>
        <v>13050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201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24802</v>
      </c>
      <c r="I39" s="30"/>
      <c r="J39" s="195"/>
      <c r="K39" s="195">
        <f t="shared" ref="K39:R39" si="11">$E38*K40</f>
        <v>308.09557041276446</v>
      </c>
      <c r="L39" s="195">
        <f t="shared" si="11"/>
        <v>2300.1405023916204</v>
      </c>
      <c r="M39" s="195">
        <f t="shared" si="11"/>
        <v>8166.3124198759751</v>
      </c>
      <c r="N39" s="195">
        <f t="shared" si="11"/>
        <v>1989.4722824568341</v>
      </c>
      <c r="O39" s="195">
        <f t="shared" si="11"/>
        <v>50.991999557800334</v>
      </c>
      <c r="P39" s="195">
        <f t="shared" si="11"/>
        <v>88.086569344234093</v>
      </c>
      <c r="Q39" s="195">
        <f t="shared" si="11"/>
        <v>56.621377751256453</v>
      </c>
      <c r="R39" s="195">
        <f t="shared" si="11"/>
        <v>90.279278209512995</v>
      </c>
      <c r="S39" s="195"/>
      <c r="T39" s="196">
        <f>SUM(J39:S39)</f>
        <v>13049.999999999998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4"/>
      <c r="K40" s="194">
        <f>Inputs!Q67</f>
        <v>2.3608855970326779E-2</v>
      </c>
      <c r="L40" s="194">
        <f>Inputs!S67</f>
        <v>0.17625597719476019</v>
      </c>
      <c r="M40" s="194">
        <f>Inputs!U67</f>
        <v>0.62577106665716287</v>
      </c>
      <c r="N40" s="194">
        <f>Inputs!W67</f>
        <v>0.1524499833300256</v>
      </c>
      <c r="O40" s="194">
        <f>Inputs!AA67</f>
        <v>3.9074329163065391E-3</v>
      </c>
      <c r="P40" s="194">
        <f>Inputs!AC67</f>
        <v>6.7499286853819227E-3</v>
      </c>
      <c r="Q40" s="194">
        <f>Inputs!Y67</f>
        <v>4.3388028928165864E-3</v>
      </c>
      <c r="R40" s="194">
        <f>Inputs!AE67</f>
        <v>6.9179523532193867E-3</v>
      </c>
      <c r="S40" s="194"/>
      <c r="T40" s="197">
        <f>SUM(J40:S40)</f>
        <v>0.99999999999999989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9" zoomScaleNormal="100" workbookViewId="0">
      <selection activeCell="H38" sqref="H38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58" t="s">
        <v>57</v>
      </c>
      <c r="B1" s="258"/>
      <c r="C1" s="258"/>
      <c r="D1" s="258"/>
      <c r="E1" s="258"/>
      <c r="F1" s="258"/>
      <c r="G1" s="258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2">
        <f>Inputs!C3</f>
        <v>45984.25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17" t="str">
        <f>Inputs!B5</f>
        <v xml:space="preserve">Pamela Penney 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1">
        <f>Inputs!C2</f>
        <v>47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3">
        <f>C13/15</f>
        <v>1860</v>
      </c>
      <c r="C13" s="214">
        <f>'Grade out Information'!Z26</f>
        <v>27900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3">
        <f>C15/15</f>
        <v>0</v>
      </c>
      <c r="C15" s="214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3">
        <f>C16/15</f>
        <v>0</v>
      </c>
      <c r="C16" s="214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3">
        <f>C18/15</f>
        <v>0</v>
      </c>
      <c r="C18" s="214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3">
        <f>C19/15</f>
        <v>0</v>
      </c>
      <c r="C19" s="214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3">
        <f>C21/15</f>
        <v>60</v>
      </c>
      <c r="C21" s="214">
        <f>'Grade out Information'!E11</f>
        <v>900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3">
        <f>C22/15</f>
        <v>0</v>
      </c>
      <c r="C22" s="214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3">
        <f>C24/15</f>
        <v>0</v>
      </c>
      <c r="C24" s="214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3">
        <f>C25/15</f>
        <v>0</v>
      </c>
      <c r="C25" s="214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15">
        <f>SUM(B13:B26)</f>
        <v>1920</v>
      </c>
      <c r="C27" s="216">
        <f>SUM(C13:C26)</f>
        <v>28800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164</v>
      </c>
      <c r="C30" s="103" t="s">
        <v>164</v>
      </c>
      <c r="D30" s="103" t="s">
        <v>164</v>
      </c>
      <c r="E30" s="104" t="s">
        <v>165</v>
      </c>
      <c r="F30" s="105" t="s">
        <v>166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scale="86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F39"/>
  <sheetViews>
    <sheetView zoomScale="70" zoomScaleNormal="70" workbookViewId="0">
      <selection activeCell="H26" sqref="H26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  <col min="27" max="27" width="11.140625" customWidth="1"/>
  </cols>
  <sheetData>
    <row r="1" spans="1:32" x14ac:dyDescent="0.2">
      <c r="A1" t="s">
        <v>93</v>
      </c>
    </row>
    <row r="3" spans="1:32" x14ac:dyDescent="0.2">
      <c r="A3" t="s">
        <v>60</v>
      </c>
      <c r="N3" s="121"/>
      <c r="O3" s="121"/>
    </row>
    <row r="4" spans="1:32" x14ac:dyDescent="0.2">
      <c r="A4" s="3" t="s">
        <v>15</v>
      </c>
      <c r="N4" s="121"/>
      <c r="O4" s="121"/>
    </row>
    <row r="5" spans="1:32" x14ac:dyDescent="0.2">
      <c r="N5" s="122"/>
      <c r="O5" s="122"/>
    </row>
    <row r="7" spans="1:32" x14ac:dyDescent="0.2">
      <c r="A7" s="123" t="s">
        <v>94</v>
      </c>
      <c r="B7" s="124" t="s">
        <v>95</v>
      </c>
      <c r="C7" s="259" t="s">
        <v>96</v>
      </c>
      <c r="D7" s="259"/>
      <c r="E7" s="259"/>
      <c r="F7" s="259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215</v>
      </c>
      <c r="X7" s="124" t="s">
        <v>224</v>
      </c>
      <c r="Y7" s="126"/>
      <c r="Z7" s="125" t="s">
        <v>106</v>
      </c>
      <c r="AA7" s="124" t="s">
        <v>81</v>
      </c>
      <c r="AB7" s="124" t="s">
        <v>106</v>
      </c>
      <c r="AC7" s="125" t="s">
        <v>107</v>
      </c>
      <c r="AD7" s="124" t="s">
        <v>108</v>
      </c>
      <c r="AE7" s="125" t="s">
        <v>108</v>
      </c>
      <c r="AF7" s="124" t="s">
        <v>107</v>
      </c>
    </row>
    <row r="8" spans="1:32" x14ac:dyDescent="0.2">
      <c r="A8" s="181">
        <f>Inputs!C2</f>
        <v>47</v>
      </c>
      <c r="B8" s="127" t="s">
        <v>23</v>
      </c>
      <c r="C8" s="127" t="s">
        <v>109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110</v>
      </c>
      <c r="J8" s="127" t="s">
        <v>100</v>
      </c>
      <c r="K8" s="127" t="s">
        <v>111</v>
      </c>
      <c r="L8" s="127" t="s">
        <v>101</v>
      </c>
      <c r="M8" s="127" t="s">
        <v>111</v>
      </c>
      <c r="N8" s="127" t="s">
        <v>102</v>
      </c>
      <c r="O8" s="127" t="s">
        <v>111</v>
      </c>
      <c r="P8" s="127" t="s">
        <v>103</v>
      </c>
      <c r="Q8" s="127" t="s">
        <v>111</v>
      </c>
      <c r="R8" s="127" t="s">
        <v>104</v>
      </c>
      <c r="S8" s="128" t="s">
        <v>111</v>
      </c>
      <c r="T8" s="128" t="s">
        <v>105</v>
      </c>
      <c r="U8" s="128" t="s">
        <v>111</v>
      </c>
      <c r="V8" s="127" t="s">
        <v>215</v>
      </c>
      <c r="W8" s="129" t="s">
        <v>111</v>
      </c>
      <c r="X8" s="127" t="s">
        <v>225</v>
      </c>
      <c r="Y8" s="129" t="s">
        <v>111</v>
      </c>
      <c r="Z8" s="128" t="s">
        <v>67</v>
      </c>
      <c r="AA8" s="127" t="s">
        <v>111</v>
      </c>
      <c r="AB8" s="127" t="s">
        <v>66</v>
      </c>
      <c r="AC8" s="128" t="s">
        <v>112</v>
      </c>
      <c r="AD8" s="127" t="s">
        <v>67</v>
      </c>
      <c r="AE8" s="128" t="s">
        <v>66</v>
      </c>
      <c r="AF8" s="127" t="s">
        <v>113</v>
      </c>
    </row>
    <row r="9" spans="1:32" x14ac:dyDescent="0.2">
      <c r="A9" s="124"/>
      <c r="B9" s="180" t="s">
        <v>114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4"/>
      <c r="Y9" s="126"/>
      <c r="Z9" s="125"/>
      <c r="AA9" s="124"/>
      <c r="AB9" s="124"/>
      <c r="AC9" s="125"/>
      <c r="AD9" s="124"/>
      <c r="AE9" s="125"/>
      <c r="AF9" s="124"/>
    </row>
    <row r="10" spans="1:32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X10" s="130"/>
      <c r="Y10" s="131"/>
      <c r="AA10" s="130"/>
      <c r="AB10" s="130"/>
      <c r="AD10" s="130"/>
      <c r="AF10" s="130"/>
    </row>
    <row r="11" spans="1:32" ht="15" x14ac:dyDescent="0.25">
      <c r="A11" s="132" t="s">
        <v>23</v>
      </c>
      <c r="B11" s="133" t="s">
        <v>115</v>
      </c>
      <c r="C11" s="221">
        <f>Inputs!O73*15</f>
        <v>0</v>
      </c>
      <c r="D11" s="221">
        <f>Inputs!P73*15</f>
        <v>0</v>
      </c>
      <c r="E11" s="221">
        <f>Inputs!Q73*15</f>
        <v>900</v>
      </c>
      <c r="F11" s="221">
        <f>Inputs!R73*15</f>
        <v>0</v>
      </c>
      <c r="G11" s="222">
        <f>SUM(C11:F11)</f>
        <v>900</v>
      </c>
      <c r="H11" s="223">
        <f>G11/15</f>
        <v>60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133"/>
      <c r="Y11" s="137"/>
      <c r="Z11" s="3"/>
      <c r="AA11" s="138"/>
      <c r="AB11" s="133"/>
      <c r="AC11" s="3"/>
      <c r="AD11" s="133"/>
      <c r="AE11" s="3"/>
      <c r="AF11" s="133"/>
    </row>
    <row r="12" spans="1:32" ht="15" x14ac:dyDescent="0.25">
      <c r="A12" s="133"/>
      <c r="B12" s="133" t="s">
        <v>116</v>
      </c>
      <c r="C12" s="221">
        <f>Inputs!O74*15</f>
        <v>0</v>
      </c>
      <c r="D12" s="221">
        <f>Inputs!P74*15</f>
        <v>0</v>
      </c>
      <c r="E12" s="221">
        <f>Inputs!Q74*15</f>
        <v>0</v>
      </c>
      <c r="F12" s="221">
        <f>Inputs!R74*15</f>
        <v>0</v>
      </c>
      <c r="G12" s="222">
        <f>SUM(C12:F12)</f>
        <v>0</v>
      </c>
      <c r="H12" s="222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133"/>
      <c r="Y12" s="137"/>
      <c r="Z12" s="3"/>
      <c r="AA12" s="138"/>
      <c r="AB12" s="133"/>
      <c r="AC12" s="3"/>
      <c r="AD12" s="133"/>
      <c r="AE12" s="3"/>
      <c r="AF12" s="133"/>
    </row>
    <row r="13" spans="1:32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133"/>
      <c r="Y13" s="137"/>
      <c r="Z13" s="3"/>
      <c r="AA13" s="138"/>
      <c r="AB13" s="133"/>
      <c r="AC13" s="3"/>
      <c r="AD13" s="133"/>
      <c r="AE13" s="3"/>
      <c r="AF13" s="133"/>
    </row>
    <row r="14" spans="1:32" ht="15.75" x14ac:dyDescent="0.25">
      <c r="A14" s="133"/>
      <c r="B14" s="172" t="s">
        <v>117</v>
      </c>
      <c r="C14" s="173"/>
      <c r="D14" s="173"/>
      <c r="E14" s="173"/>
      <c r="F14" s="173"/>
      <c r="G14" s="173"/>
      <c r="H14" s="173"/>
      <c r="I14" s="173"/>
      <c r="J14" s="173"/>
      <c r="K14" s="174"/>
      <c r="L14" s="173"/>
      <c r="M14" s="174"/>
      <c r="N14" s="173"/>
      <c r="O14" s="174"/>
      <c r="P14" s="173"/>
      <c r="Q14" s="174"/>
      <c r="R14" s="173"/>
      <c r="S14" s="175"/>
      <c r="T14" s="176"/>
      <c r="U14" s="175"/>
      <c r="V14" s="173"/>
      <c r="W14" s="177"/>
      <c r="X14" s="173"/>
      <c r="Y14" s="177"/>
      <c r="Z14" s="178"/>
      <c r="AA14" s="179"/>
      <c r="AB14" s="173"/>
      <c r="AC14" s="178"/>
      <c r="AD14" s="173"/>
      <c r="AE14" s="178"/>
      <c r="AF14" s="173"/>
    </row>
    <row r="15" spans="1:32" ht="15" x14ac:dyDescent="0.25">
      <c r="A15" s="133"/>
      <c r="B15" s="133" t="s">
        <v>204</v>
      </c>
      <c r="C15" s="133"/>
      <c r="D15" s="133"/>
      <c r="E15" s="133"/>
      <c r="F15" s="133"/>
      <c r="G15" s="133"/>
      <c r="H15" s="133"/>
      <c r="I15" s="230">
        <f>J15+L15+N15+P15+R15+T15+V15</f>
        <v>4432.5613171903678</v>
      </c>
      <c r="J15" s="230">
        <f>Inputs!P11</f>
        <v>1472.8020462950874</v>
      </c>
      <c r="K15" s="234">
        <f>J15/Z15</f>
        <v>0.32728934362113055</v>
      </c>
      <c r="L15" s="230">
        <f>Inputs!R11</f>
        <v>2338.9549587662527</v>
      </c>
      <c r="M15" s="234">
        <f>L15/Z15</f>
        <v>0.51976776861472285</v>
      </c>
      <c r="N15" s="230">
        <f>Inputs!T11</f>
        <v>468.5920066881942</v>
      </c>
      <c r="O15" s="234">
        <f>N15/Z15</f>
        <v>0.10413155704182094</v>
      </c>
      <c r="P15" s="230">
        <f>Inputs!V11</f>
        <v>8.6389894234586535</v>
      </c>
      <c r="Q15" s="234">
        <f>P15/Z15</f>
        <v>1.9197754274352563E-3</v>
      </c>
      <c r="R15" s="230">
        <f>Inputs!X11</f>
        <v>0.8828177410094239</v>
      </c>
      <c r="S15" s="234">
        <f>R15/Z15</f>
        <v>1.9618172022431641E-4</v>
      </c>
      <c r="T15" s="235">
        <f>Inputs!Z11</f>
        <v>23.235513490253581</v>
      </c>
      <c r="U15" s="236">
        <f>T15/Z15</f>
        <v>5.1634474422785738E-3</v>
      </c>
      <c r="V15" s="230">
        <f>Inputs!AB11</f>
        <v>119.45498478611107</v>
      </c>
      <c r="W15" s="234">
        <f>V15/Z15</f>
        <v>2.6545552174691348E-2</v>
      </c>
      <c r="X15" s="230">
        <f>Inputs!AD11</f>
        <v>67.438682809633221</v>
      </c>
      <c r="Y15" s="182">
        <f>X15/Z15</f>
        <v>1.4986373957696272E-2</v>
      </c>
      <c r="Z15" s="207">
        <f>AB15*15</f>
        <v>4500</v>
      </c>
      <c r="AA15" s="204">
        <f>K15+M15+O15+Q15+S15+U15+W15+Y15</f>
        <v>1.0000000000000002</v>
      </c>
      <c r="AB15" s="220">
        <f>Inputs!AH11</f>
        <v>300</v>
      </c>
      <c r="AC15" s="3"/>
      <c r="AD15" s="133"/>
      <c r="AE15" s="3"/>
      <c r="AF15" s="133"/>
    </row>
    <row r="16" spans="1:32" ht="15" x14ac:dyDescent="0.25">
      <c r="A16" s="133"/>
      <c r="B16" s="130"/>
      <c r="C16" s="130"/>
      <c r="D16" s="130"/>
      <c r="E16" s="130"/>
      <c r="F16" s="130"/>
      <c r="G16" s="130"/>
      <c r="H16" s="130"/>
      <c r="I16" s="230"/>
      <c r="J16" s="230"/>
      <c r="K16" s="237"/>
      <c r="L16" s="230"/>
      <c r="M16" s="237"/>
      <c r="N16" s="230"/>
      <c r="O16" s="237"/>
      <c r="P16" s="230"/>
      <c r="Q16" s="237"/>
      <c r="R16" s="230"/>
      <c r="S16" s="237"/>
      <c r="T16" s="235"/>
      <c r="U16" s="237"/>
      <c r="V16" s="230"/>
      <c r="W16" s="237"/>
      <c r="X16" s="230"/>
      <c r="Y16" s="130"/>
      <c r="Z16" s="133"/>
      <c r="AA16" s="130"/>
      <c r="AB16" s="133"/>
      <c r="AC16" s="3"/>
      <c r="AD16" s="133"/>
      <c r="AE16" s="3"/>
      <c r="AF16" s="133"/>
    </row>
    <row r="17" spans="1:32" ht="15" x14ac:dyDescent="0.25">
      <c r="A17" s="133"/>
      <c r="B17" s="133" t="s">
        <v>205</v>
      </c>
      <c r="C17" s="133"/>
      <c r="D17" s="133"/>
      <c r="E17" s="133"/>
      <c r="F17" s="133"/>
      <c r="G17" s="133"/>
      <c r="H17" s="133"/>
      <c r="I17" s="230">
        <f>J17+L17+N17+P17+R17+T17+V17</f>
        <v>3547.1012404005023</v>
      </c>
      <c r="J17" s="230">
        <f>Inputs!P22</f>
        <v>1143.4314629952714</v>
      </c>
      <c r="K17" s="234">
        <f t="shared" ref="K17:K18" si="0">J17/Z17</f>
        <v>0.31761985083201982</v>
      </c>
      <c r="L17" s="230">
        <f>Inputs!R22</f>
        <v>1891.3218505670188</v>
      </c>
      <c r="M17" s="234">
        <f t="shared" ref="M17:M18" si="1">L17/Z17</f>
        <v>0.52536718071306077</v>
      </c>
      <c r="N17" s="230">
        <f>Inputs!T22</f>
        <v>392.56832285142218</v>
      </c>
      <c r="O17" s="234">
        <f t="shared" ref="O17:O18" si="2">N17/Z17</f>
        <v>0.10904675634761728</v>
      </c>
      <c r="P17" s="230">
        <f>Inputs!V22</f>
        <v>7.3117684073356459</v>
      </c>
      <c r="Q17" s="234">
        <f t="shared" ref="Q17:Q18" si="3">P17/Z17</f>
        <v>2.0310467798154573E-3</v>
      </c>
      <c r="R17" s="230">
        <f>Inputs!X22</f>
        <v>0.70773112266364036</v>
      </c>
      <c r="S17" s="234">
        <f t="shared" ref="S17:S18" si="4">R17/Z17</f>
        <v>1.9659197851767788E-4</v>
      </c>
      <c r="T17" s="235">
        <f>Inputs!Z22</f>
        <v>18.15134182182252</v>
      </c>
      <c r="U17" s="236">
        <f>T17/Z17</f>
        <v>5.0420393949506996E-3</v>
      </c>
      <c r="V17" s="230">
        <f>Inputs!AB22</f>
        <v>93.608762634968471</v>
      </c>
      <c r="W17" s="234">
        <f t="shared" ref="W17:W18" si="5">V17/Z17</f>
        <v>2.6002434065269021E-2</v>
      </c>
      <c r="X17" s="230">
        <f>Inputs!AD22</f>
        <v>52.898759599497055</v>
      </c>
      <c r="Y17" s="182">
        <f t="shared" ref="Y17:Y18" si="6">X17/Z17</f>
        <v>1.4694099888749182E-2</v>
      </c>
      <c r="Z17" s="207">
        <f>AB17*15</f>
        <v>3600</v>
      </c>
      <c r="AA17" s="255">
        <f>K17+M17+O17+Q17+S17+U17+W17+Y17</f>
        <v>0.99999999999999989</v>
      </c>
      <c r="AB17" s="220">
        <f>Inputs!AH22</f>
        <v>240</v>
      </c>
      <c r="AC17" s="3"/>
      <c r="AD17" s="133"/>
      <c r="AE17" s="3"/>
      <c r="AF17" s="133"/>
    </row>
    <row r="18" spans="1:32" ht="15" x14ac:dyDescent="0.25">
      <c r="A18" s="133"/>
      <c r="B18" s="133" t="s">
        <v>206</v>
      </c>
      <c r="C18" s="133"/>
      <c r="D18" s="133"/>
      <c r="E18" s="133"/>
      <c r="F18" s="133"/>
      <c r="G18" s="133"/>
      <c r="H18" s="133"/>
      <c r="I18" s="230">
        <f>J18+L18+N18+P18+R18+T18+V18</f>
        <v>2656.3802303695916</v>
      </c>
      <c r="J18" s="230">
        <f>Inputs!P33</f>
        <v>988.11174989944755</v>
      </c>
      <c r="K18" s="234">
        <f t="shared" si="0"/>
        <v>0.36596731477757316</v>
      </c>
      <c r="L18" s="230">
        <f>Inputs!R33</f>
        <v>1342.8993245977006</v>
      </c>
      <c r="M18" s="234">
        <f t="shared" si="1"/>
        <v>0.49737012022137056</v>
      </c>
      <c r="N18" s="230">
        <f>Inputs!T33</f>
        <v>228.07105151031604</v>
      </c>
      <c r="O18" s="234">
        <f t="shared" si="2"/>
        <v>8.4470759818635568E-2</v>
      </c>
      <c r="P18" s="230">
        <f>Inputs!V33</f>
        <v>3.9816630483690214</v>
      </c>
      <c r="Q18" s="234">
        <f t="shared" si="3"/>
        <v>1.4746900179144523E-3</v>
      </c>
      <c r="R18" s="230">
        <f>Inputs!X33</f>
        <v>0.52525985503735062</v>
      </c>
      <c r="S18" s="234">
        <f t="shared" si="4"/>
        <v>1.9454068705087061E-4</v>
      </c>
      <c r="T18" s="235">
        <f>Inputs!Z33</f>
        <v>15.252515005293176</v>
      </c>
      <c r="U18" s="236">
        <f>T18/Z18</f>
        <v>5.6490796315900654E-3</v>
      </c>
      <c r="V18" s="230">
        <f>Inputs!AB33</f>
        <v>77.538666453427794</v>
      </c>
      <c r="W18" s="234">
        <f t="shared" si="5"/>
        <v>2.8718024612380665E-2</v>
      </c>
      <c r="X18" s="230">
        <f>Inputs!AD33</f>
        <v>43.619769630408499</v>
      </c>
      <c r="Y18" s="182">
        <f t="shared" si="6"/>
        <v>1.6155470233484629E-2</v>
      </c>
      <c r="Z18" s="207">
        <f>AB18*15</f>
        <v>2700</v>
      </c>
      <c r="AA18" s="255">
        <f>K18+M18+O18+Q18+S18+U18+W18+Y18</f>
        <v>1.0000000000000002</v>
      </c>
      <c r="AB18" s="220">
        <f>Inputs!AH33</f>
        <v>180</v>
      </c>
      <c r="AC18" s="3"/>
      <c r="AD18" s="133"/>
      <c r="AE18" s="3"/>
      <c r="AF18" s="133"/>
    </row>
    <row r="19" spans="1:32" ht="15" x14ac:dyDescent="0.25">
      <c r="A19" s="133"/>
      <c r="B19" s="130"/>
      <c r="C19" s="130"/>
      <c r="D19" s="130"/>
      <c r="E19" s="130"/>
      <c r="F19" s="130"/>
      <c r="G19" s="130"/>
      <c r="H19" s="130"/>
      <c r="I19" s="230"/>
      <c r="J19" s="230"/>
      <c r="K19" s="237"/>
      <c r="L19" s="230"/>
      <c r="M19" s="237"/>
      <c r="N19" s="230"/>
      <c r="O19" s="237"/>
      <c r="P19" s="230"/>
      <c r="Q19" s="237"/>
      <c r="R19" s="230"/>
      <c r="S19" s="237"/>
      <c r="T19" s="235"/>
      <c r="U19" s="237"/>
      <c r="V19" s="230"/>
      <c r="W19" s="237"/>
      <c r="X19" s="230"/>
      <c r="Y19" s="130"/>
      <c r="Z19" s="133"/>
      <c r="AA19" s="138"/>
      <c r="AB19" s="133"/>
      <c r="AC19" s="3"/>
      <c r="AD19" s="133"/>
      <c r="AE19" s="3"/>
      <c r="AF19" s="133"/>
    </row>
    <row r="20" spans="1:32" ht="15" x14ac:dyDescent="0.25">
      <c r="A20" s="133"/>
      <c r="B20" s="133" t="s">
        <v>202</v>
      </c>
      <c r="C20" s="133"/>
      <c r="D20" s="133"/>
      <c r="E20" s="133"/>
      <c r="F20" s="133"/>
      <c r="G20" s="133"/>
      <c r="H20" s="133"/>
      <c r="I20" s="230">
        <f>J20+L20+N20+P20+R20+T20+V20</f>
        <v>2656.3802303695916</v>
      </c>
      <c r="J20" s="230">
        <f>Inputs!P44</f>
        <v>988.11174989944755</v>
      </c>
      <c r="K20" s="234">
        <f t="shared" ref="K20:K21" si="7">J20/Z20</f>
        <v>0.36596731477757316</v>
      </c>
      <c r="L20" s="230">
        <f>Inputs!R44</f>
        <v>1342.8993245977006</v>
      </c>
      <c r="M20" s="234">
        <f t="shared" ref="M20:M21" si="8">L20/Z20</f>
        <v>0.49737012022137056</v>
      </c>
      <c r="N20" s="230">
        <f>Inputs!T44</f>
        <v>228.07105151031604</v>
      </c>
      <c r="O20" s="234">
        <f t="shared" ref="O20:O21" si="9">N20/Z20</f>
        <v>8.4470759818635568E-2</v>
      </c>
      <c r="P20" s="230">
        <f>Inputs!V44</f>
        <v>3.9816630483690214</v>
      </c>
      <c r="Q20" s="234">
        <f t="shared" ref="Q20:Q21" si="10">P20/Z20</f>
        <v>1.4746900179144523E-3</v>
      </c>
      <c r="R20" s="230">
        <f>Inputs!X44</f>
        <v>0.52525985503735062</v>
      </c>
      <c r="S20" s="234">
        <f t="shared" ref="S20:S21" si="11">R20/Z20</f>
        <v>1.9454068705087061E-4</v>
      </c>
      <c r="T20" s="235">
        <f>Inputs!Z44</f>
        <v>15.252515005293176</v>
      </c>
      <c r="U20" s="236">
        <f t="shared" ref="U20:U21" si="12">T20/Z20</f>
        <v>5.6490796315900654E-3</v>
      </c>
      <c r="V20" s="230">
        <f>Inputs!AB44</f>
        <v>77.538666453427794</v>
      </c>
      <c r="W20" s="234">
        <f t="shared" ref="W20:W21" si="13">V20/Z20</f>
        <v>2.8718024612380665E-2</v>
      </c>
      <c r="X20" s="230">
        <f>Inputs!AD44</f>
        <v>43.619769630408499</v>
      </c>
      <c r="Y20" s="182">
        <f t="shared" ref="Y20:Y21" si="14">X20/Z20</f>
        <v>1.6155470233484629E-2</v>
      </c>
      <c r="Z20" s="207">
        <f>AB20*15</f>
        <v>2700</v>
      </c>
      <c r="AA20" s="255">
        <f>K20+M20+O20+Q20+S20+U20+W20+Y20</f>
        <v>1.0000000000000002</v>
      </c>
      <c r="AB20" s="220">
        <f>Inputs!AH44</f>
        <v>180</v>
      </c>
      <c r="AC20" s="3"/>
      <c r="AD20" s="133"/>
      <c r="AE20" s="3"/>
      <c r="AF20" s="133"/>
    </row>
    <row r="21" spans="1:32" ht="15" x14ac:dyDescent="0.25">
      <c r="A21" s="133"/>
      <c r="B21" s="133" t="s">
        <v>203</v>
      </c>
      <c r="C21" s="133"/>
      <c r="D21" s="133"/>
      <c r="E21" s="133"/>
      <c r="F21" s="133"/>
      <c r="G21" s="133"/>
      <c r="H21" s="133"/>
      <c r="I21" s="230">
        <f>J21+L21+N21+P21+R21+T21+V21</f>
        <v>0</v>
      </c>
      <c r="J21" s="230">
        <f>Inputs!P55</f>
        <v>0</v>
      </c>
      <c r="K21" s="234" t="e">
        <f t="shared" si="7"/>
        <v>#DIV/0!</v>
      </c>
      <c r="L21" s="230">
        <f>Inputs!R55</f>
        <v>0</v>
      </c>
      <c r="M21" s="234" t="e">
        <f t="shared" si="8"/>
        <v>#DIV/0!</v>
      </c>
      <c r="N21" s="230">
        <f>Inputs!T55</f>
        <v>0</v>
      </c>
      <c r="O21" s="234" t="e">
        <f t="shared" si="9"/>
        <v>#DIV/0!</v>
      </c>
      <c r="P21" s="230">
        <f>Inputs!V55</f>
        <v>0</v>
      </c>
      <c r="Q21" s="234" t="e">
        <f t="shared" si="10"/>
        <v>#DIV/0!</v>
      </c>
      <c r="R21" s="230">
        <f>Inputs!X55</f>
        <v>0</v>
      </c>
      <c r="S21" s="234" t="e">
        <f t="shared" si="11"/>
        <v>#DIV/0!</v>
      </c>
      <c r="T21" s="235">
        <f>Inputs!Z55</f>
        <v>0</v>
      </c>
      <c r="U21" s="236" t="e">
        <f t="shared" si="12"/>
        <v>#DIV/0!</v>
      </c>
      <c r="V21" s="230">
        <f>Inputs!AB55</f>
        <v>0</v>
      </c>
      <c r="W21" s="234" t="e">
        <f t="shared" si="13"/>
        <v>#DIV/0!</v>
      </c>
      <c r="X21" s="230">
        <f>Inputs!AD55</f>
        <v>0</v>
      </c>
      <c r="Y21" s="182" t="e">
        <f t="shared" si="14"/>
        <v>#DIV/0!</v>
      </c>
      <c r="Z21" s="207">
        <f>AB21*15</f>
        <v>0</v>
      </c>
      <c r="AA21" s="255" t="e">
        <f>K21+M21+O21+Q21+S21+U21+W21+Y21</f>
        <v>#DIV/0!</v>
      </c>
      <c r="AB21" s="220">
        <f>Inputs!AH55</f>
        <v>0</v>
      </c>
      <c r="AC21" s="3"/>
      <c r="AD21" s="133"/>
      <c r="AE21" s="3"/>
      <c r="AF21" s="133"/>
    </row>
    <row r="22" spans="1:32" ht="15" x14ac:dyDescent="0.25">
      <c r="A22" s="133"/>
      <c r="B22" s="208"/>
      <c r="C22" s="133"/>
      <c r="D22" s="133"/>
      <c r="E22" s="133"/>
      <c r="F22" s="133"/>
      <c r="G22" s="133"/>
      <c r="H22" s="133"/>
      <c r="I22" s="230"/>
      <c r="J22" s="230"/>
      <c r="K22" s="235"/>
      <c r="L22" s="230"/>
      <c r="M22" s="235"/>
      <c r="N22" s="230"/>
      <c r="O22" s="235"/>
      <c r="P22" s="230"/>
      <c r="Q22" s="235"/>
      <c r="R22" s="230"/>
      <c r="S22" s="235"/>
      <c r="T22" s="235"/>
      <c r="U22" s="235"/>
      <c r="V22" s="230"/>
      <c r="W22" s="235"/>
      <c r="X22" s="230"/>
      <c r="Y22" s="137"/>
      <c r="Z22" s="133"/>
      <c r="AA22" s="138"/>
      <c r="AB22" s="133"/>
      <c r="AC22" s="3"/>
      <c r="AD22" s="133"/>
      <c r="AE22" s="3"/>
      <c r="AF22" s="133"/>
    </row>
    <row r="23" spans="1:32" ht="15" x14ac:dyDescent="0.25">
      <c r="A23" s="133"/>
      <c r="B23" s="133" t="s">
        <v>207</v>
      </c>
      <c r="C23" s="133"/>
      <c r="D23" s="133"/>
      <c r="E23" s="133"/>
      <c r="F23" s="133"/>
      <c r="G23" s="133"/>
      <c r="H23" s="133"/>
      <c r="I23" s="230">
        <f>J23+L23+N23+P23+R23+T23+V23</f>
        <v>14300.381486113642</v>
      </c>
      <c r="J23" s="230">
        <f>Inputs!P67</f>
        <v>339.96752597270563</v>
      </c>
      <c r="K23" s="234">
        <f>J23/Z23</f>
        <v>2.3608855970326779E-2</v>
      </c>
      <c r="L23" s="230">
        <f>Inputs!R67</f>
        <v>2538.0860716045468</v>
      </c>
      <c r="M23" s="234">
        <f>L23/Z23</f>
        <v>0.17625597719476019</v>
      </c>
      <c r="N23" s="230">
        <f>Inputs!T67</f>
        <v>9011.1033598631457</v>
      </c>
      <c r="O23" s="234">
        <f>N23/Z23</f>
        <v>0.62577106665716287</v>
      </c>
      <c r="P23" s="230">
        <f>Inputs!V67</f>
        <v>2195.2797599523687</v>
      </c>
      <c r="Q23" s="234">
        <f>P23/Z23</f>
        <v>0.1524499833300256</v>
      </c>
      <c r="R23" s="230">
        <f>Inputs!X67</f>
        <v>62.478761656558838</v>
      </c>
      <c r="S23" s="234">
        <f>R23/Z23</f>
        <v>4.3388028928165864E-3</v>
      </c>
      <c r="T23" s="235">
        <f>Inputs!Z67</f>
        <v>56.267033994814163</v>
      </c>
      <c r="U23" s="236">
        <f>T23/Z23</f>
        <v>3.9074329163065391E-3</v>
      </c>
      <c r="V23" s="230">
        <f>Inputs!AB67</f>
        <v>97.198973069499687</v>
      </c>
      <c r="W23" s="238">
        <f>V23/Z23</f>
        <v>6.7499286853819227E-3</v>
      </c>
      <c r="X23" s="230">
        <f>Inputs!AD67</f>
        <v>99.618513886359167</v>
      </c>
      <c r="Y23" s="212">
        <f>X23/Z23</f>
        <v>6.9179523532193867E-3</v>
      </c>
      <c r="Z23" s="207">
        <f>AB23*15</f>
        <v>14400</v>
      </c>
      <c r="AA23" s="204">
        <f>K23+M23+O23+Q23+S23+U23+W23+Y23</f>
        <v>0.99999999999999989</v>
      </c>
      <c r="AB23" s="220">
        <f>Inputs!AH67</f>
        <v>960</v>
      </c>
      <c r="AC23" s="3"/>
      <c r="AD23" s="133"/>
      <c r="AE23" s="3"/>
      <c r="AF23" s="133"/>
    </row>
    <row r="24" spans="1:32" ht="15" x14ac:dyDescent="0.25">
      <c r="A24" s="133"/>
      <c r="B24" s="133"/>
      <c r="C24" s="133"/>
      <c r="D24" s="133"/>
      <c r="E24" s="133"/>
      <c r="F24" s="133"/>
      <c r="G24" s="133"/>
      <c r="H24" s="133"/>
      <c r="I24" s="230"/>
      <c r="J24" s="230"/>
      <c r="K24" s="235"/>
      <c r="L24" s="230"/>
      <c r="M24" s="235"/>
      <c r="N24" s="230"/>
      <c r="O24" s="235"/>
      <c r="P24" s="230"/>
      <c r="Q24" s="235"/>
      <c r="R24" s="230"/>
      <c r="S24" s="235"/>
      <c r="T24" s="237"/>
      <c r="U24" s="237"/>
      <c r="V24" s="237"/>
      <c r="W24" s="237"/>
      <c r="X24" s="237"/>
      <c r="Y24" s="130"/>
      <c r="Z24" s="130"/>
      <c r="AA24" s="130"/>
      <c r="AB24" s="209"/>
      <c r="AC24" s="3"/>
      <c r="AD24" s="133"/>
      <c r="AE24" s="3"/>
      <c r="AF24" s="133"/>
    </row>
    <row r="25" spans="1:32" x14ac:dyDescent="0.2">
      <c r="A25" s="133"/>
      <c r="B25" s="127"/>
      <c r="C25" s="127"/>
      <c r="D25" s="127"/>
      <c r="E25" s="127"/>
      <c r="F25" s="127"/>
      <c r="G25" s="127"/>
      <c r="H25" s="127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127"/>
      <c r="Z25" s="127"/>
      <c r="AA25" s="127"/>
      <c r="AB25" s="210"/>
      <c r="AC25" s="3"/>
      <c r="AD25" s="133"/>
      <c r="AE25" s="3"/>
      <c r="AF25" s="133"/>
    </row>
    <row r="26" spans="1:32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900</v>
      </c>
      <c r="F26" s="139">
        <f>SUM(F11:F25)</f>
        <v>0</v>
      </c>
      <c r="G26" s="139">
        <f>G11+G12</f>
        <v>900</v>
      </c>
      <c r="H26" s="139">
        <f>SUM(H11+H12)</f>
        <v>60</v>
      </c>
      <c r="I26" s="232"/>
      <c r="J26" s="233">
        <f>SUM(J15:J25)</f>
        <v>4932.4245350619594</v>
      </c>
      <c r="K26" s="233"/>
      <c r="L26" s="233">
        <f>SUM(L15:L25)</f>
        <v>9454.1615301332204</v>
      </c>
      <c r="M26" s="233"/>
      <c r="N26" s="233">
        <f>SUM(N15:N25)</f>
        <v>10328.405792423395</v>
      </c>
      <c r="O26" s="233"/>
      <c r="P26" s="233">
        <f>SUM(P15:P25)</f>
        <v>2219.1938438799011</v>
      </c>
      <c r="Q26" s="233"/>
      <c r="R26" s="233">
        <f>SUM(R15:R25)</f>
        <v>65.119830230306604</v>
      </c>
      <c r="S26" s="233"/>
      <c r="T26" s="233">
        <f>SUM(T15:T25)</f>
        <v>128.15891931747663</v>
      </c>
      <c r="U26" s="233"/>
      <c r="V26" s="233">
        <f>SUM(V15:V25)</f>
        <v>465.34005339743481</v>
      </c>
      <c r="W26" s="233"/>
      <c r="X26" s="233">
        <f>SUM(X15:X25)</f>
        <v>307.19549555630641</v>
      </c>
      <c r="Y26" s="139"/>
      <c r="Z26" s="139">
        <f>SUM(Z15:Z25)</f>
        <v>27900</v>
      </c>
      <c r="AA26" s="139"/>
      <c r="AB26" s="139">
        <f>SUM(AB15:AB25)</f>
        <v>1860</v>
      </c>
      <c r="AC26" s="141">
        <f>IF(AB33=0,0,AB33/(H33+AB33))</f>
        <v>0</v>
      </c>
      <c r="AD26" s="139">
        <f>G26+Z26</f>
        <v>28800</v>
      </c>
      <c r="AE26" s="139">
        <f>H26+AB26</f>
        <v>1920</v>
      </c>
      <c r="AF26" s="141">
        <f>I26+AC26</f>
        <v>0</v>
      </c>
    </row>
    <row r="30" spans="1:32" x14ac:dyDescent="0.2">
      <c r="A30" s="3" t="s">
        <v>100</v>
      </c>
      <c r="B30">
        <f>J26</f>
        <v>4932.4245350619594</v>
      </c>
    </row>
    <row r="31" spans="1:32" x14ac:dyDescent="0.2">
      <c r="A31" s="3" t="s">
        <v>101</v>
      </c>
      <c r="B31">
        <f>L26</f>
        <v>9454.1615301332204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2" x14ac:dyDescent="0.2">
      <c r="A32" s="3" t="s">
        <v>102</v>
      </c>
      <c r="B32">
        <f>N26</f>
        <v>10328.405792423395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2219.1938438799011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65.119830230306604</v>
      </c>
    </row>
    <row r="35" spans="1:13" x14ac:dyDescent="0.2">
      <c r="A35" s="3" t="s">
        <v>105</v>
      </c>
      <c r="B35">
        <f>T26</f>
        <v>128.15891931747663</v>
      </c>
    </row>
    <row r="36" spans="1:13" x14ac:dyDescent="0.2">
      <c r="A36" s="3" t="s">
        <v>215</v>
      </c>
      <c r="B36">
        <f>V26</f>
        <v>465.34005339743481</v>
      </c>
    </row>
    <row r="37" spans="1:13" x14ac:dyDescent="0.2">
      <c r="A37" s="3" t="s">
        <v>226</v>
      </c>
      <c r="B37" s="162">
        <f>X26</f>
        <v>307.19549555630641</v>
      </c>
    </row>
    <row r="39" spans="1:13" x14ac:dyDescent="0.2">
      <c r="A39" s="3" t="s">
        <v>118</v>
      </c>
      <c r="B39">
        <f>SUM(B30:B37)</f>
        <v>27899.999999999996</v>
      </c>
    </row>
  </sheetData>
  <mergeCells count="1">
    <mergeCell ref="C7:F7"/>
  </mergeCells>
  <pageMargins left="0" right="0" top="0" bottom="0" header="0.51180555555555496" footer="0.51180555555555496"/>
  <pageSetup scale="41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H11" sqref="H11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60" t="s">
        <v>56</v>
      </c>
      <c r="B1" s="260"/>
      <c r="C1" s="260"/>
      <c r="D1" s="260"/>
      <c r="E1" s="260"/>
      <c r="F1" s="260"/>
      <c r="G1" s="260"/>
      <c r="H1" s="260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197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1">
        <v>49042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0"/>
    </row>
    <row r="5" spans="1:9" x14ac:dyDescent="0.2">
      <c r="A5" s="3" t="s">
        <v>198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1">
        <v>34508</v>
      </c>
    </row>
    <row r="6" spans="1:9" x14ac:dyDescent="0.2">
      <c r="A6" s="3" t="s">
        <v>198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1">
        <v>3822</v>
      </c>
      <c r="I6" s="30"/>
    </row>
    <row r="7" spans="1:9" ht="15" x14ac:dyDescent="0.2">
      <c r="I7" s="58"/>
    </row>
    <row r="8" spans="1:9" x14ac:dyDescent="0.2">
      <c r="A8" s="3" t="s">
        <v>199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1">
        <v>29680</v>
      </c>
      <c r="I8" s="25"/>
    </row>
    <row r="9" spans="1:9" x14ac:dyDescent="0.2">
      <c r="A9" s="3" t="s">
        <v>199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1">
        <v>1990</v>
      </c>
    </row>
    <row r="10" spans="1:9" x14ac:dyDescent="0.2">
      <c r="H10" s="192"/>
      <c r="I10" s="30"/>
    </row>
    <row r="11" spans="1:9" ht="15" x14ac:dyDescent="0.2">
      <c r="A11" s="3" t="s">
        <v>201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1">
        <v>24802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2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abSelected="1" topLeftCell="A4" zoomScaleNormal="100" workbookViewId="0">
      <selection activeCell="U22" sqref="U22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7" x14ac:dyDescent="0.25">
      <c r="A1" s="145" t="s">
        <v>119</v>
      </c>
      <c r="B1" s="146" t="s">
        <v>120</v>
      </c>
      <c r="C1" s="146" t="s">
        <v>121</v>
      </c>
      <c r="D1" s="146" t="s">
        <v>27</v>
      </c>
      <c r="E1" s="146" t="s">
        <v>122</v>
      </c>
      <c r="F1" s="146" t="s">
        <v>112</v>
      </c>
      <c r="G1" s="146" t="s">
        <v>123</v>
      </c>
      <c r="H1" s="146" t="s">
        <v>124</v>
      </c>
      <c r="I1" s="146" t="s">
        <v>125</v>
      </c>
      <c r="J1" s="146" t="s">
        <v>12</v>
      </c>
      <c r="K1" s="146" t="s">
        <v>126</v>
      </c>
      <c r="L1" s="147" t="s">
        <v>127</v>
      </c>
      <c r="M1" s="146" t="s">
        <v>128</v>
      </c>
      <c r="N1" s="146" t="s">
        <v>129</v>
      </c>
      <c r="O1" s="146" t="s">
        <v>130</v>
      </c>
      <c r="P1" s="146" t="s">
        <v>131</v>
      </c>
      <c r="Q1" s="142" t="s">
        <v>235</v>
      </c>
    </row>
    <row r="2" spans="1:17" x14ac:dyDescent="0.25">
      <c r="A2" s="261" t="s">
        <v>132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</row>
    <row r="3" spans="1:17" x14ac:dyDescent="0.25">
      <c r="B3" s="148">
        <v>5</v>
      </c>
      <c r="C3" s="148">
        <v>123456</v>
      </c>
      <c r="D3" s="189" t="s">
        <v>2</v>
      </c>
      <c r="E3" s="148">
        <v>60</v>
      </c>
      <c r="F3" s="189" t="s">
        <v>112</v>
      </c>
      <c r="G3" s="148"/>
      <c r="H3" s="148" t="s">
        <v>185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7" x14ac:dyDescent="0.25">
      <c r="B4" s="148">
        <v>5</v>
      </c>
      <c r="C4" s="148">
        <v>123457</v>
      </c>
      <c r="D4" s="189" t="s">
        <v>5</v>
      </c>
      <c r="E4" s="148">
        <v>60</v>
      </c>
      <c r="F4" s="189"/>
      <c r="G4" s="148" t="s">
        <v>8</v>
      </c>
      <c r="H4" s="148" t="s">
        <v>185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7" x14ac:dyDescent="0.25">
      <c r="B5" s="148">
        <v>5</v>
      </c>
      <c r="C5" s="148">
        <v>123458</v>
      </c>
      <c r="D5" s="189" t="s">
        <v>3</v>
      </c>
      <c r="E5" s="148">
        <v>60</v>
      </c>
      <c r="F5" s="189"/>
      <c r="G5" s="148" t="s">
        <v>9</v>
      </c>
      <c r="H5" s="148" t="s">
        <v>184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7" x14ac:dyDescent="0.25">
      <c r="A6" s="262"/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</row>
    <row r="7" spans="1:17" x14ac:dyDescent="0.25">
      <c r="A7" s="148">
        <v>4</v>
      </c>
      <c r="B7" s="186">
        <f>Inputs!C$2</f>
        <v>47</v>
      </c>
      <c r="C7" s="151">
        <v>941220</v>
      </c>
      <c r="D7" s="185" t="s">
        <v>4</v>
      </c>
      <c r="E7" s="148">
        <v>60</v>
      </c>
      <c r="F7" s="185" t="s">
        <v>112</v>
      </c>
      <c r="G7" s="185"/>
      <c r="H7" s="188" t="s">
        <v>184</v>
      </c>
      <c r="I7" s="205">
        <f t="shared" ref="I7:I38" si="0">IF(K7&gt;0,K7-J7,"NA")</f>
        <v>1227</v>
      </c>
      <c r="J7" s="186">
        <f t="shared" ref="J7:J38" si="1">IF(H7="NEW",203, IF(H7="OLD",192,0))</f>
        <v>203</v>
      </c>
      <c r="K7" s="151">
        <v>1430</v>
      </c>
      <c r="L7" s="206">
        <f t="shared" ref="L7:L38" si="2">IF(K7&gt;0,I7/E7,"NA")</f>
        <v>20.45</v>
      </c>
      <c r="M7" s="151">
        <v>135251</v>
      </c>
      <c r="N7" s="152" t="s">
        <v>234</v>
      </c>
      <c r="O7" s="157" t="s">
        <v>47</v>
      </c>
      <c r="P7" s="184">
        <f>IF(D7=Inputs!F$4,Inputs!I$4,IF(D7=Inputs!F$2,Inputs!I$2,IF(D7=Inputs!F$3,Inputs!I$3,IF(D7=Inputs!F$5,Inputs!I$5,"NA"))))</f>
        <v>24.607142857142858</v>
      </c>
      <c r="Q7" s="268">
        <f>ROUNDDOWN(I7/60,0)</f>
        <v>20</v>
      </c>
    </row>
    <row r="8" spans="1:17" x14ac:dyDescent="0.25">
      <c r="A8" s="148">
        <v>6</v>
      </c>
      <c r="B8" s="186">
        <f>Inputs!C$2</f>
        <v>47</v>
      </c>
      <c r="C8" s="151">
        <v>941221</v>
      </c>
      <c r="D8" s="185" t="s">
        <v>4</v>
      </c>
      <c r="E8" s="148">
        <v>60</v>
      </c>
      <c r="F8" s="185" t="s">
        <v>112</v>
      </c>
      <c r="G8" s="185"/>
      <c r="H8" s="188" t="s">
        <v>184</v>
      </c>
      <c r="I8" s="205">
        <f t="shared" si="0"/>
        <v>1233</v>
      </c>
      <c r="J8" s="186">
        <f t="shared" si="1"/>
        <v>203</v>
      </c>
      <c r="K8" s="151">
        <v>1436</v>
      </c>
      <c r="L8" s="206">
        <f t="shared" si="2"/>
        <v>20.55</v>
      </c>
      <c r="M8" s="151">
        <v>135251</v>
      </c>
      <c r="N8" s="152" t="s">
        <v>234</v>
      </c>
      <c r="O8" s="157" t="s">
        <v>47</v>
      </c>
      <c r="P8" s="184">
        <f>IF(D8=Inputs!F$4,Inputs!I$4,IF(D8=Inputs!F$2,Inputs!I$2,IF(D8=Inputs!F$3,Inputs!I$3,IF(D8=Inputs!F$5,Inputs!I$5,"NA"))))</f>
        <v>24.607142857142858</v>
      </c>
      <c r="Q8" s="268">
        <f>ROUNDDOWN(I8/60,0)</f>
        <v>20</v>
      </c>
    </row>
    <row r="9" spans="1:17" x14ac:dyDescent="0.25">
      <c r="A9" s="148">
        <v>10</v>
      </c>
      <c r="B9" s="186">
        <f>Inputs!C$2</f>
        <v>47</v>
      </c>
      <c r="C9" s="151">
        <v>941222</v>
      </c>
      <c r="D9" s="185" t="s">
        <v>167</v>
      </c>
      <c r="E9" s="148">
        <v>60</v>
      </c>
      <c r="F9" s="185" t="s">
        <v>112</v>
      </c>
      <c r="G9" s="185"/>
      <c r="H9" s="188" t="s">
        <v>184</v>
      </c>
      <c r="I9" s="205">
        <f t="shared" si="0"/>
        <v>1497</v>
      </c>
      <c r="J9" s="186">
        <f t="shared" si="1"/>
        <v>203</v>
      </c>
      <c r="K9" s="151">
        <v>1700</v>
      </c>
      <c r="L9" s="206">
        <f t="shared" si="2"/>
        <v>24.95</v>
      </c>
      <c r="M9" s="151">
        <v>135251</v>
      </c>
      <c r="N9" s="152" t="s">
        <v>234</v>
      </c>
      <c r="O9" s="157" t="s">
        <v>48</v>
      </c>
      <c r="P9" s="184">
        <f>IF(D9=Inputs!F$4,Inputs!I$4,IF(D9=Inputs!F$2,Inputs!I$2,IF(D9=Inputs!F$3,Inputs!I$3,IF(D9=Inputs!F$5,Inputs!I$5,"NA"))))</f>
        <v>58.892857142857146</v>
      </c>
      <c r="Q9" s="268">
        <f t="shared" ref="Q8:Q37" si="3">ROUNDDOWN(I9/60,0)</f>
        <v>24</v>
      </c>
    </row>
    <row r="10" spans="1:17" x14ac:dyDescent="0.25">
      <c r="A10" s="148">
        <v>11</v>
      </c>
      <c r="B10" s="186">
        <f>Inputs!C$2</f>
        <v>47</v>
      </c>
      <c r="C10" s="151">
        <v>941223</v>
      </c>
      <c r="D10" s="185" t="s">
        <v>4</v>
      </c>
      <c r="E10" s="148">
        <v>60</v>
      </c>
      <c r="F10" s="185" t="s">
        <v>112</v>
      </c>
      <c r="G10" s="185"/>
      <c r="H10" s="188" t="s">
        <v>184</v>
      </c>
      <c r="I10" s="205">
        <f t="shared" si="0"/>
        <v>1239</v>
      </c>
      <c r="J10" s="186">
        <f t="shared" si="1"/>
        <v>203</v>
      </c>
      <c r="K10" s="151">
        <v>1442</v>
      </c>
      <c r="L10" s="206">
        <f t="shared" si="2"/>
        <v>20.65</v>
      </c>
      <c r="M10" s="151">
        <v>135251</v>
      </c>
      <c r="N10" s="152" t="s">
        <v>234</v>
      </c>
      <c r="O10" s="157" t="s">
        <v>47</v>
      </c>
      <c r="P10" s="184">
        <f>IF(D10=Inputs!F$4,Inputs!I$4,IF(D10=Inputs!F$2,Inputs!I$2,IF(D10=Inputs!F$3,Inputs!I$3,IF(D10=Inputs!F$5,Inputs!I$5,"NA"))))</f>
        <v>24.607142857142858</v>
      </c>
      <c r="Q10" s="268">
        <f t="shared" si="3"/>
        <v>20</v>
      </c>
    </row>
    <row r="11" spans="1:17" x14ac:dyDescent="0.25">
      <c r="A11" s="148">
        <v>13</v>
      </c>
      <c r="B11" s="186">
        <f>Inputs!C$2</f>
        <v>47</v>
      </c>
      <c r="C11" s="151">
        <v>941224</v>
      </c>
      <c r="D11" s="185" t="s">
        <v>5</v>
      </c>
      <c r="E11" s="148">
        <v>60</v>
      </c>
      <c r="F11" s="185" t="s">
        <v>112</v>
      </c>
      <c r="G11" s="185"/>
      <c r="H11" s="188" t="s">
        <v>184</v>
      </c>
      <c r="I11" s="205">
        <f t="shared" si="0"/>
        <v>1353</v>
      </c>
      <c r="J11" s="186">
        <f t="shared" si="1"/>
        <v>203</v>
      </c>
      <c r="K11" s="151">
        <v>1556</v>
      </c>
      <c r="L11" s="206">
        <f t="shared" si="2"/>
        <v>22.55</v>
      </c>
      <c r="M11" s="151">
        <v>135251</v>
      </c>
      <c r="N11" s="152" t="s">
        <v>234</v>
      </c>
      <c r="O11" s="157" t="s">
        <v>47</v>
      </c>
      <c r="P11" s="184">
        <f>IF(D11=Inputs!F$4,Inputs!I$4,IF(D11=Inputs!F$2,Inputs!I$2,IF(D11=Inputs!F$3,Inputs!I$3,IF(D11=Inputs!F$5,Inputs!I$5,"NA"))))</f>
        <v>33.464285714285715</v>
      </c>
      <c r="Q11" s="268">
        <f t="shared" si="3"/>
        <v>22</v>
      </c>
    </row>
    <row r="12" spans="1:17" x14ac:dyDescent="0.25">
      <c r="A12" s="148">
        <v>29</v>
      </c>
      <c r="B12" s="186">
        <f>Inputs!C$2</f>
        <v>47</v>
      </c>
      <c r="C12" s="151">
        <v>941225</v>
      </c>
      <c r="D12" s="185" t="s">
        <v>5</v>
      </c>
      <c r="E12" s="148">
        <v>60</v>
      </c>
      <c r="F12" s="185" t="s">
        <v>112</v>
      </c>
      <c r="G12" s="185"/>
      <c r="H12" s="188" t="s">
        <v>184</v>
      </c>
      <c r="I12" s="205">
        <f t="shared" si="0"/>
        <v>1479</v>
      </c>
      <c r="J12" s="186">
        <f t="shared" si="1"/>
        <v>203</v>
      </c>
      <c r="K12" s="151">
        <v>1682</v>
      </c>
      <c r="L12" s="206">
        <f t="shared" si="2"/>
        <v>24.65</v>
      </c>
      <c r="M12" s="151">
        <v>135251</v>
      </c>
      <c r="N12" s="152" t="s">
        <v>234</v>
      </c>
      <c r="O12" s="157" t="s">
        <v>47</v>
      </c>
      <c r="P12" s="184">
        <f>IF(D12=Inputs!F$4,Inputs!I$4,IF(D12=Inputs!F$2,Inputs!I$2,IF(D12=Inputs!F$3,Inputs!I$3,IF(D12=Inputs!F$5,Inputs!I$5,"NA"))))</f>
        <v>33.464285714285715</v>
      </c>
      <c r="Q12" s="268">
        <f t="shared" si="3"/>
        <v>24</v>
      </c>
    </row>
    <row r="13" spans="1:17" x14ac:dyDescent="0.25">
      <c r="A13" s="148">
        <v>32</v>
      </c>
      <c r="B13" s="186">
        <f>Inputs!C$2</f>
        <v>47</v>
      </c>
      <c r="C13" s="151">
        <v>941226</v>
      </c>
      <c r="D13" s="185" t="s">
        <v>5</v>
      </c>
      <c r="E13" s="148">
        <v>60</v>
      </c>
      <c r="F13" s="185" t="s">
        <v>112</v>
      </c>
      <c r="G13" s="185"/>
      <c r="H13" s="188" t="s">
        <v>184</v>
      </c>
      <c r="I13" s="205">
        <f t="shared" si="0"/>
        <v>1479</v>
      </c>
      <c r="J13" s="186">
        <f t="shared" si="1"/>
        <v>203</v>
      </c>
      <c r="K13" s="151">
        <v>1682</v>
      </c>
      <c r="L13" s="206">
        <f t="shared" si="2"/>
        <v>24.65</v>
      </c>
      <c r="M13" s="151">
        <v>135251</v>
      </c>
      <c r="N13" s="152" t="s">
        <v>234</v>
      </c>
      <c r="O13" s="157" t="s">
        <v>47</v>
      </c>
      <c r="P13" s="184">
        <f>IF(D13=Inputs!F$4,Inputs!I$4,IF(D13=Inputs!F$2,Inputs!I$2,IF(D13=Inputs!F$3,Inputs!I$3,IF(D13=Inputs!F$5,Inputs!I$5,"NA"))))</f>
        <v>33.464285714285715</v>
      </c>
      <c r="Q13" s="268">
        <f t="shared" si="3"/>
        <v>24</v>
      </c>
    </row>
    <row r="14" spans="1:17" x14ac:dyDescent="0.25">
      <c r="A14" s="148">
        <v>2</v>
      </c>
      <c r="B14" s="186">
        <f>Inputs!C$2</f>
        <v>47</v>
      </c>
      <c r="C14" s="151">
        <v>941227</v>
      </c>
      <c r="D14" s="185" t="s">
        <v>5</v>
      </c>
      <c r="E14" s="148">
        <v>60</v>
      </c>
      <c r="F14" s="185" t="s">
        <v>112</v>
      </c>
      <c r="G14" s="185"/>
      <c r="H14" s="188" t="s">
        <v>184</v>
      </c>
      <c r="I14" s="205">
        <f t="shared" si="0"/>
        <v>1469</v>
      </c>
      <c r="J14" s="186">
        <f t="shared" si="1"/>
        <v>203</v>
      </c>
      <c r="K14" s="151">
        <v>1672</v>
      </c>
      <c r="L14" s="206">
        <f t="shared" si="2"/>
        <v>24.483333333333334</v>
      </c>
      <c r="M14" s="151">
        <v>135251</v>
      </c>
      <c r="N14" s="152" t="s">
        <v>234</v>
      </c>
      <c r="O14" s="157" t="s">
        <v>47</v>
      </c>
      <c r="P14" s="184">
        <f>IF(D14=Inputs!F$4,Inputs!I$4,IF(D14=Inputs!F$2,Inputs!I$2,IF(D14=Inputs!F$3,Inputs!I$3,IF(D14=Inputs!F$5,Inputs!I$5,"NA"))))</f>
        <v>33.464285714285715</v>
      </c>
      <c r="Q14" s="268">
        <f t="shared" si="3"/>
        <v>24</v>
      </c>
    </row>
    <row r="15" spans="1:17" x14ac:dyDescent="0.25">
      <c r="A15" s="148">
        <v>3</v>
      </c>
      <c r="B15" s="186">
        <f>Inputs!C$2</f>
        <v>47</v>
      </c>
      <c r="C15" s="151">
        <v>941228</v>
      </c>
      <c r="D15" s="185" t="s">
        <v>208</v>
      </c>
      <c r="E15" s="148">
        <v>60</v>
      </c>
      <c r="F15" s="185" t="s">
        <v>112</v>
      </c>
      <c r="G15" s="185"/>
      <c r="H15" s="188" t="s">
        <v>184</v>
      </c>
      <c r="I15" s="205">
        <f t="shared" si="0"/>
        <v>1503</v>
      </c>
      <c r="J15" s="186">
        <f t="shared" si="1"/>
        <v>203</v>
      </c>
      <c r="K15" s="151">
        <v>1706</v>
      </c>
      <c r="L15" s="206">
        <f t="shared" si="2"/>
        <v>25.05</v>
      </c>
      <c r="M15" s="151">
        <v>135251</v>
      </c>
      <c r="N15" s="152" t="s">
        <v>234</v>
      </c>
      <c r="O15" s="157" t="s">
        <v>47</v>
      </c>
      <c r="P15" s="184">
        <f>IF(D15=Inputs!F$4,Inputs!I$4,IF(D15=Inputs!F$2,Inputs!I$2,IF(D15=Inputs!F$3,Inputs!I$3,IF(D15=Inputs!F$5,Inputs!I$5,"NA"))))</f>
        <v>45.892857142857146</v>
      </c>
      <c r="Q15" s="268">
        <f t="shared" si="3"/>
        <v>25</v>
      </c>
    </row>
    <row r="16" spans="1:17" x14ac:dyDescent="0.25">
      <c r="A16" s="148">
        <v>9</v>
      </c>
      <c r="B16" s="186">
        <f>Inputs!C$2</f>
        <v>47</v>
      </c>
      <c r="C16" s="151">
        <v>941229</v>
      </c>
      <c r="D16" s="185" t="s">
        <v>208</v>
      </c>
      <c r="E16" s="148">
        <v>60</v>
      </c>
      <c r="F16" s="185" t="s">
        <v>112</v>
      </c>
      <c r="G16" s="185"/>
      <c r="H16" s="188" t="s">
        <v>184</v>
      </c>
      <c r="I16" s="205">
        <f t="shared" si="0"/>
        <v>1461</v>
      </c>
      <c r="J16" s="186">
        <f t="shared" si="1"/>
        <v>203</v>
      </c>
      <c r="K16" s="151">
        <v>1664</v>
      </c>
      <c r="L16" s="206">
        <f t="shared" si="2"/>
        <v>24.35</v>
      </c>
      <c r="M16" s="151">
        <v>135251</v>
      </c>
      <c r="N16" s="152" t="s">
        <v>234</v>
      </c>
      <c r="O16" s="157" t="s">
        <v>47</v>
      </c>
      <c r="P16" s="184">
        <f>IF(D16=Inputs!F$4,Inputs!I$4,IF(D16=Inputs!F$2,Inputs!I$2,IF(D16=Inputs!F$3,Inputs!I$3,IF(D16=Inputs!F$5,Inputs!I$5,"NA"))))</f>
        <v>45.892857142857146</v>
      </c>
      <c r="Q16" s="268">
        <f t="shared" si="3"/>
        <v>24</v>
      </c>
    </row>
    <row r="17" spans="1:17" x14ac:dyDescent="0.25">
      <c r="A17" s="148">
        <v>12</v>
      </c>
      <c r="B17" s="186">
        <f>Inputs!C$2</f>
        <v>47</v>
      </c>
      <c r="C17" s="151">
        <v>941230</v>
      </c>
      <c r="D17" s="185" t="s">
        <v>208</v>
      </c>
      <c r="E17" s="148">
        <v>60</v>
      </c>
      <c r="F17" s="185" t="s">
        <v>112</v>
      </c>
      <c r="G17" s="185"/>
      <c r="H17" s="188" t="s">
        <v>184</v>
      </c>
      <c r="I17" s="205">
        <f t="shared" si="0"/>
        <v>1459</v>
      </c>
      <c r="J17" s="186">
        <f t="shared" si="1"/>
        <v>203</v>
      </c>
      <c r="K17" s="151">
        <v>1662</v>
      </c>
      <c r="L17" s="206">
        <f t="shared" si="2"/>
        <v>24.316666666666666</v>
      </c>
      <c r="M17" s="151">
        <v>135251</v>
      </c>
      <c r="N17" s="152" t="s">
        <v>234</v>
      </c>
      <c r="O17" s="157" t="s">
        <v>47</v>
      </c>
      <c r="P17" s="184">
        <f>IF(D17=Inputs!F$4,Inputs!I$4,IF(D17=Inputs!F$2,Inputs!I$2,IF(D17=Inputs!F$3,Inputs!I$3,IF(D17=Inputs!F$5,Inputs!I$5,"NA"))))</f>
        <v>45.892857142857146</v>
      </c>
      <c r="Q17" s="268">
        <f t="shared" si="3"/>
        <v>24</v>
      </c>
    </row>
    <row r="18" spans="1:17" x14ac:dyDescent="0.25">
      <c r="A18" s="148">
        <v>19</v>
      </c>
      <c r="B18" s="186">
        <f>Inputs!C$2</f>
        <v>47</v>
      </c>
      <c r="C18" s="151">
        <v>941231</v>
      </c>
      <c r="D18" s="185" t="s">
        <v>167</v>
      </c>
      <c r="E18" s="148">
        <v>60</v>
      </c>
      <c r="F18" s="185" t="s">
        <v>112</v>
      </c>
      <c r="G18" s="185"/>
      <c r="H18" s="188" t="s">
        <v>184</v>
      </c>
      <c r="I18" s="205">
        <f t="shared" si="0"/>
        <v>1453</v>
      </c>
      <c r="J18" s="186">
        <f t="shared" si="1"/>
        <v>203</v>
      </c>
      <c r="K18" s="151">
        <v>1656</v>
      </c>
      <c r="L18" s="206">
        <f t="shared" si="2"/>
        <v>24.216666666666665</v>
      </c>
      <c r="M18" s="151">
        <v>135251</v>
      </c>
      <c r="N18" s="152" t="s">
        <v>234</v>
      </c>
      <c r="O18" s="157" t="s">
        <v>47</v>
      </c>
      <c r="P18" s="184">
        <f>IF(D18=Inputs!F$4,Inputs!I$4,IF(D18=Inputs!F$2,Inputs!I$2,IF(D18=Inputs!F$3,Inputs!I$3,IF(D18=Inputs!F$5,Inputs!I$5,"NA"))))</f>
        <v>58.892857142857146</v>
      </c>
      <c r="Q18" s="268">
        <f t="shared" si="3"/>
        <v>24</v>
      </c>
    </row>
    <row r="19" spans="1:17" x14ac:dyDescent="0.25">
      <c r="A19" s="148">
        <v>20</v>
      </c>
      <c r="B19" s="186">
        <f>Inputs!C$2</f>
        <v>47</v>
      </c>
      <c r="C19" s="151">
        <v>941232</v>
      </c>
      <c r="D19" s="185" t="s">
        <v>167</v>
      </c>
      <c r="E19" s="148">
        <v>60</v>
      </c>
      <c r="F19" s="185" t="s">
        <v>112</v>
      </c>
      <c r="G19" s="185"/>
      <c r="H19" s="188" t="s">
        <v>184</v>
      </c>
      <c r="I19" s="205">
        <f t="shared" si="0"/>
        <v>1451</v>
      </c>
      <c r="J19" s="186">
        <f t="shared" si="1"/>
        <v>203</v>
      </c>
      <c r="K19" s="151">
        <v>1654</v>
      </c>
      <c r="L19" s="206">
        <f t="shared" si="2"/>
        <v>24.183333333333334</v>
      </c>
      <c r="M19" s="151">
        <v>135251</v>
      </c>
      <c r="N19" s="152" t="s">
        <v>234</v>
      </c>
      <c r="O19" s="157" t="s">
        <v>47</v>
      </c>
      <c r="P19" s="184">
        <f>IF(D19=Inputs!F$4,Inputs!I$4,IF(D19=Inputs!F$2,Inputs!I$2,IF(D19=Inputs!F$3,Inputs!I$3,IF(D19=Inputs!F$5,Inputs!I$5,"NA"))))</f>
        <v>58.892857142857146</v>
      </c>
      <c r="Q19" s="268">
        <f t="shared" si="3"/>
        <v>24</v>
      </c>
    </row>
    <row r="20" spans="1:17" x14ac:dyDescent="0.25">
      <c r="A20" s="148">
        <v>21</v>
      </c>
      <c r="B20" s="186">
        <f>Inputs!C$2</f>
        <v>47</v>
      </c>
      <c r="C20" s="151">
        <v>941233</v>
      </c>
      <c r="D20" s="185" t="s">
        <v>167</v>
      </c>
      <c r="E20" s="148">
        <v>60</v>
      </c>
      <c r="F20" s="185" t="s">
        <v>112</v>
      </c>
      <c r="G20" s="185"/>
      <c r="H20" s="188" t="s">
        <v>184</v>
      </c>
      <c r="I20" s="205">
        <f t="shared" si="0"/>
        <v>1465</v>
      </c>
      <c r="J20" s="186">
        <f t="shared" si="1"/>
        <v>203</v>
      </c>
      <c r="K20" s="151">
        <v>1668</v>
      </c>
      <c r="L20" s="206">
        <f t="shared" si="2"/>
        <v>24.416666666666668</v>
      </c>
      <c r="M20" s="151">
        <v>135251</v>
      </c>
      <c r="N20" s="152" t="s">
        <v>234</v>
      </c>
      <c r="O20" s="157" t="s">
        <v>47</v>
      </c>
      <c r="P20" s="184">
        <f>IF(D20=Inputs!F$4,Inputs!I$4,IF(D20=Inputs!F$2,Inputs!I$2,IF(D20=Inputs!F$3,Inputs!I$3,IF(D20=Inputs!F$5,Inputs!I$5,"NA"))))</f>
        <v>58.892857142857146</v>
      </c>
      <c r="Q20" s="268">
        <f t="shared" si="3"/>
        <v>24</v>
      </c>
    </row>
    <row r="21" spans="1:17" x14ac:dyDescent="0.25">
      <c r="A21" s="148">
        <v>8</v>
      </c>
      <c r="B21" s="186">
        <f>Inputs!C$2</f>
        <v>47</v>
      </c>
      <c r="C21" s="151">
        <v>941234</v>
      </c>
      <c r="D21" s="185" t="s">
        <v>4</v>
      </c>
      <c r="E21" s="148">
        <v>60</v>
      </c>
      <c r="F21" s="185" t="s">
        <v>112</v>
      </c>
      <c r="G21" s="185"/>
      <c r="H21" s="188" t="s">
        <v>184</v>
      </c>
      <c r="I21" s="205">
        <f t="shared" si="0"/>
        <v>1249</v>
      </c>
      <c r="J21" s="186">
        <f t="shared" si="1"/>
        <v>203</v>
      </c>
      <c r="K21" s="151">
        <v>1452</v>
      </c>
      <c r="L21" s="206">
        <f t="shared" si="2"/>
        <v>20.816666666666666</v>
      </c>
      <c r="M21" s="151">
        <v>135251</v>
      </c>
      <c r="N21" s="152" t="s">
        <v>234</v>
      </c>
      <c r="O21" s="157" t="s">
        <v>47</v>
      </c>
      <c r="P21" s="184">
        <f>IF(D21=Inputs!F$4,Inputs!I$4,IF(D21=Inputs!F$2,Inputs!I$2,IF(D21=Inputs!F$3,Inputs!I$3,IF(D21=Inputs!F$5,Inputs!I$5,"NA"))))</f>
        <v>24.607142857142858</v>
      </c>
      <c r="Q21" s="268">
        <f t="shared" si="3"/>
        <v>20</v>
      </c>
    </row>
    <row r="22" spans="1:17" x14ac:dyDescent="0.25">
      <c r="A22" s="148">
        <v>22</v>
      </c>
      <c r="B22" s="186">
        <f>Inputs!C$2</f>
        <v>47</v>
      </c>
      <c r="C22" s="151">
        <v>941235</v>
      </c>
      <c r="D22" s="185" t="s">
        <v>4</v>
      </c>
      <c r="E22" s="148">
        <v>60</v>
      </c>
      <c r="F22" s="185" t="s">
        <v>112</v>
      </c>
      <c r="G22" s="185"/>
      <c r="H22" s="188" t="s">
        <v>184</v>
      </c>
      <c r="I22" s="205">
        <f t="shared" si="0"/>
        <v>1245</v>
      </c>
      <c r="J22" s="186">
        <f t="shared" si="1"/>
        <v>203</v>
      </c>
      <c r="K22" s="226">
        <v>1448</v>
      </c>
      <c r="L22" s="206">
        <f t="shared" si="2"/>
        <v>20.75</v>
      </c>
      <c r="M22" s="151">
        <v>135251</v>
      </c>
      <c r="N22" s="152" t="s">
        <v>234</v>
      </c>
      <c r="O22" s="157" t="s">
        <v>47</v>
      </c>
      <c r="P22" s="184">
        <f>IF(D22=Inputs!F$4,Inputs!I$4,IF(D22=Inputs!F$2,Inputs!I$2,IF(D22=Inputs!F$3,Inputs!I$3,IF(D22=Inputs!F$5,Inputs!I$5,"NA"))))</f>
        <v>24.607142857142858</v>
      </c>
      <c r="Q22" s="268">
        <f t="shared" si="3"/>
        <v>20</v>
      </c>
    </row>
    <row r="23" spans="1:17" x14ac:dyDescent="0.25">
      <c r="A23" s="148">
        <v>23</v>
      </c>
      <c r="B23" s="186">
        <f>Inputs!C$2</f>
        <v>47</v>
      </c>
      <c r="C23" s="151">
        <v>941236</v>
      </c>
      <c r="D23" s="185" t="s">
        <v>4</v>
      </c>
      <c r="E23" s="148">
        <v>60</v>
      </c>
      <c r="F23" s="185" t="s">
        <v>112</v>
      </c>
      <c r="G23" s="185"/>
      <c r="H23" s="188" t="s">
        <v>184</v>
      </c>
      <c r="I23" s="205">
        <f t="shared" si="0"/>
        <v>1247</v>
      </c>
      <c r="J23" s="186">
        <f t="shared" si="1"/>
        <v>203</v>
      </c>
      <c r="K23" s="151">
        <v>1450</v>
      </c>
      <c r="L23" s="206">
        <f t="shared" si="2"/>
        <v>20.783333333333335</v>
      </c>
      <c r="M23" s="151">
        <v>135251</v>
      </c>
      <c r="N23" s="152" t="s">
        <v>234</v>
      </c>
      <c r="O23" s="157" t="s">
        <v>47</v>
      </c>
      <c r="P23" s="184">
        <f>IF(D23=Inputs!F$4,Inputs!I$4,IF(D23=Inputs!F$2,Inputs!I$2,IF(D23=Inputs!F$3,Inputs!I$3,IF(D23=Inputs!F$5,Inputs!I$5,"NA"))))</f>
        <v>24.607142857142858</v>
      </c>
      <c r="Q23" s="268">
        <f t="shared" si="3"/>
        <v>20</v>
      </c>
    </row>
    <row r="24" spans="1:17" x14ac:dyDescent="0.25">
      <c r="A24" s="148">
        <v>24</v>
      </c>
      <c r="B24" s="186">
        <f>Inputs!C$2</f>
        <v>47</v>
      </c>
      <c r="C24" s="151">
        <v>941237</v>
      </c>
      <c r="D24" s="185" t="s">
        <v>4</v>
      </c>
      <c r="E24" s="148">
        <v>60</v>
      </c>
      <c r="F24" s="185" t="s">
        <v>112</v>
      </c>
      <c r="G24" s="185"/>
      <c r="H24" s="188" t="s">
        <v>184</v>
      </c>
      <c r="I24" s="205">
        <f t="shared" si="0"/>
        <v>1255</v>
      </c>
      <c r="J24" s="186">
        <f t="shared" si="1"/>
        <v>203</v>
      </c>
      <c r="K24" s="151">
        <v>1458</v>
      </c>
      <c r="L24" s="206">
        <f t="shared" si="2"/>
        <v>20.916666666666668</v>
      </c>
      <c r="M24" s="151">
        <v>135251</v>
      </c>
      <c r="N24" s="152" t="s">
        <v>234</v>
      </c>
      <c r="O24" s="157" t="s">
        <v>47</v>
      </c>
      <c r="P24" s="184">
        <f>IF(D24=Inputs!F$4,Inputs!I$4,IF(D24=Inputs!F$2,Inputs!I$2,IF(D24=Inputs!F$3,Inputs!I$3,IF(D24=Inputs!F$5,Inputs!I$5,"NA"))))</f>
        <v>24.607142857142858</v>
      </c>
      <c r="Q24" s="268">
        <f t="shared" si="3"/>
        <v>20</v>
      </c>
    </row>
    <row r="25" spans="1:17" x14ac:dyDescent="0.25">
      <c r="A25" s="148">
        <v>31</v>
      </c>
      <c r="B25" s="186">
        <f>Inputs!C$2</f>
        <v>47</v>
      </c>
      <c r="C25" s="151">
        <v>941238</v>
      </c>
      <c r="D25" s="185" t="s">
        <v>4</v>
      </c>
      <c r="E25" s="148">
        <v>60</v>
      </c>
      <c r="F25" s="185" t="s">
        <v>112</v>
      </c>
      <c r="G25" s="185"/>
      <c r="H25" s="188" t="s">
        <v>184</v>
      </c>
      <c r="I25" s="205">
        <f t="shared" si="0"/>
        <v>1267</v>
      </c>
      <c r="J25" s="186">
        <f t="shared" si="1"/>
        <v>203</v>
      </c>
      <c r="K25" s="151">
        <v>1470</v>
      </c>
      <c r="L25" s="206">
        <f t="shared" si="2"/>
        <v>21.116666666666667</v>
      </c>
      <c r="M25" s="151">
        <v>135251</v>
      </c>
      <c r="N25" s="152" t="s">
        <v>234</v>
      </c>
      <c r="O25" s="157" t="s">
        <v>47</v>
      </c>
      <c r="P25" s="184">
        <f>IF(D25=Inputs!F$4,Inputs!I$4,IF(D25=Inputs!F$2,Inputs!I$2,IF(D25=Inputs!F$3,Inputs!I$3,IF(D25=Inputs!F$5,Inputs!I$5,"NA"))))</f>
        <v>24.607142857142858</v>
      </c>
      <c r="Q25" s="268">
        <f t="shared" si="3"/>
        <v>21</v>
      </c>
    </row>
    <row r="26" spans="1:17" x14ac:dyDescent="0.25">
      <c r="A26" s="148">
        <v>15</v>
      </c>
      <c r="B26" s="186">
        <f>Inputs!C$2</f>
        <v>47</v>
      </c>
      <c r="C26" s="151">
        <v>941239</v>
      </c>
      <c r="D26" s="185" t="s">
        <v>4</v>
      </c>
      <c r="E26" s="148">
        <v>60</v>
      </c>
      <c r="F26" s="185" t="s">
        <v>112</v>
      </c>
      <c r="G26" s="185"/>
      <c r="H26" s="188" t="s">
        <v>184</v>
      </c>
      <c r="I26" s="205">
        <f t="shared" si="0"/>
        <v>1265</v>
      </c>
      <c r="J26" s="186">
        <f t="shared" si="1"/>
        <v>203</v>
      </c>
      <c r="K26" s="151">
        <v>1468</v>
      </c>
      <c r="L26" s="206">
        <f t="shared" si="2"/>
        <v>21.083333333333332</v>
      </c>
      <c r="M26" s="151">
        <v>135251</v>
      </c>
      <c r="N26" s="152" t="s">
        <v>234</v>
      </c>
      <c r="O26" s="157" t="s">
        <v>47</v>
      </c>
      <c r="P26" s="184">
        <f>IF(D26=Inputs!F$4,Inputs!I$4,IF(D26=Inputs!F$2,Inputs!I$2,IF(D26=Inputs!F$3,Inputs!I$3,IF(D26=Inputs!F$5,Inputs!I$5,"NA"))))</f>
        <v>24.607142857142858</v>
      </c>
      <c r="Q26" s="268">
        <f t="shared" si="3"/>
        <v>21</v>
      </c>
    </row>
    <row r="27" spans="1:17" x14ac:dyDescent="0.25">
      <c r="A27" s="148">
        <v>16</v>
      </c>
      <c r="B27" s="186">
        <f>Inputs!C$2</f>
        <v>47</v>
      </c>
      <c r="C27" s="151">
        <v>941240</v>
      </c>
      <c r="D27" s="185" t="s">
        <v>4</v>
      </c>
      <c r="E27" s="148">
        <v>60</v>
      </c>
      <c r="F27" s="185" t="s">
        <v>112</v>
      </c>
      <c r="G27" s="185"/>
      <c r="H27" s="188" t="s">
        <v>184</v>
      </c>
      <c r="I27" s="205">
        <f t="shared" si="0"/>
        <v>1251</v>
      </c>
      <c r="J27" s="186">
        <f t="shared" si="1"/>
        <v>203</v>
      </c>
      <c r="K27" s="164">
        <v>1454</v>
      </c>
      <c r="L27" s="206">
        <f t="shared" si="2"/>
        <v>20.85</v>
      </c>
      <c r="M27" s="151">
        <v>135251</v>
      </c>
      <c r="N27" s="152" t="s">
        <v>234</v>
      </c>
      <c r="O27" s="157" t="s">
        <v>47</v>
      </c>
      <c r="P27" s="184">
        <f>IF(D27=Inputs!F$4,Inputs!I$4,IF(D27=Inputs!F$2,Inputs!I$2,IF(D27=Inputs!F$3,Inputs!I$3,IF(D27=Inputs!F$5,Inputs!I$5,"NA"))))</f>
        <v>24.607142857142858</v>
      </c>
      <c r="Q27" s="268">
        <f t="shared" si="3"/>
        <v>20</v>
      </c>
    </row>
    <row r="28" spans="1:17" x14ac:dyDescent="0.25">
      <c r="A28" s="148">
        <v>17</v>
      </c>
      <c r="B28" s="186">
        <f>Inputs!C$2</f>
        <v>47</v>
      </c>
      <c r="C28" s="151">
        <v>941241</v>
      </c>
      <c r="D28" s="185" t="s">
        <v>4</v>
      </c>
      <c r="E28" s="148">
        <v>60</v>
      </c>
      <c r="F28" s="185" t="s">
        <v>112</v>
      </c>
      <c r="G28" s="185"/>
      <c r="H28" s="188" t="s">
        <v>184</v>
      </c>
      <c r="I28" s="205">
        <f t="shared" si="0"/>
        <v>1255</v>
      </c>
      <c r="J28" s="186">
        <f t="shared" si="1"/>
        <v>203</v>
      </c>
      <c r="K28" s="151">
        <v>1458</v>
      </c>
      <c r="L28" s="206">
        <f t="shared" si="2"/>
        <v>20.916666666666668</v>
      </c>
      <c r="M28" s="151">
        <v>135251</v>
      </c>
      <c r="N28" s="152" t="s">
        <v>234</v>
      </c>
      <c r="O28" s="157" t="s">
        <v>47</v>
      </c>
      <c r="P28" s="184">
        <f>IF(D28=Inputs!F$4,Inputs!I$4,IF(D28=Inputs!F$2,Inputs!I$2,IF(D28=Inputs!F$3,Inputs!I$3,IF(D28=Inputs!F$5,Inputs!I$5,"NA"))))</f>
        <v>24.607142857142858</v>
      </c>
      <c r="Q28" s="268">
        <f t="shared" si="3"/>
        <v>20</v>
      </c>
    </row>
    <row r="29" spans="1:17" x14ac:dyDescent="0.25">
      <c r="A29" s="148">
        <v>18</v>
      </c>
      <c r="B29" s="186">
        <f>Inputs!C$2</f>
        <v>47</v>
      </c>
      <c r="C29" s="151">
        <v>941242</v>
      </c>
      <c r="D29" s="185" t="s">
        <v>167</v>
      </c>
      <c r="E29" s="148">
        <v>60</v>
      </c>
      <c r="F29" s="185" t="s">
        <v>112</v>
      </c>
      <c r="G29" s="185"/>
      <c r="H29" s="188" t="s">
        <v>184</v>
      </c>
      <c r="I29" s="205">
        <f t="shared" si="0"/>
        <v>1435</v>
      </c>
      <c r="J29" s="186">
        <f t="shared" si="1"/>
        <v>203</v>
      </c>
      <c r="K29" s="151">
        <v>1638</v>
      </c>
      <c r="L29" s="206">
        <f t="shared" si="2"/>
        <v>23.916666666666668</v>
      </c>
      <c r="M29" s="151">
        <v>135251</v>
      </c>
      <c r="N29" s="152" t="s">
        <v>234</v>
      </c>
      <c r="O29" s="157" t="s">
        <v>47</v>
      </c>
      <c r="P29" s="184">
        <f>IF(D29=Inputs!F$4,Inputs!I$4,IF(D29=Inputs!F$2,Inputs!I$2,IF(D29=Inputs!F$3,Inputs!I$3,IF(D29=Inputs!F$5,Inputs!I$5,"NA"))))</f>
        <v>58.892857142857146</v>
      </c>
      <c r="Q29" s="268">
        <f t="shared" si="3"/>
        <v>23</v>
      </c>
    </row>
    <row r="30" spans="1:17" x14ac:dyDescent="0.25">
      <c r="A30" s="148">
        <v>25</v>
      </c>
      <c r="B30" s="186">
        <f>Inputs!C$2</f>
        <v>47</v>
      </c>
      <c r="C30" s="151">
        <v>941243</v>
      </c>
      <c r="D30" s="185" t="s">
        <v>167</v>
      </c>
      <c r="E30" s="148">
        <v>60</v>
      </c>
      <c r="F30" s="185" t="s">
        <v>112</v>
      </c>
      <c r="G30" s="185"/>
      <c r="H30" s="188" t="s">
        <v>184</v>
      </c>
      <c r="I30" s="205">
        <f t="shared" si="0"/>
        <v>1481</v>
      </c>
      <c r="J30" s="186">
        <f t="shared" si="1"/>
        <v>203</v>
      </c>
      <c r="K30" s="151">
        <v>1684</v>
      </c>
      <c r="L30" s="206">
        <f t="shared" si="2"/>
        <v>24.683333333333334</v>
      </c>
      <c r="M30" s="151">
        <v>135251</v>
      </c>
      <c r="N30" s="152" t="s">
        <v>234</v>
      </c>
      <c r="O30" s="157" t="s">
        <v>48</v>
      </c>
      <c r="P30" s="184">
        <f>IF(D30=Inputs!F$4,Inputs!I$4,IF(D30=Inputs!F$2,Inputs!I$2,IF(D30=Inputs!F$3,Inputs!I$3,IF(D30=Inputs!F$5,Inputs!I$5,"NA"))))</f>
        <v>58.892857142857146</v>
      </c>
      <c r="Q30" s="268">
        <f t="shared" si="3"/>
        <v>24</v>
      </c>
    </row>
    <row r="31" spans="1:17" x14ac:dyDescent="0.25">
      <c r="A31" s="148">
        <v>26</v>
      </c>
      <c r="B31" s="186">
        <f>Inputs!C$2</f>
        <v>47</v>
      </c>
      <c r="C31" s="151">
        <v>941244</v>
      </c>
      <c r="D31" s="185" t="s">
        <v>5</v>
      </c>
      <c r="E31" s="148">
        <v>60</v>
      </c>
      <c r="F31" s="185" t="s">
        <v>112</v>
      </c>
      <c r="G31" s="185"/>
      <c r="H31" s="188" t="s">
        <v>184</v>
      </c>
      <c r="I31" s="205">
        <f t="shared" si="0"/>
        <v>1423</v>
      </c>
      <c r="J31" s="186">
        <f t="shared" si="1"/>
        <v>203</v>
      </c>
      <c r="K31" s="151">
        <v>1626</v>
      </c>
      <c r="L31" s="206">
        <f t="shared" si="2"/>
        <v>23.716666666666665</v>
      </c>
      <c r="M31" s="151">
        <v>135251</v>
      </c>
      <c r="N31" s="152" t="s">
        <v>234</v>
      </c>
      <c r="O31" s="157" t="s">
        <v>47</v>
      </c>
      <c r="P31" s="184">
        <f>IF(D31=Inputs!F$4,Inputs!I$4,IF(D31=Inputs!F$2,Inputs!I$2,IF(D31=Inputs!F$3,Inputs!I$3,IF(D31=Inputs!F$5,Inputs!I$5,"NA"))))</f>
        <v>33.464285714285715</v>
      </c>
      <c r="Q31" s="268">
        <f t="shared" si="3"/>
        <v>23</v>
      </c>
    </row>
    <row r="32" spans="1:17" x14ac:dyDescent="0.25">
      <c r="A32" s="148">
        <v>27</v>
      </c>
      <c r="B32" s="186">
        <f>Inputs!C$2</f>
        <v>47</v>
      </c>
      <c r="C32" s="151">
        <v>941245</v>
      </c>
      <c r="D32" s="185" t="s">
        <v>167</v>
      </c>
      <c r="E32" s="148">
        <v>60</v>
      </c>
      <c r="F32" s="185" t="s">
        <v>112</v>
      </c>
      <c r="G32" s="185"/>
      <c r="H32" s="188" t="s">
        <v>184</v>
      </c>
      <c r="I32" s="205">
        <f t="shared" si="0"/>
        <v>1501</v>
      </c>
      <c r="J32" s="186">
        <f t="shared" si="1"/>
        <v>203</v>
      </c>
      <c r="K32" s="151">
        <v>1704</v>
      </c>
      <c r="L32" s="206">
        <f t="shared" si="2"/>
        <v>25.016666666666666</v>
      </c>
      <c r="M32" s="151">
        <v>135251</v>
      </c>
      <c r="N32" s="152" t="s">
        <v>234</v>
      </c>
      <c r="O32" s="157" t="s">
        <v>48</v>
      </c>
      <c r="P32" s="184">
        <f>IF(D32=Inputs!F$4,Inputs!I$4,IF(D32=Inputs!F$2,Inputs!I$2,IF(D32=Inputs!F$3,Inputs!I$3,IF(D32=Inputs!F$5,Inputs!I$5,"NA"))))</f>
        <v>58.892857142857146</v>
      </c>
      <c r="Q32" s="268">
        <f t="shared" si="3"/>
        <v>25</v>
      </c>
    </row>
    <row r="33" spans="1:17" x14ac:dyDescent="0.25">
      <c r="A33" s="148">
        <v>28</v>
      </c>
      <c r="B33" s="186">
        <f>Inputs!C$2</f>
        <v>47</v>
      </c>
      <c r="C33" s="151">
        <v>941246</v>
      </c>
      <c r="D33" s="185" t="s">
        <v>4</v>
      </c>
      <c r="E33" s="148">
        <v>60</v>
      </c>
      <c r="F33" s="185" t="s">
        <v>112</v>
      </c>
      <c r="G33" s="185"/>
      <c r="H33" s="188" t="s">
        <v>184</v>
      </c>
      <c r="I33" s="205">
        <f t="shared" si="0"/>
        <v>1325</v>
      </c>
      <c r="J33" s="186">
        <f t="shared" si="1"/>
        <v>203</v>
      </c>
      <c r="K33" s="151">
        <v>1528</v>
      </c>
      <c r="L33" s="206">
        <f t="shared" si="2"/>
        <v>22.083333333333332</v>
      </c>
      <c r="M33" s="151">
        <v>135251</v>
      </c>
      <c r="N33" s="152" t="s">
        <v>234</v>
      </c>
      <c r="O33" s="157" t="s">
        <v>47</v>
      </c>
      <c r="P33" s="184">
        <f>IF(D33=Inputs!F$4,Inputs!I$4,IF(D33=Inputs!F$2,Inputs!I$2,IF(D33=Inputs!F$3,Inputs!I$3,IF(D33=Inputs!F$5,Inputs!I$5,"NA"))))</f>
        <v>24.607142857142858</v>
      </c>
      <c r="Q33" s="268">
        <f t="shared" si="3"/>
        <v>22</v>
      </c>
    </row>
    <row r="34" spans="1:17" x14ac:dyDescent="0.25">
      <c r="A34" s="148">
        <v>1</v>
      </c>
      <c r="B34" s="186">
        <f>Inputs!C$2</f>
        <v>47</v>
      </c>
      <c r="C34" s="151">
        <v>941247</v>
      </c>
      <c r="D34" s="185" t="s">
        <v>4</v>
      </c>
      <c r="E34" s="148">
        <v>60</v>
      </c>
      <c r="F34" s="185" t="s">
        <v>112</v>
      </c>
      <c r="G34" s="185"/>
      <c r="H34" s="188" t="s">
        <v>184</v>
      </c>
      <c r="I34" s="205">
        <f t="shared" si="0"/>
        <v>1267</v>
      </c>
      <c r="J34" s="186">
        <f t="shared" si="1"/>
        <v>203</v>
      </c>
      <c r="K34" s="151">
        <v>1470</v>
      </c>
      <c r="L34" s="206">
        <f t="shared" si="2"/>
        <v>21.116666666666667</v>
      </c>
      <c r="M34" s="151">
        <v>135251</v>
      </c>
      <c r="N34" s="152" t="s">
        <v>234</v>
      </c>
      <c r="O34" s="157" t="s">
        <v>47</v>
      </c>
      <c r="P34" s="184">
        <f>IF(D34=Inputs!F$4,Inputs!I$4,IF(D34=Inputs!F$2,Inputs!I$2,IF(D34=Inputs!F$3,Inputs!I$3,IF(D34=Inputs!F$5,Inputs!I$5,"NA"))))</f>
        <v>24.607142857142858</v>
      </c>
      <c r="Q34" s="268">
        <f t="shared" si="3"/>
        <v>21</v>
      </c>
    </row>
    <row r="35" spans="1:17" x14ac:dyDescent="0.25">
      <c r="A35" s="148">
        <v>5</v>
      </c>
      <c r="B35" s="186">
        <f>Inputs!C$2</f>
        <v>47</v>
      </c>
      <c r="C35" s="151">
        <v>941248</v>
      </c>
      <c r="D35" s="185" t="s">
        <v>4</v>
      </c>
      <c r="E35" s="148">
        <v>60</v>
      </c>
      <c r="F35" s="185" t="s">
        <v>112</v>
      </c>
      <c r="G35" s="185"/>
      <c r="H35" s="188" t="s">
        <v>184</v>
      </c>
      <c r="I35" s="205">
        <f t="shared" si="0"/>
        <v>1277</v>
      </c>
      <c r="J35" s="186">
        <f t="shared" si="1"/>
        <v>203</v>
      </c>
      <c r="K35" s="151">
        <v>1480</v>
      </c>
      <c r="L35" s="206">
        <f t="shared" si="2"/>
        <v>21.283333333333335</v>
      </c>
      <c r="M35" s="151">
        <v>135251</v>
      </c>
      <c r="N35" s="152" t="s">
        <v>234</v>
      </c>
      <c r="O35" s="157" t="s">
        <v>47</v>
      </c>
      <c r="P35" s="184">
        <f>IF(D35=Inputs!F$4,Inputs!I$4,IF(D35=Inputs!F$2,Inputs!I$2,IF(D35=Inputs!F$3,Inputs!I$3,IF(D35=Inputs!F$5,Inputs!I$5,"NA"))))</f>
        <v>24.607142857142858</v>
      </c>
      <c r="Q35" s="268">
        <f t="shared" si="3"/>
        <v>21</v>
      </c>
    </row>
    <row r="36" spans="1:17" x14ac:dyDescent="0.25">
      <c r="A36" s="148">
        <v>7</v>
      </c>
      <c r="B36" s="186">
        <f>Inputs!C$2</f>
        <v>47</v>
      </c>
      <c r="C36" s="151">
        <v>941249</v>
      </c>
      <c r="D36" s="185" t="s">
        <v>4</v>
      </c>
      <c r="E36" s="148">
        <v>60</v>
      </c>
      <c r="F36" s="185" t="s">
        <v>112</v>
      </c>
      <c r="G36" s="185"/>
      <c r="H36" s="188" t="s">
        <v>184</v>
      </c>
      <c r="I36" s="205">
        <f t="shared" si="0"/>
        <v>1297</v>
      </c>
      <c r="J36" s="186">
        <f t="shared" si="1"/>
        <v>203</v>
      </c>
      <c r="K36" s="151">
        <v>1500</v>
      </c>
      <c r="L36" s="206">
        <f t="shared" si="2"/>
        <v>21.616666666666667</v>
      </c>
      <c r="M36" s="151">
        <v>135251</v>
      </c>
      <c r="N36" s="152" t="s">
        <v>234</v>
      </c>
      <c r="O36" s="157" t="s">
        <v>47</v>
      </c>
      <c r="P36" s="184">
        <f>IF(D36=Inputs!F$4,Inputs!I$4,IF(D36=Inputs!F$2,Inputs!I$2,IF(D36=Inputs!F$3,Inputs!I$3,IF(D36=Inputs!F$5,Inputs!I$5,"NA"))))</f>
        <v>24.607142857142858</v>
      </c>
      <c r="Q36" s="268">
        <f t="shared" si="3"/>
        <v>21</v>
      </c>
    </row>
    <row r="37" spans="1:17" x14ac:dyDescent="0.25">
      <c r="A37" s="148">
        <v>14</v>
      </c>
      <c r="B37" s="186">
        <f>Inputs!C$2</f>
        <v>47</v>
      </c>
      <c r="C37" s="151">
        <v>941250</v>
      </c>
      <c r="D37" s="185" t="s">
        <v>4</v>
      </c>
      <c r="E37" s="148">
        <v>60</v>
      </c>
      <c r="F37" s="185" t="s">
        <v>112</v>
      </c>
      <c r="G37" s="185"/>
      <c r="H37" s="188" t="s">
        <v>184</v>
      </c>
      <c r="I37" s="205">
        <f t="shared" si="0"/>
        <v>1299</v>
      </c>
      <c r="J37" s="186">
        <f t="shared" si="1"/>
        <v>203</v>
      </c>
      <c r="K37" s="151">
        <v>1502</v>
      </c>
      <c r="L37" s="206">
        <f t="shared" si="2"/>
        <v>21.65</v>
      </c>
      <c r="M37" s="151">
        <v>135251</v>
      </c>
      <c r="N37" s="152" t="s">
        <v>234</v>
      </c>
      <c r="O37" s="157" t="s">
        <v>47</v>
      </c>
      <c r="P37" s="184">
        <f>IF(D37=Inputs!F$4,Inputs!I$4,IF(D37=Inputs!F$2,Inputs!I$2,IF(D37=Inputs!F$3,Inputs!I$3,IF(D37=Inputs!F$5,Inputs!I$5,"NA"))))</f>
        <v>24.607142857142858</v>
      </c>
      <c r="Q37" s="268">
        <f t="shared" si="3"/>
        <v>21</v>
      </c>
    </row>
    <row r="38" spans="1:17" x14ac:dyDescent="0.25">
      <c r="A38" s="148">
        <v>30</v>
      </c>
      <c r="B38" s="186">
        <f>Inputs!C$2</f>
        <v>47</v>
      </c>
      <c r="C38" s="151">
        <v>1262851</v>
      </c>
      <c r="D38" s="185" t="s">
        <v>6</v>
      </c>
      <c r="E38" s="148">
        <v>60</v>
      </c>
      <c r="F38" s="185"/>
      <c r="G38" s="185" t="s">
        <v>10</v>
      </c>
      <c r="H38" s="188" t="s">
        <v>184</v>
      </c>
      <c r="I38" s="205" t="str">
        <f t="shared" si="0"/>
        <v>NA</v>
      </c>
      <c r="J38" s="186">
        <f t="shared" si="1"/>
        <v>203</v>
      </c>
      <c r="K38" s="151"/>
      <c r="L38" s="206" t="str">
        <f t="shared" si="2"/>
        <v>NA</v>
      </c>
      <c r="M38" s="151">
        <v>135251</v>
      </c>
      <c r="N38" s="152" t="s">
        <v>234</v>
      </c>
      <c r="O38" s="157" t="s">
        <v>10</v>
      </c>
      <c r="P38" s="184" t="str">
        <f>IF(D38=Inputs!F$4,Inputs!I$4,IF(D38=Inputs!F$2,Inputs!I$2,IF(D38=Inputs!F$3,Inputs!I$3,IF(D38=Inputs!F$5,Inputs!I$5,"NA"))))</f>
        <v>NA</v>
      </c>
      <c r="Q38" s="267"/>
    </row>
    <row r="39" spans="1:17" x14ac:dyDescent="0.25">
      <c r="A39" s="148">
        <v>33</v>
      </c>
      <c r="B39" s="186">
        <f>Inputs!C$2</f>
        <v>47</v>
      </c>
      <c r="C39" s="151"/>
      <c r="D39" s="185"/>
      <c r="E39" s="148"/>
      <c r="F39" s="185"/>
      <c r="G39" s="185"/>
      <c r="H39" s="188"/>
      <c r="I39" s="205" t="str">
        <f t="shared" ref="I39:I70" si="4">IF(K39&gt;0,K39-J39,"NA")</f>
        <v>NA</v>
      </c>
      <c r="J39" s="186">
        <f t="shared" ref="J39:J72" si="5">IF(H39="NEW",203, IF(H39="OLD",192,0))</f>
        <v>0</v>
      </c>
      <c r="K39" s="151"/>
      <c r="L39" s="206" t="str">
        <f t="shared" ref="L39:L72" si="6">IF(K39&gt;0,I39/E39,"NA")</f>
        <v>NA</v>
      </c>
      <c r="M39" s="151"/>
      <c r="N39" s="152"/>
      <c r="O39" s="157"/>
      <c r="P39" s="184" t="str">
        <f>IF(D39=Inputs!F$4,Inputs!I$4,IF(D39=Inputs!F$2,Inputs!I$2,IF(D39=Inputs!F$3,Inputs!I$3,IF(D39=Inputs!F$5,Inputs!I$5,"NA"))))</f>
        <v>NA</v>
      </c>
      <c r="Q39" s="267"/>
    </row>
    <row r="40" spans="1:17" x14ac:dyDescent="0.25">
      <c r="A40" s="148">
        <v>34</v>
      </c>
      <c r="B40" s="186">
        <f>Inputs!C$2</f>
        <v>47</v>
      </c>
      <c r="C40" s="151"/>
      <c r="D40" s="185"/>
      <c r="E40" s="148"/>
      <c r="F40" s="185"/>
      <c r="G40" s="185"/>
      <c r="H40" s="188"/>
      <c r="I40" s="205" t="str">
        <f t="shared" si="4"/>
        <v>NA</v>
      </c>
      <c r="J40" s="186">
        <f t="shared" si="5"/>
        <v>0</v>
      </c>
      <c r="K40" s="151"/>
      <c r="L40" s="206" t="str">
        <f t="shared" si="6"/>
        <v>NA</v>
      </c>
      <c r="M40" s="151"/>
      <c r="N40" s="152"/>
      <c r="O40" s="157"/>
      <c r="P40" s="184" t="str">
        <f>IF(D40=Inputs!F$4,Inputs!I$4,IF(D40=Inputs!F$2,Inputs!I$2,IF(D40=Inputs!F$3,Inputs!I$3,IF(D40=Inputs!F$5,Inputs!I$5,"NA"))))</f>
        <v>NA</v>
      </c>
      <c r="Q40" s="267"/>
    </row>
    <row r="41" spans="1:17" x14ac:dyDescent="0.25">
      <c r="A41" s="148">
        <v>35</v>
      </c>
      <c r="B41" s="186">
        <f>Inputs!C$2</f>
        <v>47</v>
      </c>
      <c r="C41" s="151"/>
      <c r="D41" s="185"/>
      <c r="E41" s="148"/>
      <c r="F41" s="185"/>
      <c r="G41" s="185"/>
      <c r="H41" s="188"/>
      <c r="I41" s="205" t="str">
        <f t="shared" si="4"/>
        <v>NA</v>
      </c>
      <c r="J41" s="186">
        <f t="shared" si="5"/>
        <v>0</v>
      </c>
      <c r="K41" s="151"/>
      <c r="L41" s="206" t="str">
        <f t="shared" si="6"/>
        <v>NA</v>
      </c>
      <c r="M41" s="151"/>
      <c r="N41" s="152"/>
      <c r="O41" s="157"/>
      <c r="P41" s="184" t="str">
        <f>IF(D41=Inputs!F$4,Inputs!I$4,IF(D41=Inputs!F$2,Inputs!I$2,IF(D41=Inputs!F$3,Inputs!I$3,IF(D41=Inputs!F$5,Inputs!I$5,"NA"))))</f>
        <v>NA</v>
      </c>
      <c r="Q41" s="267"/>
    </row>
    <row r="42" spans="1:17" x14ac:dyDescent="0.25">
      <c r="A42" s="148">
        <v>36</v>
      </c>
      <c r="B42" s="186">
        <f>Inputs!C$2</f>
        <v>47</v>
      </c>
      <c r="C42" s="151"/>
      <c r="D42" s="185"/>
      <c r="E42" s="148"/>
      <c r="F42" s="185"/>
      <c r="G42" s="185"/>
      <c r="H42" s="188"/>
      <c r="I42" s="205" t="str">
        <f t="shared" si="4"/>
        <v>NA</v>
      </c>
      <c r="J42" s="186">
        <f t="shared" si="5"/>
        <v>0</v>
      </c>
      <c r="K42" s="151"/>
      <c r="L42" s="206" t="str">
        <f t="shared" si="6"/>
        <v>NA</v>
      </c>
      <c r="M42" s="151"/>
      <c r="N42" s="152"/>
      <c r="O42" s="157"/>
      <c r="P42" s="184" t="str">
        <f>IF(D42=Inputs!F$4,Inputs!I$4,IF(D42=Inputs!F$2,Inputs!I$2,IF(D42=Inputs!F$3,Inputs!I$3,IF(D42=Inputs!F$5,Inputs!I$5,"NA"))))</f>
        <v>NA</v>
      </c>
      <c r="Q42" s="267"/>
    </row>
    <row r="43" spans="1:17" x14ac:dyDescent="0.25">
      <c r="A43" s="148">
        <v>37</v>
      </c>
      <c r="B43" s="186">
        <f>Inputs!C$2</f>
        <v>47</v>
      </c>
      <c r="C43" s="151"/>
      <c r="D43" s="185"/>
      <c r="E43" s="148"/>
      <c r="F43" s="185"/>
      <c r="G43" s="185"/>
      <c r="H43" s="188"/>
      <c r="I43" s="205" t="str">
        <f t="shared" si="4"/>
        <v>NA</v>
      </c>
      <c r="J43" s="186">
        <f t="shared" si="5"/>
        <v>0</v>
      </c>
      <c r="K43" s="151"/>
      <c r="L43" s="206" t="str">
        <f t="shared" si="6"/>
        <v>NA</v>
      </c>
      <c r="M43" s="151"/>
      <c r="N43" s="152"/>
      <c r="O43" s="157"/>
      <c r="P43" s="184" t="str">
        <f>IF(D43=Inputs!F$4,Inputs!I$4,IF(D43=Inputs!F$2,Inputs!I$2,IF(D43=Inputs!F$3,Inputs!I$3,IF(D43=Inputs!F$5,Inputs!I$5,"NA"))))</f>
        <v>NA</v>
      </c>
      <c r="Q43" s="267"/>
    </row>
    <row r="44" spans="1:17" x14ac:dyDescent="0.25">
      <c r="A44" s="148">
        <v>38</v>
      </c>
      <c r="B44" s="186">
        <f>Inputs!C$2</f>
        <v>47</v>
      </c>
      <c r="C44" s="151"/>
      <c r="D44" s="185"/>
      <c r="E44" s="148"/>
      <c r="F44" s="185"/>
      <c r="G44" s="185"/>
      <c r="H44" s="188"/>
      <c r="I44" s="205" t="str">
        <f t="shared" si="4"/>
        <v>NA</v>
      </c>
      <c r="J44" s="186">
        <f t="shared" si="5"/>
        <v>0</v>
      </c>
      <c r="K44" s="151"/>
      <c r="L44" s="206" t="str">
        <f t="shared" si="6"/>
        <v>NA</v>
      </c>
      <c r="M44" s="151"/>
      <c r="N44" s="152"/>
      <c r="O44" s="157"/>
      <c r="P44" s="184" t="str">
        <f>IF(D44=Inputs!F$4,Inputs!I$4,IF(D44=Inputs!F$2,Inputs!I$2,IF(D44=Inputs!F$3,Inputs!I$3,IF(D44=Inputs!F$5,Inputs!I$5,"NA"))))</f>
        <v>NA</v>
      </c>
      <c r="Q44" s="267"/>
    </row>
    <row r="45" spans="1:17" x14ac:dyDescent="0.25">
      <c r="A45" s="148">
        <v>39</v>
      </c>
      <c r="B45" s="186">
        <f>Inputs!C$2</f>
        <v>47</v>
      </c>
      <c r="C45" s="151"/>
      <c r="D45" s="185"/>
      <c r="E45" s="148"/>
      <c r="F45" s="185"/>
      <c r="G45" s="185"/>
      <c r="H45" s="188"/>
      <c r="I45" s="205" t="str">
        <f t="shared" si="4"/>
        <v>NA</v>
      </c>
      <c r="J45" s="186">
        <f t="shared" si="5"/>
        <v>0</v>
      </c>
      <c r="K45" s="151"/>
      <c r="L45" s="206" t="str">
        <f t="shared" si="6"/>
        <v>NA</v>
      </c>
      <c r="M45" s="151"/>
      <c r="N45" s="152"/>
      <c r="O45" s="157"/>
      <c r="P45" s="184" t="str">
        <f>IF(D45=Inputs!F$4,Inputs!I$4,IF(D45=Inputs!F$2,Inputs!I$2,IF(D45=Inputs!F$3,Inputs!I$3,IF(D45=Inputs!F$5,Inputs!I$5,"NA"))))</f>
        <v>NA</v>
      </c>
      <c r="Q45" s="267"/>
    </row>
    <row r="46" spans="1:17" x14ac:dyDescent="0.25">
      <c r="A46" s="148">
        <v>40</v>
      </c>
      <c r="B46" s="186">
        <f>Inputs!C$2</f>
        <v>47</v>
      </c>
      <c r="C46" s="151"/>
      <c r="D46" s="185"/>
      <c r="E46" s="148"/>
      <c r="F46" s="185"/>
      <c r="G46" s="185"/>
      <c r="H46" s="188"/>
      <c r="I46" s="205" t="str">
        <f t="shared" si="4"/>
        <v>NA</v>
      </c>
      <c r="J46" s="186">
        <f t="shared" si="5"/>
        <v>0</v>
      </c>
      <c r="K46" s="151"/>
      <c r="L46" s="206" t="str">
        <f t="shared" si="6"/>
        <v>NA</v>
      </c>
      <c r="M46" s="151"/>
      <c r="N46" s="152"/>
      <c r="O46" s="164"/>
      <c r="P46" s="184" t="str">
        <f>IF(D46=Inputs!F$4,Inputs!I$4,IF(D46=Inputs!F$2,Inputs!I$2,IF(D46=Inputs!F$3,Inputs!I$3,IF(D46=Inputs!F$5,Inputs!I$5,"NA"))))</f>
        <v>NA</v>
      </c>
      <c r="Q46" s="267"/>
    </row>
    <row r="47" spans="1:17" x14ac:dyDescent="0.25">
      <c r="A47" s="148">
        <v>41</v>
      </c>
      <c r="B47" s="186">
        <f>Inputs!C$2</f>
        <v>47</v>
      </c>
      <c r="C47" s="151"/>
      <c r="D47" s="185"/>
      <c r="E47" s="148"/>
      <c r="F47" s="185"/>
      <c r="G47" s="185"/>
      <c r="H47" s="188"/>
      <c r="I47" s="205" t="str">
        <f t="shared" si="4"/>
        <v>NA</v>
      </c>
      <c r="J47" s="186">
        <f t="shared" si="5"/>
        <v>0</v>
      </c>
      <c r="K47" s="151"/>
      <c r="L47" s="206" t="str">
        <f t="shared" si="6"/>
        <v>NA</v>
      </c>
      <c r="M47" s="151"/>
      <c r="N47" s="152"/>
      <c r="O47" s="164"/>
      <c r="P47" s="184" t="str">
        <f>IF(D47=Inputs!F$4,Inputs!I$4,IF(D47=Inputs!F$2,Inputs!I$2,IF(D47=Inputs!F$3,Inputs!I$3,IF(D47=Inputs!F$5,Inputs!I$5,"NA"))))</f>
        <v>NA</v>
      </c>
      <c r="Q47" s="267"/>
    </row>
    <row r="48" spans="1:17" x14ac:dyDescent="0.25">
      <c r="A48" s="148">
        <v>42</v>
      </c>
      <c r="B48" s="186">
        <f>Inputs!C$2</f>
        <v>47</v>
      </c>
      <c r="C48" s="151"/>
      <c r="D48" s="185"/>
      <c r="E48" s="148"/>
      <c r="F48" s="185"/>
      <c r="G48" s="185"/>
      <c r="H48" s="188"/>
      <c r="I48" s="205" t="str">
        <f t="shared" si="4"/>
        <v>NA</v>
      </c>
      <c r="J48" s="186">
        <f t="shared" si="5"/>
        <v>0</v>
      </c>
      <c r="K48" s="151"/>
      <c r="L48" s="206" t="str">
        <f t="shared" si="6"/>
        <v>NA</v>
      </c>
      <c r="M48" s="151"/>
      <c r="N48" s="152"/>
      <c r="O48" s="164"/>
      <c r="P48" s="184" t="str">
        <f>IF(D48=Inputs!F$4,Inputs!I$4,IF(D48=Inputs!F$2,Inputs!I$2,IF(D48=Inputs!F$3,Inputs!I$3,IF(D48=Inputs!F$5,Inputs!I$5,"NA"))))</f>
        <v>NA</v>
      </c>
      <c r="Q48" s="267"/>
    </row>
    <row r="49" spans="1:17" x14ac:dyDescent="0.25">
      <c r="A49" s="148">
        <v>43</v>
      </c>
      <c r="B49" s="186">
        <f>Inputs!C$2</f>
        <v>47</v>
      </c>
      <c r="C49" s="151"/>
      <c r="D49" s="185"/>
      <c r="E49" s="148"/>
      <c r="F49" s="185"/>
      <c r="G49" s="185"/>
      <c r="H49" s="188"/>
      <c r="I49" s="205" t="str">
        <f t="shared" si="4"/>
        <v>NA</v>
      </c>
      <c r="J49" s="186">
        <f t="shared" si="5"/>
        <v>0</v>
      </c>
      <c r="K49" s="151"/>
      <c r="L49" s="206" t="str">
        <f t="shared" si="6"/>
        <v>NA</v>
      </c>
      <c r="M49" s="151"/>
      <c r="N49" s="152"/>
      <c r="O49" s="164"/>
      <c r="P49" s="184" t="str">
        <f>IF(D49=Inputs!F$4,Inputs!I$4,IF(D49=Inputs!F$2,Inputs!I$2,IF(D49=Inputs!F$3,Inputs!I$3,IF(D49=Inputs!F$5,Inputs!I$5,"NA"))))</f>
        <v>NA</v>
      </c>
      <c r="Q49" s="267"/>
    </row>
    <row r="50" spans="1:17" x14ac:dyDescent="0.25">
      <c r="A50" s="148">
        <v>44</v>
      </c>
      <c r="B50" s="186">
        <f>Inputs!C$2</f>
        <v>47</v>
      </c>
      <c r="C50" s="151"/>
      <c r="D50" s="185"/>
      <c r="E50" s="148"/>
      <c r="F50" s="185"/>
      <c r="G50" s="185"/>
      <c r="H50" s="188"/>
      <c r="I50" s="205" t="str">
        <f t="shared" si="4"/>
        <v>NA</v>
      </c>
      <c r="J50" s="186">
        <f t="shared" si="5"/>
        <v>0</v>
      </c>
      <c r="K50" s="151"/>
      <c r="L50" s="206" t="str">
        <f t="shared" si="6"/>
        <v>NA</v>
      </c>
      <c r="M50" s="151"/>
      <c r="N50" s="152"/>
      <c r="O50" s="151"/>
      <c r="P50" s="184" t="str">
        <f>IF(D50=Inputs!F$4,Inputs!I$4,IF(D50=Inputs!F$2,Inputs!I$2,IF(D50=Inputs!F$3,Inputs!I$3,IF(D50=Inputs!F$5,Inputs!I$5,"NA"))))</f>
        <v>NA</v>
      </c>
      <c r="Q50" s="267"/>
    </row>
    <row r="51" spans="1:17" x14ac:dyDescent="0.25">
      <c r="A51" s="148">
        <v>45</v>
      </c>
      <c r="B51" s="186">
        <f>Inputs!C$2</f>
        <v>47</v>
      </c>
      <c r="C51" s="151"/>
      <c r="D51" s="185"/>
      <c r="E51" s="148"/>
      <c r="F51" s="185"/>
      <c r="G51" s="185"/>
      <c r="H51" s="188"/>
      <c r="I51" s="205" t="str">
        <f t="shared" si="4"/>
        <v>NA</v>
      </c>
      <c r="J51" s="186">
        <f t="shared" si="5"/>
        <v>0</v>
      </c>
      <c r="K51" s="151"/>
      <c r="L51" s="206" t="str">
        <f t="shared" si="6"/>
        <v>NA</v>
      </c>
      <c r="M51" s="151"/>
      <c r="N51" s="152"/>
      <c r="O51" s="151"/>
      <c r="P51" s="184" t="str">
        <f>IF(D51=Inputs!F$4,Inputs!I$4,IF(D51=Inputs!F$2,Inputs!I$2,IF(D51=Inputs!F$3,Inputs!I$3,IF(D51=Inputs!F$5,Inputs!I$5,"NA"))))</f>
        <v>NA</v>
      </c>
      <c r="Q51" s="267"/>
    </row>
    <row r="52" spans="1:17" x14ac:dyDescent="0.25">
      <c r="A52" s="148">
        <v>46</v>
      </c>
      <c r="B52" s="186">
        <f>Inputs!C$2</f>
        <v>47</v>
      </c>
      <c r="C52" s="151"/>
      <c r="D52" s="185"/>
      <c r="E52" s="148"/>
      <c r="F52" s="185"/>
      <c r="G52" s="185"/>
      <c r="H52" s="188"/>
      <c r="I52" s="205" t="str">
        <f t="shared" si="4"/>
        <v>NA</v>
      </c>
      <c r="J52" s="186">
        <f t="shared" si="5"/>
        <v>0</v>
      </c>
      <c r="K52" s="151"/>
      <c r="L52" s="206" t="str">
        <f t="shared" si="6"/>
        <v>NA</v>
      </c>
      <c r="M52" s="151"/>
      <c r="N52" s="152"/>
      <c r="O52" s="151"/>
      <c r="P52" s="184" t="str">
        <f>IF(D52=Inputs!F$4,Inputs!I$4,IF(D52=Inputs!F$2,Inputs!I$2,IF(D52=Inputs!F$3,Inputs!I$3,IF(D52=Inputs!F$5,Inputs!I$5,"NA"))))</f>
        <v>NA</v>
      </c>
      <c r="Q52" s="267"/>
    </row>
    <row r="53" spans="1:17" x14ac:dyDescent="0.25">
      <c r="A53" s="148">
        <v>47</v>
      </c>
      <c r="B53" s="186">
        <f>Inputs!C$2</f>
        <v>47</v>
      </c>
      <c r="C53" s="151"/>
      <c r="D53" s="185"/>
      <c r="E53" s="148"/>
      <c r="F53" s="185"/>
      <c r="G53" s="185"/>
      <c r="H53" s="188"/>
      <c r="I53" s="205" t="str">
        <f t="shared" si="4"/>
        <v>NA</v>
      </c>
      <c r="J53" s="186">
        <f t="shared" si="5"/>
        <v>0</v>
      </c>
      <c r="K53" s="151"/>
      <c r="L53" s="206" t="str">
        <f t="shared" si="6"/>
        <v>NA</v>
      </c>
      <c r="M53" s="151"/>
      <c r="N53" s="152"/>
      <c r="O53" s="151"/>
      <c r="P53" s="184" t="str">
        <f>IF(D53=Inputs!F$4,Inputs!I$4,IF(D53=Inputs!F$2,Inputs!I$2,IF(D53=Inputs!F$3,Inputs!I$3,IF(D53=Inputs!F$5,Inputs!I$5,"NA"))))</f>
        <v>NA</v>
      </c>
      <c r="Q53" s="267"/>
    </row>
    <row r="54" spans="1:17" x14ac:dyDescent="0.25">
      <c r="A54" s="148">
        <v>48</v>
      </c>
      <c r="B54" s="186">
        <f>Inputs!C$2</f>
        <v>47</v>
      </c>
      <c r="C54" s="151"/>
      <c r="D54" s="185"/>
      <c r="E54" s="148"/>
      <c r="F54" s="185"/>
      <c r="G54" s="185"/>
      <c r="H54" s="188"/>
      <c r="I54" s="205" t="str">
        <f t="shared" si="4"/>
        <v>NA</v>
      </c>
      <c r="J54" s="186">
        <f t="shared" si="5"/>
        <v>0</v>
      </c>
      <c r="K54" s="151"/>
      <c r="L54" s="206" t="str">
        <f t="shared" si="6"/>
        <v>NA</v>
      </c>
      <c r="M54" s="151"/>
      <c r="N54" s="152"/>
      <c r="O54" s="151"/>
      <c r="P54" s="184" t="str">
        <f>IF(D54=Inputs!F$4,Inputs!I$4,IF(D54=Inputs!F$2,Inputs!I$2,IF(D54=Inputs!F$3,Inputs!I$3,IF(D54=Inputs!F$5,Inputs!I$5,"NA"))))</f>
        <v>NA</v>
      </c>
      <c r="Q54" s="267"/>
    </row>
    <row r="55" spans="1:17" x14ac:dyDescent="0.25">
      <c r="A55" s="148">
        <v>49</v>
      </c>
      <c r="B55" s="186">
        <f>Inputs!C$2</f>
        <v>47</v>
      </c>
      <c r="C55" s="151"/>
      <c r="D55" s="185"/>
      <c r="E55" s="148"/>
      <c r="F55" s="185"/>
      <c r="G55" s="185"/>
      <c r="H55" s="188"/>
      <c r="I55" s="205" t="str">
        <f t="shared" si="4"/>
        <v>NA</v>
      </c>
      <c r="J55" s="186">
        <f t="shared" si="5"/>
        <v>0</v>
      </c>
      <c r="K55" s="151"/>
      <c r="L55" s="206" t="str">
        <f t="shared" si="6"/>
        <v>NA</v>
      </c>
      <c r="M55" s="151"/>
      <c r="N55" s="152"/>
      <c r="O55" s="151"/>
      <c r="P55" s="184" t="str">
        <f>IF(D55=Inputs!F$4,Inputs!I$4,IF(D55=Inputs!F$2,Inputs!I$2,IF(D55=Inputs!F$3,Inputs!I$3,IF(D55=Inputs!F$5,Inputs!I$5,"NA"))))</f>
        <v>NA</v>
      </c>
      <c r="Q55" s="267"/>
    </row>
    <row r="56" spans="1:17" x14ac:dyDescent="0.25">
      <c r="A56" s="148">
        <v>50</v>
      </c>
      <c r="B56" s="186">
        <f>Inputs!C$2</f>
        <v>47</v>
      </c>
      <c r="C56" s="151"/>
      <c r="D56" s="185"/>
      <c r="E56" s="148"/>
      <c r="F56" s="185"/>
      <c r="G56" s="185"/>
      <c r="H56" s="188"/>
      <c r="I56" s="205" t="str">
        <f t="shared" si="4"/>
        <v>NA</v>
      </c>
      <c r="J56" s="186">
        <f t="shared" si="5"/>
        <v>0</v>
      </c>
      <c r="K56" s="151"/>
      <c r="L56" s="206" t="str">
        <f t="shared" si="6"/>
        <v>NA</v>
      </c>
      <c r="M56" s="151"/>
      <c r="N56" s="152"/>
      <c r="O56" s="151"/>
      <c r="P56" s="184" t="str">
        <f>IF(D56=Inputs!F$4,Inputs!I$4,IF(D56=Inputs!F$2,Inputs!I$2,IF(D56=Inputs!F$3,Inputs!I$3,IF(D56=Inputs!F$5,Inputs!I$5,"NA"))))</f>
        <v>NA</v>
      </c>
      <c r="Q56" s="267"/>
    </row>
    <row r="57" spans="1:17" x14ac:dyDescent="0.25">
      <c r="A57" s="148">
        <v>51</v>
      </c>
      <c r="B57" s="186">
        <f>Inputs!C$2</f>
        <v>47</v>
      </c>
      <c r="C57" s="151"/>
      <c r="D57" s="185"/>
      <c r="E57" s="148"/>
      <c r="F57" s="185"/>
      <c r="G57" s="185"/>
      <c r="H57" s="188"/>
      <c r="I57" s="205" t="str">
        <f t="shared" si="4"/>
        <v>NA</v>
      </c>
      <c r="J57" s="186">
        <f t="shared" si="5"/>
        <v>0</v>
      </c>
      <c r="K57" s="151"/>
      <c r="L57" s="206" t="str">
        <f t="shared" si="6"/>
        <v>NA</v>
      </c>
      <c r="M57" s="151"/>
      <c r="N57" s="152"/>
      <c r="O57" s="151"/>
      <c r="P57" s="184" t="str">
        <f>IF(D57=Inputs!F$4,Inputs!I$4,IF(D57=Inputs!F$2,Inputs!I$2,IF(D57=Inputs!F$3,Inputs!I$3,IF(D57=Inputs!F$5,Inputs!I$5,"NA"))))</f>
        <v>NA</v>
      </c>
      <c r="Q57" s="267"/>
    </row>
    <row r="58" spans="1:17" x14ac:dyDescent="0.25">
      <c r="A58" s="148">
        <v>52</v>
      </c>
      <c r="B58" s="186">
        <f>Inputs!C$2</f>
        <v>47</v>
      </c>
      <c r="C58" s="151"/>
      <c r="D58" s="185"/>
      <c r="E58" s="148"/>
      <c r="F58" s="185"/>
      <c r="G58" s="185"/>
      <c r="H58" s="188"/>
      <c r="I58" s="205" t="str">
        <f t="shared" si="4"/>
        <v>NA</v>
      </c>
      <c r="J58" s="186">
        <f t="shared" si="5"/>
        <v>0</v>
      </c>
      <c r="K58" s="151"/>
      <c r="L58" s="206" t="str">
        <f t="shared" si="6"/>
        <v>NA</v>
      </c>
      <c r="M58" s="151"/>
      <c r="N58" s="152"/>
      <c r="O58" s="151"/>
      <c r="P58" s="184" t="str">
        <f>IF(D58=Inputs!F$4,Inputs!I$4,IF(D58=Inputs!F$2,Inputs!I$2,IF(D58=Inputs!F$3,Inputs!I$3,IF(D58=Inputs!F$5,Inputs!I$5,"NA"))))</f>
        <v>NA</v>
      </c>
      <c r="Q58" s="267"/>
    </row>
    <row r="59" spans="1:17" x14ac:dyDescent="0.25">
      <c r="A59" s="148">
        <v>53</v>
      </c>
      <c r="B59" s="186">
        <f>Inputs!C$2</f>
        <v>47</v>
      </c>
      <c r="C59" s="151"/>
      <c r="D59" s="185"/>
      <c r="E59" s="148"/>
      <c r="F59" s="185"/>
      <c r="G59" s="185"/>
      <c r="H59" s="188"/>
      <c r="I59" s="205" t="str">
        <f t="shared" si="4"/>
        <v>NA</v>
      </c>
      <c r="J59" s="186">
        <f t="shared" si="5"/>
        <v>0</v>
      </c>
      <c r="K59" s="151"/>
      <c r="L59" s="206" t="str">
        <f t="shared" si="6"/>
        <v>NA</v>
      </c>
      <c r="M59" s="151"/>
      <c r="N59" s="152"/>
      <c r="O59" s="151"/>
      <c r="P59" s="184" t="str">
        <f>IF(D59=Inputs!F$4,Inputs!I$4,IF(D59=Inputs!F$2,Inputs!I$2,IF(D59=Inputs!F$3,Inputs!I$3,IF(D59=Inputs!F$5,Inputs!I$5,"NA"))))</f>
        <v>NA</v>
      </c>
      <c r="Q59" s="267"/>
    </row>
    <row r="60" spans="1:17" x14ac:dyDescent="0.25">
      <c r="A60" s="148">
        <v>54</v>
      </c>
      <c r="B60" s="186">
        <f>Inputs!C$2</f>
        <v>47</v>
      </c>
      <c r="C60" s="151"/>
      <c r="D60" s="185"/>
      <c r="E60" s="148"/>
      <c r="F60" s="185"/>
      <c r="G60" s="185"/>
      <c r="H60" s="188"/>
      <c r="I60" s="205" t="str">
        <f t="shared" si="4"/>
        <v>NA</v>
      </c>
      <c r="J60" s="186">
        <f t="shared" si="5"/>
        <v>0</v>
      </c>
      <c r="K60" s="151"/>
      <c r="L60" s="206" t="str">
        <f t="shared" si="6"/>
        <v>NA</v>
      </c>
      <c r="M60" s="151"/>
      <c r="N60" s="152"/>
      <c r="O60" s="151"/>
      <c r="P60" s="184" t="str">
        <f>IF(D60=Inputs!F$4,Inputs!I$4,IF(D60=Inputs!F$2,Inputs!I$2,IF(D60=Inputs!F$3,Inputs!I$3,IF(D60=Inputs!F$5,Inputs!I$5,"NA"))))</f>
        <v>NA</v>
      </c>
      <c r="Q60" s="267"/>
    </row>
    <row r="61" spans="1:17" x14ac:dyDescent="0.25">
      <c r="A61" s="148">
        <v>55</v>
      </c>
      <c r="B61" s="186">
        <f>Inputs!C$2</f>
        <v>47</v>
      </c>
      <c r="C61" s="151"/>
      <c r="D61" s="185"/>
      <c r="E61" s="148"/>
      <c r="F61" s="185"/>
      <c r="G61" s="185"/>
      <c r="H61" s="188"/>
      <c r="I61" s="205" t="str">
        <f t="shared" si="4"/>
        <v>NA</v>
      </c>
      <c r="J61" s="186">
        <f t="shared" si="5"/>
        <v>0</v>
      </c>
      <c r="K61" s="151"/>
      <c r="L61" s="206" t="str">
        <f t="shared" si="6"/>
        <v>NA</v>
      </c>
      <c r="M61" s="151"/>
      <c r="N61" s="152"/>
      <c r="O61" s="151"/>
      <c r="P61" s="184" t="str">
        <f>IF(D61=Inputs!F$4,Inputs!I$4,IF(D61=Inputs!F$2,Inputs!I$2,IF(D61=Inputs!F$3,Inputs!I$3,IF(D61=Inputs!F$5,Inputs!I$5,"NA"))))</f>
        <v>NA</v>
      </c>
      <c r="Q61" s="267"/>
    </row>
    <row r="62" spans="1:17" x14ac:dyDescent="0.25">
      <c r="A62" s="148">
        <v>56</v>
      </c>
      <c r="B62" s="186">
        <f>Inputs!C$2</f>
        <v>47</v>
      </c>
      <c r="C62" s="151"/>
      <c r="D62" s="185"/>
      <c r="E62" s="148"/>
      <c r="F62" s="185"/>
      <c r="G62" s="185"/>
      <c r="H62" s="188"/>
      <c r="I62" s="205" t="str">
        <f t="shared" si="4"/>
        <v>NA</v>
      </c>
      <c r="J62" s="186">
        <f t="shared" si="5"/>
        <v>0</v>
      </c>
      <c r="K62" s="151"/>
      <c r="L62" s="206" t="str">
        <f t="shared" si="6"/>
        <v>NA</v>
      </c>
      <c r="M62" s="151"/>
      <c r="N62" s="152"/>
      <c r="O62" s="151"/>
      <c r="P62" s="184" t="str">
        <f>IF(D62=Inputs!F$4,Inputs!I$4,IF(D62=Inputs!F$2,Inputs!I$2,IF(D62=Inputs!F$3,Inputs!I$3,IF(D62=Inputs!F$5,Inputs!I$5,"NA"))))</f>
        <v>NA</v>
      </c>
      <c r="Q62" s="267"/>
    </row>
    <row r="63" spans="1:17" x14ac:dyDescent="0.25">
      <c r="A63" s="148">
        <v>57</v>
      </c>
      <c r="B63" s="186">
        <f>Inputs!C$2</f>
        <v>47</v>
      </c>
      <c r="C63" s="151"/>
      <c r="D63" s="185"/>
      <c r="E63" s="148"/>
      <c r="F63" s="185"/>
      <c r="G63" s="185"/>
      <c r="H63" s="188"/>
      <c r="I63" s="205" t="str">
        <f t="shared" si="4"/>
        <v>NA</v>
      </c>
      <c r="J63" s="186">
        <f t="shared" si="5"/>
        <v>0</v>
      </c>
      <c r="K63" s="151"/>
      <c r="L63" s="206" t="str">
        <f t="shared" si="6"/>
        <v>NA</v>
      </c>
      <c r="M63" s="151"/>
      <c r="N63" s="152"/>
      <c r="O63" s="151"/>
      <c r="P63" s="184" t="str">
        <f>IF(D63=Inputs!F$4,Inputs!I$4,IF(D63=Inputs!F$2,Inputs!I$2,IF(D63=Inputs!F$3,Inputs!I$3,IF(D63=Inputs!F$5,Inputs!I$5,"NA"))))</f>
        <v>NA</v>
      </c>
      <c r="Q63" s="267"/>
    </row>
    <row r="64" spans="1:17" x14ac:dyDescent="0.25">
      <c r="A64" s="148">
        <v>58</v>
      </c>
      <c r="B64" s="186">
        <f>Inputs!C$2</f>
        <v>47</v>
      </c>
      <c r="C64" s="151"/>
      <c r="D64" s="185"/>
      <c r="E64" s="148"/>
      <c r="F64" s="185"/>
      <c r="G64" s="185"/>
      <c r="H64" s="188"/>
      <c r="I64" s="205" t="str">
        <f t="shared" si="4"/>
        <v>NA</v>
      </c>
      <c r="J64" s="186">
        <f t="shared" si="5"/>
        <v>0</v>
      </c>
      <c r="K64" s="151"/>
      <c r="L64" s="206" t="str">
        <f t="shared" si="6"/>
        <v>NA</v>
      </c>
      <c r="M64" s="151"/>
      <c r="N64" s="152"/>
      <c r="O64" s="151"/>
      <c r="P64" s="184" t="str">
        <f>IF(D64=Inputs!F$4,Inputs!I$4,IF(D64=Inputs!F$2,Inputs!I$2,IF(D64=Inputs!F$3,Inputs!I$3,IF(D64=Inputs!F$5,Inputs!I$5,"NA"))))</f>
        <v>NA</v>
      </c>
      <c r="Q64" s="267"/>
    </row>
    <row r="65" spans="1:17" x14ac:dyDescent="0.25">
      <c r="A65" s="148">
        <v>59</v>
      </c>
      <c r="B65" s="186">
        <f>Inputs!C$2</f>
        <v>47</v>
      </c>
      <c r="C65" s="151"/>
      <c r="D65" s="185"/>
      <c r="E65" s="148"/>
      <c r="F65" s="185"/>
      <c r="G65" s="185"/>
      <c r="H65" s="188"/>
      <c r="I65" s="205" t="str">
        <f t="shared" si="4"/>
        <v>NA</v>
      </c>
      <c r="J65" s="186">
        <f t="shared" si="5"/>
        <v>0</v>
      </c>
      <c r="K65" s="151"/>
      <c r="L65" s="206" t="str">
        <f t="shared" si="6"/>
        <v>NA</v>
      </c>
      <c r="M65" s="151"/>
      <c r="N65" s="152"/>
      <c r="O65" s="151"/>
      <c r="P65" s="184" t="str">
        <f>IF(D65=Inputs!F$4,Inputs!I$4,IF(D65=Inputs!F$2,Inputs!I$2,IF(D65=Inputs!F$3,Inputs!I$3,IF(D65=Inputs!F$5,Inputs!I$5,"NA"))))</f>
        <v>NA</v>
      </c>
      <c r="Q65" s="267"/>
    </row>
    <row r="66" spans="1:17" x14ac:dyDescent="0.25">
      <c r="A66" s="148">
        <v>60</v>
      </c>
      <c r="B66" s="186">
        <f>Inputs!C$2</f>
        <v>47</v>
      </c>
      <c r="C66" s="151"/>
      <c r="D66" s="185"/>
      <c r="E66" s="148"/>
      <c r="F66" s="185"/>
      <c r="G66" s="185"/>
      <c r="H66" s="188"/>
      <c r="I66" s="205" t="str">
        <f t="shared" si="4"/>
        <v>NA</v>
      </c>
      <c r="J66" s="186">
        <f t="shared" si="5"/>
        <v>0</v>
      </c>
      <c r="K66" s="151"/>
      <c r="L66" s="206" t="str">
        <f t="shared" si="6"/>
        <v>NA</v>
      </c>
      <c r="M66" s="151"/>
      <c r="N66" s="152"/>
      <c r="O66" s="151"/>
      <c r="P66" s="184" t="str">
        <f>IF(D66=Inputs!F$4,Inputs!I$4,IF(D66=Inputs!F$2,Inputs!I$2,IF(D66=Inputs!F$3,Inputs!I$3,IF(D66=Inputs!F$5,Inputs!I$5,"NA"))))</f>
        <v>NA</v>
      </c>
      <c r="Q66" s="267"/>
    </row>
    <row r="67" spans="1:17" x14ac:dyDescent="0.25">
      <c r="A67" s="148">
        <v>61</v>
      </c>
      <c r="B67" s="186">
        <f>Inputs!C$2</f>
        <v>47</v>
      </c>
      <c r="C67" s="151"/>
      <c r="D67" s="185"/>
      <c r="E67" s="148"/>
      <c r="F67" s="185"/>
      <c r="G67" s="185"/>
      <c r="H67" s="188"/>
      <c r="I67" s="205" t="str">
        <f t="shared" si="4"/>
        <v>NA</v>
      </c>
      <c r="J67" s="186">
        <f t="shared" si="5"/>
        <v>0</v>
      </c>
      <c r="K67" s="151"/>
      <c r="L67" s="206" t="str">
        <f t="shared" si="6"/>
        <v>NA</v>
      </c>
      <c r="M67" s="151"/>
      <c r="N67" s="152"/>
      <c r="O67" s="151"/>
      <c r="P67" s="184" t="str">
        <f>IF(D67=Inputs!F$4,Inputs!I$4,IF(D67=Inputs!F$2,Inputs!I$2,IF(D67=Inputs!F$3,Inputs!I$3,IF(D67=Inputs!F$5,Inputs!I$5,"NA"))))</f>
        <v>NA</v>
      </c>
      <c r="Q67" s="267"/>
    </row>
    <row r="68" spans="1:17" x14ac:dyDescent="0.25">
      <c r="A68" s="148">
        <v>62</v>
      </c>
      <c r="B68" s="186">
        <f>Inputs!C$2</f>
        <v>47</v>
      </c>
      <c r="C68" s="151"/>
      <c r="D68" s="185"/>
      <c r="E68" s="148"/>
      <c r="F68" s="185"/>
      <c r="G68" s="185"/>
      <c r="H68" s="188"/>
      <c r="I68" s="205" t="str">
        <f t="shared" si="4"/>
        <v>NA</v>
      </c>
      <c r="J68" s="186">
        <f t="shared" si="5"/>
        <v>0</v>
      </c>
      <c r="K68" s="151"/>
      <c r="L68" s="206" t="str">
        <f t="shared" si="6"/>
        <v>NA</v>
      </c>
      <c r="M68" s="151"/>
      <c r="N68" s="152"/>
      <c r="O68" s="151"/>
      <c r="P68" s="184" t="str">
        <f>IF(D68=Inputs!F$4,Inputs!I$4,IF(D68=Inputs!F$2,Inputs!I$2,IF(D68=Inputs!F$3,Inputs!I$3,IF(D68=Inputs!F$5,Inputs!I$5,"NA"))))</f>
        <v>NA</v>
      </c>
      <c r="Q68" s="267"/>
    </row>
    <row r="69" spans="1:17" x14ac:dyDescent="0.25">
      <c r="A69" s="148">
        <v>63</v>
      </c>
      <c r="B69" s="186">
        <f>Inputs!C$2</f>
        <v>47</v>
      </c>
      <c r="C69" s="151"/>
      <c r="D69" s="185"/>
      <c r="E69" s="148"/>
      <c r="F69" s="185"/>
      <c r="G69" s="185"/>
      <c r="H69" s="188"/>
      <c r="I69" s="205" t="str">
        <f t="shared" si="4"/>
        <v>NA</v>
      </c>
      <c r="J69" s="186">
        <f t="shared" si="5"/>
        <v>0</v>
      </c>
      <c r="K69" s="151"/>
      <c r="L69" s="206" t="str">
        <f t="shared" si="6"/>
        <v>NA</v>
      </c>
      <c r="M69" s="151"/>
      <c r="N69" s="152"/>
      <c r="O69" s="151"/>
      <c r="P69" s="184" t="str">
        <f>IF(D69=Inputs!F$4,Inputs!I$4,IF(D69=Inputs!F$2,Inputs!I$2,IF(D69=Inputs!F$3,Inputs!I$3,IF(D69=Inputs!F$5,Inputs!I$5,"NA"))))</f>
        <v>NA</v>
      </c>
      <c r="Q69" s="267"/>
    </row>
    <row r="70" spans="1:17" x14ac:dyDescent="0.25">
      <c r="A70" s="148">
        <v>64</v>
      </c>
      <c r="B70" s="186">
        <f>Inputs!C$2</f>
        <v>47</v>
      </c>
      <c r="C70" s="151"/>
      <c r="D70" s="185"/>
      <c r="E70" s="148"/>
      <c r="F70" s="185"/>
      <c r="G70" s="185"/>
      <c r="H70" s="188"/>
      <c r="I70" s="205" t="str">
        <f t="shared" si="4"/>
        <v>NA</v>
      </c>
      <c r="J70" s="186">
        <f t="shared" si="5"/>
        <v>0</v>
      </c>
      <c r="K70" s="151"/>
      <c r="L70" s="206" t="str">
        <f t="shared" si="6"/>
        <v>NA</v>
      </c>
      <c r="M70" s="151"/>
      <c r="N70" s="152"/>
      <c r="O70" s="151"/>
      <c r="P70" s="184" t="str">
        <f>IF(D70=Inputs!F$4,Inputs!I$4,IF(D70=Inputs!F$2,Inputs!I$2,IF(D70=Inputs!F$3,Inputs!I$3,IF(D70=Inputs!F$5,Inputs!I$5,"NA"))))</f>
        <v>NA</v>
      </c>
      <c r="Q70" s="267"/>
    </row>
    <row r="71" spans="1:17" x14ac:dyDescent="0.25">
      <c r="A71" s="148">
        <v>65</v>
      </c>
      <c r="B71" s="186">
        <f>Inputs!C$2</f>
        <v>47</v>
      </c>
      <c r="C71" s="151"/>
      <c r="D71" s="185"/>
      <c r="E71" s="148"/>
      <c r="F71" s="185"/>
      <c r="G71" s="185"/>
      <c r="H71" s="188"/>
      <c r="I71" s="205" t="str">
        <f>IF(K71&gt;0,K71-J71,"NA")</f>
        <v>NA</v>
      </c>
      <c r="J71" s="186">
        <f t="shared" si="5"/>
        <v>0</v>
      </c>
      <c r="K71" s="151"/>
      <c r="L71" s="206" t="str">
        <f t="shared" si="6"/>
        <v>NA</v>
      </c>
      <c r="M71" s="151"/>
      <c r="N71" s="152"/>
      <c r="O71" s="151"/>
      <c r="P71" s="184" t="str">
        <f>IF(D71=Inputs!F$4,Inputs!I$4,IF(D71=Inputs!F$2,Inputs!I$2,IF(D71=Inputs!F$3,Inputs!I$3,IF(D71=Inputs!F$5,Inputs!I$5,"NA"))))</f>
        <v>NA</v>
      </c>
      <c r="Q71" s="267"/>
    </row>
    <row r="72" spans="1:17" x14ac:dyDescent="0.25">
      <c r="A72" s="148">
        <v>66</v>
      </c>
      <c r="B72" s="186">
        <f>Inputs!C$2</f>
        <v>47</v>
      </c>
      <c r="C72" s="151"/>
      <c r="D72" s="185"/>
      <c r="E72" s="148"/>
      <c r="F72" s="185"/>
      <c r="G72" s="185"/>
      <c r="H72" s="188"/>
      <c r="I72" s="205" t="str">
        <f t="shared" ref="I72:I74" si="7">IF(K72&gt;0,K72-J72,"NA")</f>
        <v>NA</v>
      </c>
      <c r="J72" s="186">
        <f t="shared" si="5"/>
        <v>0</v>
      </c>
      <c r="K72" s="151"/>
      <c r="L72" s="206" t="str">
        <f t="shared" si="6"/>
        <v>NA</v>
      </c>
      <c r="M72" s="151"/>
      <c r="N72" s="152"/>
      <c r="O72" s="151"/>
      <c r="P72" s="184" t="str">
        <f>IF(D72=Inputs!F$4,Inputs!I$4,IF(D72=Inputs!F$2,Inputs!I$2,IF(D72=Inputs!F$3,Inputs!I$3,IF(D72=Inputs!F$5,Inputs!I$5,"NA"))))</f>
        <v>NA</v>
      </c>
      <c r="Q72" s="267"/>
    </row>
    <row r="73" spans="1:17" x14ac:dyDescent="0.25">
      <c r="A73" s="148">
        <v>67</v>
      </c>
      <c r="B73" s="186">
        <f>Inputs!C$2</f>
        <v>47</v>
      </c>
      <c r="C73" s="151"/>
      <c r="D73" s="185"/>
      <c r="E73" s="148"/>
      <c r="F73" s="185"/>
      <c r="G73" s="185"/>
      <c r="H73" s="188"/>
      <c r="I73" s="205" t="str">
        <f t="shared" si="7"/>
        <v>NA</v>
      </c>
      <c r="J73" s="186">
        <f t="shared" ref="J73:J82" si="8">IF(H73="NEW",203, IF(H73="OLD",192,0))</f>
        <v>0</v>
      </c>
      <c r="K73" s="151"/>
      <c r="L73" s="206" t="str">
        <f t="shared" ref="L73:L82" si="9">IF(K73&gt;0,I73/E73,"NA")</f>
        <v>NA</v>
      </c>
      <c r="M73" s="151"/>
      <c r="N73" s="152"/>
      <c r="O73" s="151"/>
      <c r="P73" s="184" t="str">
        <f>IF(D73=Inputs!F$4,Inputs!I$4,IF(D73=Inputs!F$2,Inputs!I$2,IF(D73=Inputs!F$3,Inputs!I$3,IF(D73=Inputs!F$5,Inputs!I$5,"NA"))))</f>
        <v>NA</v>
      </c>
      <c r="Q73" s="267"/>
    </row>
    <row r="74" spans="1:17" x14ac:dyDescent="0.25">
      <c r="A74" s="148">
        <v>68</v>
      </c>
      <c r="B74" s="186">
        <f>Inputs!C$2</f>
        <v>47</v>
      </c>
      <c r="C74" s="151"/>
      <c r="D74" s="185"/>
      <c r="E74" s="148"/>
      <c r="F74" s="185"/>
      <c r="G74" s="185"/>
      <c r="H74" s="188"/>
      <c r="I74" s="205" t="str">
        <f t="shared" si="7"/>
        <v>NA</v>
      </c>
      <c r="J74" s="186">
        <f t="shared" si="8"/>
        <v>0</v>
      </c>
      <c r="K74" s="151"/>
      <c r="L74" s="206" t="str">
        <f t="shared" si="9"/>
        <v>NA</v>
      </c>
      <c r="M74" s="151"/>
      <c r="N74" s="152"/>
      <c r="O74" s="151"/>
      <c r="P74" s="184" t="str">
        <f>IF(D74=Inputs!F$4,Inputs!I$4,IF(D74=Inputs!F$2,Inputs!I$2,IF(D74=Inputs!F$3,Inputs!I$3,IF(D74=Inputs!F$5,Inputs!I$5,"NA"))))</f>
        <v>NA</v>
      </c>
      <c r="Q74" s="267"/>
    </row>
    <row r="75" spans="1:17" x14ac:dyDescent="0.25">
      <c r="A75" s="148">
        <v>69</v>
      </c>
      <c r="B75" s="186">
        <f>Inputs!C$2</f>
        <v>47</v>
      </c>
      <c r="C75" s="151"/>
      <c r="D75" s="185"/>
      <c r="E75" s="148"/>
      <c r="F75" s="185"/>
      <c r="G75" s="185"/>
      <c r="H75" s="188"/>
      <c r="I75" s="205" t="str">
        <f t="shared" ref="I75:I82" si="10">IF(K75&gt;0,K75-J75,"NA")</f>
        <v>NA</v>
      </c>
      <c r="J75" s="186">
        <f t="shared" si="8"/>
        <v>0</v>
      </c>
      <c r="K75" s="151"/>
      <c r="L75" s="206" t="str">
        <f t="shared" si="9"/>
        <v>NA</v>
      </c>
      <c r="M75" s="151"/>
      <c r="N75" s="152"/>
      <c r="O75" s="153"/>
      <c r="P75" s="184" t="str">
        <f>IF(D75=Inputs!F$4,Inputs!I$4,IF(D75=Inputs!F$2,Inputs!I$2,IF(D75=Inputs!F$3,Inputs!I$3,IF(D75=Inputs!F$5,Inputs!I$5,"NA"))))</f>
        <v>NA</v>
      </c>
      <c r="Q75" s="267"/>
    </row>
    <row r="76" spans="1:17" x14ac:dyDescent="0.25">
      <c r="A76" s="148">
        <v>70</v>
      </c>
      <c r="B76" s="186">
        <f>Inputs!C$2</f>
        <v>47</v>
      </c>
      <c r="C76" s="151"/>
      <c r="D76" s="185"/>
      <c r="E76" s="148"/>
      <c r="F76" s="185"/>
      <c r="G76" s="185"/>
      <c r="H76" s="188"/>
      <c r="I76" s="205" t="str">
        <f t="shared" si="10"/>
        <v>NA</v>
      </c>
      <c r="J76" s="186">
        <f t="shared" si="8"/>
        <v>0</v>
      </c>
      <c r="K76" s="151"/>
      <c r="L76" s="206" t="str">
        <f t="shared" si="9"/>
        <v>NA</v>
      </c>
      <c r="M76" s="151"/>
      <c r="N76" s="152"/>
      <c r="O76" s="151"/>
      <c r="P76" s="184" t="str">
        <f>IF(D76=Inputs!F$4,Inputs!I$4,IF(D76=Inputs!F$2,Inputs!I$2,IF(D76=Inputs!F$3,Inputs!I$3,IF(D76=Inputs!F$5,Inputs!I$5,"NA"))))</f>
        <v>NA</v>
      </c>
      <c r="Q76" s="267"/>
    </row>
    <row r="77" spans="1:17" x14ac:dyDescent="0.25">
      <c r="A77" s="148">
        <v>71</v>
      </c>
      <c r="B77" s="186">
        <f>Inputs!C$2</f>
        <v>47</v>
      </c>
      <c r="C77" s="151"/>
      <c r="D77" s="185"/>
      <c r="E77" s="148"/>
      <c r="F77" s="185"/>
      <c r="G77" s="185"/>
      <c r="H77" s="188"/>
      <c r="I77" s="205" t="str">
        <f t="shared" si="10"/>
        <v>NA</v>
      </c>
      <c r="J77" s="186">
        <f t="shared" si="8"/>
        <v>0</v>
      </c>
      <c r="K77" s="151"/>
      <c r="L77" s="206" t="str">
        <f t="shared" si="9"/>
        <v>NA</v>
      </c>
      <c r="M77" s="151"/>
      <c r="N77" s="152"/>
      <c r="O77" s="151"/>
      <c r="P77" s="184" t="str">
        <f>IF(D77=Inputs!F$4,Inputs!I$4,IF(D77=Inputs!F$2,Inputs!I$2,IF(D77=Inputs!F$3,Inputs!I$3,IF(D77=Inputs!F$5,Inputs!I$5,"NA"))))</f>
        <v>NA</v>
      </c>
      <c r="Q77" s="267"/>
    </row>
    <row r="78" spans="1:17" x14ac:dyDescent="0.25">
      <c r="A78" s="148">
        <v>72</v>
      </c>
      <c r="B78" s="186">
        <f>Inputs!C$2</f>
        <v>47</v>
      </c>
      <c r="C78" s="151"/>
      <c r="D78" s="185"/>
      <c r="E78" s="148"/>
      <c r="F78" s="185"/>
      <c r="G78" s="185"/>
      <c r="H78" s="188"/>
      <c r="I78" s="205" t="str">
        <f>IF(K78&gt;0,K78-J78,"NA")</f>
        <v>NA</v>
      </c>
      <c r="J78" s="186">
        <f t="shared" si="8"/>
        <v>0</v>
      </c>
      <c r="K78" s="151"/>
      <c r="L78" s="206" t="str">
        <f t="shared" si="9"/>
        <v>NA</v>
      </c>
      <c r="M78" s="151"/>
      <c r="N78" s="152"/>
      <c r="O78" s="151"/>
      <c r="P78" s="184" t="str">
        <f>IF(D78=Inputs!F$4,Inputs!I$4,IF(D78=Inputs!F$2,Inputs!I$2,IF(D78=Inputs!F$3,Inputs!I$3,IF(D78=Inputs!F$5,Inputs!I$5,"NA"))))</f>
        <v>NA</v>
      </c>
      <c r="Q78" s="267"/>
    </row>
    <row r="79" spans="1:17" x14ac:dyDescent="0.25">
      <c r="A79" s="148">
        <v>73</v>
      </c>
      <c r="B79" s="186">
        <f>Inputs!C$2</f>
        <v>47</v>
      </c>
      <c r="C79" s="151"/>
      <c r="D79" s="185"/>
      <c r="E79" s="148"/>
      <c r="F79" s="185"/>
      <c r="G79" s="185"/>
      <c r="H79" s="188"/>
      <c r="I79" s="205" t="str">
        <f t="shared" si="10"/>
        <v>NA</v>
      </c>
      <c r="J79" s="186">
        <f t="shared" si="8"/>
        <v>0</v>
      </c>
      <c r="K79" s="151"/>
      <c r="L79" s="206" t="str">
        <f t="shared" si="9"/>
        <v>NA</v>
      </c>
      <c r="M79" s="151"/>
      <c r="N79" s="152"/>
      <c r="O79" s="151"/>
      <c r="P79" s="184" t="str">
        <f>IF(D79=Inputs!F$4,Inputs!I$4,IF(D79=Inputs!F$2,Inputs!I$2,IF(D79=Inputs!F$3,Inputs!I$3,IF(D79=Inputs!F$5,Inputs!I$5,"NA"))))</f>
        <v>NA</v>
      </c>
      <c r="Q79" s="267"/>
    </row>
    <row r="80" spans="1:17" x14ac:dyDescent="0.25">
      <c r="A80" s="148">
        <v>74</v>
      </c>
      <c r="B80" s="186">
        <f>Inputs!C$2</f>
        <v>47</v>
      </c>
      <c r="C80" s="151"/>
      <c r="D80" s="185"/>
      <c r="E80" s="148"/>
      <c r="F80" s="185"/>
      <c r="G80" s="185"/>
      <c r="H80" s="188"/>
      <c r="I80" s="205" t="str">
        <f t="shared" si="10"/>
        <v>NA</v>
      </c>
      <c r="J80" s="186">
        <f t="shared" si="8"/>
        <v>0</v>
      </c>
      <c r="K80" s="151"/>
      <c r="L80" s="206" t="str">
        <f t="shared" si="9"/>
        <v>NA</v>
      </c>
      <c r="M80" s="151"/>
      <c r="N80" s="152"/>
      <c r="O80" s="151"/>
      <c r="P80" s="184" t="str">
        <f>IF(D80=Inputs!F$4,Inputs!I$4,IF(D80=Inputs!F$2,Inputs!I$2,IF(D80=Inputs!F$3,Inputs!I$3,IF(D80=Inputs!F$5,Inputs!I$5,"NA"))))</f>
        <v>NA</v>
      </c>
      <c r="Q80" s="267"/>
    </row>
    <row r="81" spans="1:17" x14ac:dyDescent="0.25">
      <c r="A81" s="148">
        <v>75</v>
      </c>
      <c r="B81" s="186">
        <f>Inputs!C$2</f>
        <v>47</v>
      </c>
      <c r="C81" s="151"/>
      <c r="D81" s="185"/>
      <c r="E81" s="148"/>
      <c r="F81" s="185"/>
      <c r="G81" s="185"/>
      <c r="H81" s="188"/>
      <c r="I81" s="205" t="str">
        <f t="shared" si="10"/>
        <v>NA</v>
      </c>
      <c r="J81" s="186">
        <f t="shared" si="8"/>
        <v>0</v>
      </c>
      <c r="K81" s="151"/>
      <c r="L81" s="206" t="str">
        <f t="shared" si="9"/>
        <v>NA</v>
      </c>
      <c r="M81" s="151"/>
      <c r="N81" s="152"/>
      <c r="O81" s="151"/>
      <c r="P81" s="184" t="str">
        <f>IF(D81=Inputs!F$4,Inputs!I$4,IF(D81=Inputs!F$2,Inputs!I$2,IF(D81=Inputs!F$3,Inputs!I$3,IF(D81=Inputs!F$5,Inputs!I$5,"NA"))))</f>
        <v>NA</v>
      </c>
      <c r="Q81" s="267"/>
    </row>
    <row r="82" spans="1:17" x14ac:dyDescent="0.25">
      <c r="A82" s="148">
        <v>76</v>
      </c>
      <c r="B82" s="186">
        <f>Inputs!C$2</f>
        <v>47</v>
      </c>
      <c r="C82" s="151"/>
      <c r="D82" s="185"/>
      <c r="E82" s="148"/>
      <c r="F82" s="185"/>
      <c r="G82" s="185"/>
      <c r="H82" s="188"/>
      <c r="I82" s="205" t="str">
        <f t="shared" si="10"/>
        <v>NA</v>
      </c>
      <c r="J82" s="186">
        <f t="shared" si="8"/>
        <v>0</v>
      </c>
      <c r="K82" s="151"/>
      <c r="L82" s="206" t="str">
        <f t="shared" si="9"/>
        <v>NA</v>
      </c>
      <c r="M82" s="151"/>
      <c r="N82" s="152"/>
      <c r="O82" s="151"/>
      <c r="P82" s="184" t="str">
        <f>IF(D82=Inputs!F$4,Inputs!I$4,IF(D82=Inputs!F$2,Inputs!I$2,IF(D82=Inputs!F$3,Inputs!I$3,IF(D82=Inputs!F$5,Inputs!I$5,"NA"))))</f>
        <v>NA</v>
      </c>
      <c r="Q82" s="267"/>
    </row>
  </sheetData>
  <sortState xmlns:xlrd2="http://schemas.microsoft.com/office/spreadsheetml/2017/richdata2" ref="A7:P38">
    <sortCondition ref="D7:D38"/>
  </sortState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scale="55" firstPageNumber="0" orientation="portrait" horizontalDpi="300" verticalDpi="300" r:id="rId1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AH89"/>
  <sheetViews>
    <sheetView zoomScaleNormal="100" workbookViewId="0">
      <selection activeCell="D39" sqref="D39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  <col min="13" max="13" width="5.28515625" style="240" customWidth="1"/>
    <col min="14" max="14" width="13.7109375" style="167" customWidth="1"/>
    <col min="16" max="16" width="11.7109375" style="248" bestFit="1" customWidth="1"/>
    <col min="17" max="17" width="10.5703125" bestFit="1" customWidth="1"/>
    <col min="18" max="18" width="9.5703125" bestFit="1" customWidth="1"/>
    <col min="20" max="20" width="9.7109375" style="248" bestFit="1" customWidth="1"/>
    <col min="22" max="22" width="9.28515625" style="248" bestFit="1" customWidth="1"/>
    <col min="24" max="24" width="9.28515625" style="248" bestFit="1" customWidth="1"/>
    <col min="26" max="26" width="9.28515625" style="248" bestFit="1" customWidth="1"/>
    <col min="28" max="28" width="9.28515625" style="248" bestFit="1" customWidth="1"/>
    <col min="30" max="30" width="9.28515625" style="248" bestFit="1" customWidth="1"/>
    <col min="33" max="33" width="10.5703125" bestFit="1" customWidth="1"/>
  </cols>
  <sheetData>
    <row r="1" spans="1:34" x14ac:dyDescent="0.2">
      <c r="B1" s="170" t="s">
        <v>181</v>
      </c>
      <c r="C1" s="168">
        <v>2025</v>
      </c>
      <c r="G1" s="166" t="s">
        <v>182</v>
      </c>
      <c r="I1" s="166" t="s">
        <v>183</v>
      </c>
      <c r="J1" s="166" t="s">
        <v>194</v>
      </c>
      <c r="K1" s="166" t="s">
        <v>186</v>
      </c>
    </row>
    <row r="2" spans="1:34" x14ac:dyDescent="0.2">
      <c r="B2" s="24" t="s">
        <v>94</v>
      </c>
      <c r="C2" s="168">
        <v>47</v>
      </c>
      <c r="F2" s="166" t="s">
        <v>5</v>
      </c>
      <c r="G2" s="183">
        <v>45750</v>
      </c>
      <c r="I2" s="200">
        <f>(C$3-G2)/7</f>
        <v>33.464285714285715</v>
      </c>
      <c r="J2" s="224">
        <f>I2-19</f>
        <v>14.464285714285715</v>
      </c>
      <c r="K2" s="166" t="s">
        <v>184</v>
      </c>
      <c r="L2">
        <v>203</v>
      </c>
      <c r="N2" s="167" t="s">
        <v>188</v>
      </c>
      <c r="O2" s="124" t="s">
        <v>214</v>
      </c>
      <c r="P2" s="250" t="s">
        <v>68</v>
      </c>
      <c r="Q2" s="124" t="s">
        <v>100</v>
      </c>
      <c r="R2" s="124"/>
      <c r="S2" s="124" t="s">
        <v>101</v>
      </c>
      <c r="T2" s="250"/>
      <c r="U2" s="124" t="s">
        <v>102</v>
      </c>
      <c r="V2" s="250"/>
      <c r="W2" s="124" t="s">
        <v>103</v>
      </c>
      <c r="X2" s="250"/>
      <c r="Y2" s="124" t="s">
        <v>104</v>
      </c>
      <c r="Z2" s="250"/>
      <c r="AA2" s="124" t="s">
        <v>105</v>
      </c>
      <c r="AB2" s="250"/>
      <c r="AC2" s="124" t="s">
        <v>215</v>
      </c>
      <c r="AD2" s="250"/>
      <c r="AE2" s="124" t="s">
        <v>216</v>
      </c>
      <c r="AF2" s="124" t="s">
        <v>106</v>
      </c>
      <c r="AG2" s="124" t="s">
        <v>81</v>
      </c>
      <c r="AH2" s="124" t="s">
        <v>106</v>
      </c>
    </row>
    <row r="3" spans="1:34" x14ac:dyDescent="0.2">
      <c r="B3" s="170" t="s">
        <v>180</v>
      </c>
      <c r="C3" s="264">
        <f>C2*7+(C1-1900)*365.25-1</f>
        <v>45984.25</v>
      </c>
      <c r="D3" s="265"/>
      <c r="F3" s="166" t="s">
        <v>167</v>
      </c>
      <c r="G3" s="183">
        <v>45572</v>
      </c>
      <c r="I3" s="200">
        <f>(C$3-G3)/7</f>
        <v>58.892857142857146</v>
      </c>
      <c r="J3" s="224">
        <f>I3-19</f>
        <v>39.892857142857146</v>
      </c>
      <c r="K3" s="166" t="s">
        <v>185</v>
      </c>
      <c r="L3">
        <v>192</v>
      </c>
      <c r="O3" s="127" t="s">
        <v>23</v>
      </c>
      <c r="P3" s="251" t="s">
        <v>100</v>
      </c>
      <c r="Q3" s="127" t="s">
        <v>111</v>
      </c>
      <c r="R3" s="127" t="s">
        <v>101</v>
      </c>
      <c r="S3" s="127" t="s">
        <v>111</v>
      </c>
      <c r="T3" s="251" t="s">
        <v>102</v>
      </c>
      <c r="U3" s="127" t="s">
        <v>111</v>
      </c>
      <c r="V3" s="251" t="s">
        <v>103</v>
      </c>
      <c r="W3" s="127" t="s">
        <v>111</v>
      </c>
      <c r="X3" s="251" t="s">
        <v>104</v>
      </c>
      <c r="Y3" s="127" t="s">
        <v>111</v>
      </c>
      <c r="Z3" s="251" t="s">
        <v>105</v>
      </c>
      <c r="AA3" s="127" t="s">
        <v>111</v>
      </c>
      <c r="AB3" s="251" t="s">
        <v>215</v>
      </c>
      <c r="AC3" s="127" t="s">
        <v>111</v>
      </c>
      <c r="AD3" s="251" t="s">
        <v>216</v>
      </c>
      <c r="AE3" s="127" t="s">
        <v>111</v>
      </c>
      <c r="AF3" s="127" t="s">
        <v>67</v>
      </c>
      <c r="AG3" s="127" t="s">
        <v>111</v>
      </c>
      <c r="AH3" s="239" t="s">
        <v>230</v>
      </c>
    </row>
    <row r="4" spans="1:34" x14ac:dyDescent="0.2">
      <c r="F4" s="166" t="s">
        <v>208</v>
      </c>
      <c r="G4" s="183">
        <v>45663</v>
      </c>
      <c r="I4" s="200">
        <f>(C$3-G4)/7</f>
        <v>45.892857142857146</v>
      </c>
      <c r="J4" s="224">
        <f>I4-19</f>
        <v>26.892857142857146</v>
      </c>
      <c r="O4" s="139" t="s">
        <v>217</v>
      </c>
      <c r="P4" s="228">
        <f>AF4*Q4</f>
        <v>0</v>
      </c>
      <c r="Q4" s="227">
        <v>7.6637186369212518E-3</v>
      </c>
      <c r="R4" s="228">
        <f>AF4*S4</f>
        <v>0</v>
      </c>
      <c r="S4" s="227">
        <v>1.2894787427193143E-2</v>
      </c>
      <c r="T4" s="228">
        <f>AF4*U4</f>
        <v>0</v>
      </c>
      <c r="U4" s="227">
        <v>0.1325441367862282</v>
      </c>
      <c r="V4" s="228">
        <f>AF4*W4</f>
        <v>0</v>
      </c>
      <c r="W4" s="227">
        <v>0.59234214404505858</v>
      </c>
      <c r="X4" s="228">
        <f>AF4*Y4</f>
        <v>0</v>
      </c>
      <c r="Y4" s="227">
        <v>0.23185874775707016</v>
      </c>
      <c r="Z4" s="228">
        <f>AF4*AA4</f>
        <v>0</v>
      </c>
      <c r="AA4" s="227">
        <v>5.3230558270000372E-3</v>
      </c>
      <c r="AB4" s="228">
        <f>AF4*AC4</f>
        <v>0</v>
      </c>
      <c r="AC4" s="227">
        <v>6.9773179060056431E-3</v>
      </c>
      <c r="AD4" s="228">
        <f>AF4*AE4</f>
        <v>0</v>
      </c>
      <c r="AE4" s="227">
        <v>1.0396091614522953E-2</v>
      </c>
      <c r="AF4" s="139">
        <f>(AH4*15)</f>
        <v>0</v>
      </c>
      <c r="AG4" s="229">
        <f>SUM(Q4+S4+U4+W4+Y4+AA4+AC4+AE4)</f>
        <v>0.99999999999999989</v>
      </c>
      <c r="AH4" s="219"/>
    </row>
    <row r="5" spans="1:34" x14ac:dyDescent="0.2">
      <c r="A5" s="166" t="s">
        <v>187</v>
      </c>
      <c r="B5" s="266" t="s">
        <v>213</v>
      </c>
      <c r="C5" s="266"/>
      <c r="F5" s="166" t="s">
        <v>4</v>
      </c>
      <c r="G5" s="183">
        <v>45812</v>
      </c>
      <c r="I5" s="200">
        <f>(C$3-G5)/7</f>
        <v>24.607142857142858</v>
      </c>
      <c r="J5" s="224">
        <f>I5-19</f>
        <v>5.6071428571428577</v>
      </c>
      <c r="O5" s="139" t="s">
        <v>218</v>
      </c>
      <c r="P5" s="228">
        <f t="shared" ref="P5:P10" si="0">AF5*Q5</f>
        <v>0</v>
      </c>
      <c r="Q5" s="227">
        <v>1.7661923838691227E-2</v>
      </c>
      <c r="R5" s="228">
        <f t="shared" ref="R5:R10" si="1">AF5*S5</f>
        <v>0</v>
      </c>
      <c r="S5" s="227">
        <v>3.2802623957332765E-2</v>
      </c>
      <c r="T5" s="228">
        <f t="shared" ref="T5:T10" si="2">AF5*U5</f>
        <v>0</v>
      </c>
      <c r="U5" s="227">
        <v>0.4048792394312492</v>
      </c>
      <c r="V5" s="228">
        <f t="shared" ref="V5:V10" si="3">AF5*W5</f>
        <v>0</v>
      </c>
      <c r="W5" s="227">
        <v>0.49075956084416428</v>
      </c>
      <c r="X5" s="228">
        <f t="shared" ref="X5:X10" si="4">AF5*Y5</f>
        <v>0</v>
      </c>
      <c r="Y5" s="227">
        <v>3.3546653325059593E-2</v>
      </c>
      <c r="Z5" s="228">
        <f t="shared" ref="Z5:Z10" si="5">AF5*AA5</f>
        <v>0</v>
      </c>
      <c r="AA5" s="227">
        <v>4.5703099859257376E-3</v>
      </c>
      <c r="AB5" s="228">
        <f t="shared" ref="AB5:AB10" si="6">AF5*AC5</f>
        <v>0</v>
      </c>
      <c r="AC5" s="227">
        <v>7.0189158567995442E-3</v>
      </c>
      <c r="AD5" s="228">
        <f t="shared" ref="AD5:AD10" si="7">AF5*AE5</f>
        <v>0</v>
      </c>
      <c r="AE5" s="227">
        <v>8.760772760777618E-3</v>
      </c>
      <c r="AF5" s="139">
        <f t="shared" ref="AF5:AF10" si="8">(AH5*15)</f>
        <v>0</v>
      </c>
      <c r="AG5" s="227">
        <f t="shared" ref="AG5:AG10" si="9">SUM(Q5+S5+U5+W5+Y5+AA5+AC5+AE5)</f>
        <v>1</v>
      </c>
      <c r="AH5" s="168"/>
    </row>
    <row r="6" spans="1:34" x14ac:dyDescent="0.2">
      <c r="O6" s="139" t="s">
        <v>219</v>
      </c>
      <c r="P6" s="228">
        <f t="shared" si="0"/>
        <v>0</v>
      </c>
      <c r="Q6" s="227">
        <v>1.8025454978891877E-2</v>
      </c>
      <c r="R6" s="228">
        <f t="shared" si="1"/>
        <v>0</v>
      </c>
      <c r="S6" s="227">
        <v>8.7671512934949555E-2</v>
      </c>
      <c r="T6" s="228">
        <f t="shared" si="2"/>
        <v>0</v>
      </c>
      <c r="U6" s="227">
        <v>0.64997329422521566</v>
      </c>
      <c r="V6" s="228">
        <f t="shared" si="3"/>
        <v>0</v>
      </c>
      <c r="W6" s="227">
        <v>0.22078659822746077</v>
      </c>
      <c r="X6" s="228">
        <f t="shared" si="4"/>
        <v>0</v>
      </c>
      <c r="Y6" s="227">
        <v>6.8178937743859939E-3</v>
      </c>
      <c r="Z6" s="228">
        <f t="shared" si="5"/>
        <v>0</v>
      </c>
      <c r="AA6" s="227">
        <v>4.1829617156876062E-3</v>
      </c>
      <c r="AB6" s="228">
        <f t="shared" si="6"/>
        <v>0</v>
      </c>
      <c r="AC6" s="227">
        <v>6.397315541553884E-3</v>
      </c>
      <c r="AD6" s="228">
        <f t="shared" si="7"/>
        <v>0</v>
      </c>
      <c r="AE6" s="227">
        <v>6.144968601854618E-3</v>
      </c>
      <c r="AF6" s="139">
        <f t="shared" si="8"/>
        <v>0</v>
      </c>
      <c r="AG6" s="227">
        <f t="shared" si="9"/>
        <v>1</v>
      </c>
      <c r="AH6" s="168"/>
    </row>
    <row r="7" spans="1:34" x14ac:dyDescent="0.2">
      <c r="A7" s="169" t="s">
        <v>176</v>
      </c>
      <c r="O7" s="139" t="s">
        <v>220</v>
      </c>
      <c r="P7" s="228">
        <f t="shared" si="0"/>
        <v>0</v>
      </c>
      <c r="Q7" s="227">
        <v>2.6348294930420929E-2</v>
      </c>
      <c r="R7" s="228">
        <f t="shared" si="1"/>
        <v>0</v>
      </c>
      <c r="S7" s="227">
        <v>0.25469985546495394</v>
      </c>
      <c r="T7" s="228">
        <f t="shared" si="2"/>
        <v>0</v>
      </c>
      <c r="U7" s="227">
        <v>0.62709760801898196</v>
      </c>
      <c r="V7" s="228">
        <f t="shared" si="3"/>
        <v>0</v>
      </c>
      <c r="W7" s="227">
        <v>7.2177743576083156E-2</v>
      </c>
      <c r="X7" s="228">
        <f t="shared" si="4"/>
        <v>0</v>
      </c>
      <c r="Y7" s="227">
        <v>1.2870031916100613E-3</v>
      </c>
      <c r="Z7" s="228">
        <f t="shared" si="5"/>
        <v>0</v>
      </c>
      <c r="AA7" s="227">
        <v>3.5453016244160638E-3</v>
      </c>
      <c r="AB7" s="228">
        <f t="shared" si="6"/>
        <v>0</v>
      </c>
      <c r="AC7" s="227">
        <v>7.0032902687957223E-3</v>
      </c>
      <c r="AD7" s="228">
        <f t="shared" si="7"/>
        <v>0</v>
      </c>
      <c r="AE7" s="227">
        <v>7.8409029247381839E-3</v>
      </c>
      <c r="AF7" s="139">
        <f t="shared" si="8"/>
        <v>0</v>
      </c>
      <c r="AG7" s="227">
        <f t="shared" si="9"/>
        <v>1</v>
      </c>
      <c r="AH7" s="168"/>
    </row>
    <row r="8" spans="1:34" x14ac:dyDescent="0.2">
      <c r="A8" s="167" t="s">
        <v>169</v>
      </c>
      <c r="E8" s="167" t="s">
        <v>170</v>
      </c>
      <c r="O8" s="139" t="s">
        <v>221</v>
      </c>
      <c r="P8" s="228">
        <f t="shared" si="0"/>
        <v>0</v>
      </c>
      <c r="Q8" s="227">
        <v>5.742283113267601E-2</v>
      </c>
      <c r="R8" s="228">
        <f t="shared" si="1"/>
        <v>0</v>
      </c>
      <c r="S8" s="227">
        <v>0.50285288591189314</v>
      </c>
      <c r="T8" s="228">
        <f t="shared" si="2"/>
        <v>0</v>
      </c>
      <c r="U8" s="227">
        <v>0.39999177037377553</v>
      </c>
      <c r="V8" s="228">
        <f t="shared" si="3"/>
        <v>0</v>
      </c>
      <c r="W8" s="227">
        <v>1.9053887776763402E-2</v>
      </c>
      <c r="X8" s="228">
        <f t="shared" si="4"/>
        <v>0</v>
      </c>
      <c r="Y8" s="227">
        <v>3.3778316593106704E-4</v>
      </c>
      <c r="Z8" s="228">
        <f t="shared" si="5"/>
        <v>0</v>
      </c>
      <c r="AA8" s="227">
        <v>3.6004614732197829E-3</v>
      </c>
      <c r="AB8" s="228">
        <f t="shared" si="6"/>
        <v>0</v>
      </c>
      <c r="AC8" s="227">
        <v>8.4032774793514672E-3</v>
      </c>
      <c r="AD8" s="228">
        <f t="shared" si="7"/>
        <v>0</v>
      </c>
      <c r="AE8" s="227">
        <v>8.3371026863895189E-3</v>
      </c>
      <c r="AF8" s="139">
        <f t="shared" si="8"/>
        <v>0</v>
      </c>
      <c r="AG8" s="227">
        <f t="shared" si="9"/>
        <v>0.99999999999999989</v>
      </c>
      <c r="AH8" s="168"/>
    </row>
    <row r="9" spans="1:34" x14ac:dyDescent="0.2">
      <c r="A9" s="139" t="s">
        <v>168</v>
      </c>
      <c r="B9" s="139" t="s">
        <v>47</v>
      </c>
      <c r="C9" s="139" t="s">
        <v>48</v>
      </c>
      <c r="E9" s="139" t="s">
        <v>168</v>
      </c>
      <c r="F9" s="139" t="s">
        <v>47</v>
      </c>
      <c r="G9" s="139" t="s">
        <v>48</v>
      </c>
      <c r="O9" s="139" t="s">
        <v>222</v>
      </c>
      <c r="P9" s="228">
        <f t="shared" si="0"/>
        <v>155.31971309582397</v>
      </c>
      <c r="Q9" s="227">
        <v>0.17257745899535998</v>
      </c>
      <c r="R9" s="228">
        <f t="shared" si="1"/>
        <v>548.42252596931837</v>
      </c>
      <c r="S9" s="227">
        <v>0.60935836218813155</v>
      </c>
      <c r="T9" s="228">
        <f t="shared" si="2"/>
        <v>164.49727134110617</v>
      </c>
      <c r="U9" s="227">
        <v>0.18277474593456242</v>
      </c>
      <c r="V9" s="228">
        <f t="shared" si="3"/>
        <v>3.3301053589666245</v>
      </c>
      <c r="W9" s="227">
        <v>3.7001170655184719E-3</v>
      </c>
      <c r="X9" s="228">
        <f t="shared" si="4"/>
        <v>0.18247126762628976</v>
      </c>
      <c r="Y9" s="227">
        <v>2.0274585291809972E-4</v>
      </c>
      <c r="Z9" s="228">
        <f t="shared" si="5"/>
        <v>2.8988268165293452</v>
      </c>
      <c r="AA9" s="227">
        <v>3.2209186850326059E-3</v>
      </c>
      <c r="AB9" s="228">
        <f t="shared" si="6"/>
        <v>16.070096181540674</v>
      </c>
      <c r="AC9" s="227">
        <v>1.785566242393408E-2</v>
      </c>
      <c r="AD9" s="228">
        <f t="shared" si="7"/>
        <v>9.2789899690885544</v>
      </c>
      <c r="AE9" s="227">
        <v>1.0309988854542838E-2</v>
      </c>
      <c r="AF9" s="139">
        <f t="shared" si="8"/>
        <v>900</v>
      </c>
      <c r="AG9" s="227">
        <f t="shared" si="9"/>
        <v>1</v>
      </c>
      <c r="AH9" s="168">
        <v>60</v>
      </c>
    </row>
    <row r="10" spans="1:34" x14ac:dyDescent="0.2">
      <c r="A10" s="139">
        <v>6</v>
      </c>
      <c r="B10" s="168">
        <v>260</v>
      </c>
      <c r="C10" s="165"/>
      <c r="E10" s="139">
        <v>6</v>
      </c>
      <c r="F10" s="168">
        <v>270</v>
      </c>
      <c r="G10" s="165"/>
      <c r="O10" s="139" t="s">
        <v>223</v>
      </c>
      <c r="P10" s="228">
        <f t="shared" si="0"/>
        <v>1317.4823331992634</v>
      </c>
      <c r="Q10" s="227">
        <v>0.36596731477757316</v>
      </c>
      <c r="R10" s="228">
        <f t="shared" si="1"/>
        <v>1790.5324327969342</v>
      </c>
      <c r="S10" s="227">
        <v>0.49737012022137062</v>
      </c>
      <c r="T10" s="228">
        <f t="shared" si="2"/>
        <v>304.09473534708803</v>
      </c>
      <c r="U10" s="228">
        <v>8.4470759818635568E-2</v>
      </c>
      <c r="V10" s="228">
        <f t="shared" si="3"/>
        <v>5.3088840644920285</v>
      </c>
      <c r="W10" s="227">
        <v>1.4746900179144523E-3</v>
      </c>
      <c r="X10" s="228">
        <f t="shared" si="4"/>
        <v>0.70034647338313416</v>
      </c>
      <c r="Y10" s="227">
        <v>1.9454068705087059E-4</v>
      </c>
      <c r="Z10" s="228">
        <f t="shared" si="5"/>
        <v>20.336686673724234</v>
      </c>
      <c r="AA10" s="227">
        <v>5.6490796315900654E-3</v>
      </c>
      <c r="AB10" s="228">
        <f t="shared" si="6"/>
        <v>103.38488860457039</v>
      </c>
      <c r="AC10" s="227">
        <v>2.8718024612380665E-2</v>
      </c>
      <c r="AD10" s="228">
        <f t="shared" si="7"/>
        <v>58.159692840544665</v>
      </c>
      <c r="AE10" s="227">
        <v>1.6155470233484629E-2</v>
      </c>
      <c r="AF10" s="139">
        <f t="shared" si="8"/>
        <v>3600</v>
      </c>
      <c r="AG10" s="227">
        <f t="shared" si="9"/>
        <v>1.0000000000000002</v>
      </c>
      <c r="AH10" s="168">
        <v>240</v>
      </c>
    </row>
    <row r="11" spans="1:34" x14ac:dyDescent="0.2">
      <c r="A11" s="139">
        <v>7</v>
      </c>
      <c r="B11" s="168">
        <v>182</v>
      </c>
      <c r="C11" s="168">
        <v>18</v>
      </c>
      <c r="E11" s="139">
        <v>7</v>
      </c>
      <c r="F11" s="168">
        <v>196</v>
      </c>
      <c r="G11" s="168">
        <v>22</v>
      </c>
      <c r="O11" s="139" t="s">
        <v>50</v>
      </c>
      <c r="P11" s="228">
        <f>SUM(P4:P10)</f>
        <v>1472.8020462950874</v>
      </c>
      <c r="Q11" s="244">
        <f>P11/AF11</f>
        <v>0.32728934362113055</v>
      </c>
      <c r="R11" s="139">
        <f>SUM(R4:R10)</f>
        <v>2338.9549587662527</v>
      </c>
      <c r="S11" s="244">
        <f>R11/AF11</f>
        <v>0.51976776861472285</v>
      </c>
      <c r="T11" s="228">
        <f>SUM(T4:T10)</f>
        <v>468.5920066881942</v>
      </c>
      <c r="U11" s="244">
        <f>T11/AF11</f>
        <v>0.10413155704182094</v>
      </c>
      <c r="V11" s="228">
        <f>SUM(V4:V10)</f>
        <v>8.6389894234586535</v>
      </c>
      <c r="W11" s="244">
        <f>V11/AF11</f>
        <v>1.9197754274352563E-3</v>
      </c>
      <c r="X11" s="228">
        <f>SUM(X4:X10)</f>
        <v>0.8828177410094239</v>
      </c>
      <c r="Y11" s="244">
        <f>X11/AF11</f>
        <v>1.9618172022431641E-4</v>
      </c>
      <c r="Z11" s="228">
        <f>SUM(Z4:Z10)</f>
        <v>23.235513490253581</v>
      </c>
      <c r="AA11" s="244">
        <f>Z11/AF11</f>
        <v>5.1634474422785738E-3</v>
      </c>
      <c r="AB11" s="228">
        <f>SUM(AB4:AB10)</f>
        <v>119.45498478611107</v>
      </c>
      <c r="AC11" s="244">
        <f>AB11/AF11</f>
        <v>2.6545552174691348E-2</v>
      </c>
      <c r="AD11" s="228">
        <f>SUM(AD4:AD10)</f>
        <v>67.438682809633221</v>
      </c>
      <c r="AE11" s="244">
        <f>AD11/AF11</f>
        <v>1.4986373957696272E-2</v>
      </c>
      <c r="AF11" s="139">
        <f>SUM(AF4:AF10)</f>
        <v>4500</v>
      </c>
      <c r="AG11" s="245">
        <f>Q11+S11+U11+W11+Y11+AA11+AC11+AE11</f>
        <v>1.0000000000000002</v>
      </c>
      <c r="AH11" s="139">
        <f t="shared" ref="AH11" si="10">AF11/15</f>
        <v>300</v>
      </c>
    </row>
    <row r="12" spans="1:34" x14ac:dyDescent="0.2">
      <c r="A12" s="139">
        <v>10</v>
      </c>
      <c r="B12" s="225">
        <v>146</v>
      </c>
      <c r="C12" s="168">
        <v>10</v>
      </c>
      <c r="E12" s="139">
        <v>10</v>
      </c>
      <c r="F12" s="168">
        <v>151</v>
      </c>
      <c r="G12" s="168">
        <v>11</v>
      </c>
    </row>
    <row r="13" spans="1:34" x14ac:dyDescent="0.2">
      <c r="A13" s="139">
        <v>11</v>
      </c>
      <c r="B13" s="168">
        <v>105</v>
      </c>
      <c r="C13" s="165"/>
      <c r="E13" s="139">
        <v>11</v>
      </c>
      <c r="F13" s="168">
        <v>110</v>
      </c>
      <c r="G13" s="165"/>
      <c r="N13" s="167" t="s">
        <v>189</v>
      </c>
      <c r="O13" s="124" t="s">
        <v>214</v>
      </c>
      <c r="P13" s="250" t="s">
        <v>68</v>
      </c>
      <c r="Q13" s="124" t="s">
        <v>100</v>
      </c>
      <c r="R13" s="124"/>
      <c r="S13" s="124" t="s">
        <v>101</v>
      </c>
      <c r="T13" s="250"/>
      <c r="U13" s="124" t="s">
        <v>102</v>
      </c>
      <c r="V13" s="250"/>
      <c r="W13" s="124" t="s">
        <v>103</v>
      </c>
      <c r="X13" s="250"/>
      <c r="Y13" s="124" t="s">
        <v>104</v>
      </c>
      <c r="Z13" s="250"/>
      <c r="AA13" s="124" t="s">
        <v>105</v>
      </c>
      <c r="AB13" s="250"/>
      <c r="AC13" s="124" t="s">
        <v>215</v>
      </c>
      <c r="AD13" s="250"/>
      <c r="AE13" s="124" t="s">
        <v>216</v>
      </c>
      <c r="AF13" s="124" t="s">
        <v>106</v>
      </c>
      <c r="AG13" s="124" t="s">
        <v>81</v>
      </c>
      <c r="AH13" s="124" t="s">
        <v>106</v>
      </c>
    </row>
    <row r="14" spans="1:34" x14ac:dyDescent="0.2">
      <c r="A14" s="167" t="s">
        <v>171</v>
      </c>
      <c r="E14" s="167" t="s">
        <v>172</v>
      </c>
      <c r="O14" s="127" t="s">
        <v>23</v>
      </c>
      <c r="P14" s="251" t="s">
        <v>100</v>
      </c>
      <c r="Q14" s="127" t="s">
        <v>111</v>
      </c>
      <c r="R14" s="127" t="s">
        <v>101</v>
      </c>
      <c r="S14" s="127" t="s">
        <v>111</v>
      </c>
      <c r="T14" s="251" t="s">
        <v>102</v>
      </c>
      <c r="U14" s="127" t="s">
        <v>111</v>
      </c>
      <c r="V14" s="251" t="s">
        <v>103</v>
      </c>
      <c r="W14" s="127" t="s">
        <v>111</v>
      </c>
      <c r="X14" s="251" t="s">
        <v>104</v>
      </c>
      <c r="Y14" s="127" t="s">
        <v>111</v>
      </c>
      <c r="Z14" s="251" t="s">
        <v>105</v>
      </c>
      <c r="AA14" s="127" t="s">
        <v>111</v>
      </c>
      <c r="AB14" s="251" t="s">
        <v>215</v>
      </c>
      <c r="AC14" s="127" t="s">
        <v>111</v>
      </c>
      <c r="AD14" s="251" t="s">
        <v>216</v>
      </c>
      <c r="AE14" s="127" t="s">
        <v>111</v>
      </c>
      <c r="AF14" s="127" t="s">
        <v>67</v>
      </c>
      <c r="AG14" s="127" t="s">
        <v>111</v>
      </c>
      <c r="AH14" s="127" t="s">
        <v>66</v>
      </c>
    </row>
    <row r="15" spans="1:34" x14ac:dyDescent="0.2">
      <c r="A15" s="139" t="s">
        <v>168</v>
      </c>
      <c r="B15" s="139" t="s">
        <v>47</v>
      </c>
      <c r="C15" s="139" t="s">
        <v>48</v>
      </c>
      <c r="E15" s="139" t="s">
        <v>168</v>
      </c>
      <c r="F15" s="139" t="s">
        <v>47</v>
      </c>
      <c r="G15" s="139" t="s">
        <v>48</v>
      </c>
      <c r="O15" s="139" t="s">
        <v>217</v>
      </c>
      <c r="P15" s="228">
        <f>AF15*Q15</f>
        <v>0</v>
      </c>
      <c r="Q15" s="227">
        <v>7.6637186369212518E-3</v>
      </c>
      <c r="R15" s="228">
        <f>AF15*S15</f>
        <v>0</v>
      </c>
      <c r="S15" s="227">
        <v>1.2894787427193143E-2</v>
      </c>
      <c r="T15" s="228">
        <f>AF15*U15</f>
        <v>0</v>
      </c>
      <c r="U15" s="227">
        <v>0.1325441367862282</v>
      </c>
      <c r="V15" s="228">
        <f>AF15*W15</f>
        <v>0</v>
      </c>
      <c r="W15" s="227">
        <v>0.59234214404505858</v>
      </c>
      <c r="X15" s="228">
        <f>AF15*Y15</f>
        <v>0</v>
      </c>
      <c r="Y15" s="227">
        <v>0.23185874775707016</v>
      </c>
      <c r="Z15" s="228">
        <f>AF15*AA15</f>
        <v>0</v>
      </c>
      <c r="AA15" s="227">
        <v>5.3230558270000372E-3</v>
      </c>
      <c r="AB15" s="228">
        <f>AF15*AC15</f>
        <v>0</v>
      </c>
      <c r="AC15" s="227">
        <v>6.9773179060056431E-3</v>
      </c>
      <c r="AD15" s="228">
        <f>AF15*AE15</f>
        <v>0</v>
      </c>
      <c r="AE15" s="227">
        <v>1.0396091614522953E-2</v>
      </c>
      <c r="AF15" s="139">
        <f t="shared" ref="AF15:AF21" si="11">(AH15*15)</f>
        <v>0</v>
      </c>
      <c r="AG15" s="229">
        <f>SUM(Q15+S15+U15+W15+Y15+AA15+AC15+AE15)</f>
        <v>0.99999999999999989</v>
      </c>
      <c r="AH15" s="168"/>
    </row>
    <row r="16" spans="1:34" x14ac:dyDescent="0.2">
      <c r="A16" s="139">
        <v>6</v>
      </c>
      <c r="B16" s="168">
        <v>270</v>
      </c>
      <c r="C16" s="165"/>
      <c r="E16" s="139">
        <v>6</v>
      </c>
      <c r="F16" s="168">
        <v>266</v>
      </c>
      <c r="G16" s="165"/>
      <c r="O16" s="139" t="s">
        <v>218</v>
      </c>
      <c r="P16" s="228">
        <f t="shared" ref="P16:P21" si="12">AF16*Q16</f>
        <v>0</v>
      </c>
      <c r="Q16" s="227">
        <v>1.7661923838691227E-2</v>
      </c>
      <c r="R16" s="228">
        <f t="shared" ref="R16:R21" si="13">AF16*S16</f>
        <v>0</v>
      </c>
      <c r="S16" s="227">
        <v>3.2802623957332765E-2</v>
      </c>
      <c r="T16" s="228">
        <f t="shared" ref="T16:T21" si="14">AF16*U16</f>
        <v>0</v>
      </c>
      <c r="U16" s="227">
        <v>0.4048792394312492</v>
      </c>
      <c r="V16" s="228">
        <f t="shared" ref="V16:V21" si="15">AF16*W16</f>
        <v>0</v>
      </c>
      <c r="W16" s="227">
        <v>0.49075956084416428</v>
      </c>
      <c r="X16" s="228">
        <f t="shared" ref="X16:X21" si="16">AF16*Y16</f>
        <v>0</v>
      </c>
      <c r="Y16" s="227">
        <v>3.3546653325059593E-2</v>
      </c>
      <c r="Z16" s="228">
        <f t="shared" ref="Z16:Z21" si="17">AF16*AA16</f>
        <v>0</v>
      </c>
      <c r="AA16" s="227">
        <v>4.5703099859257376E-3</v>
      </c>
      <c r="AB16" s="228">
        <f t="shared" ref="AB16:AB21" si="18">AF16*AC16</f>
        <v>0</v>
      </c>
      <c r="AC16" s="227">
        <v>7.0189158567995442E-3</v>
      </c>
      <c r="AD16" s="228">
        <f t="shared" ref="AD16:AD21" si="19">AF16*AE16</f>
        <v>0</v>
      </c>
      <c r="AE16" s="227">
        <v>8.760772760777618E-3</v>
      </c>
      <c r="AF16" s="139">
        <f t="shared" si="11"/>
        <v>0</v>
      </c>
      <c r="AG16" s="227">
        <f t="shared" ref="AG16:AG21" si="20">SUM(Q16+S16+U16+W16+Y16+AA16+AC16+AE16)</f>
        <v>1</v>
      </c>
      <c r="AH16" s="168"/>
    </row>
    <row r="17" spans="1:34" x14ac:dyDescent="0.2">
      <c r="A17" s="139">
        <v>7</v>
      </c>
      <c r="B17" s="168">
        <v>204</v>
      </c>
      <c r="C17" s="168">
        <v>25</v>
      </c>
      <c r="E17" s="139">
        <v>7</v>
      </c>
      <c r="F17" s="168">
        <v>194</v>
      </c>
      <c r="G17" s="168">
        <v>22</v>
      </c>
      <c r="O17" s="139" t="s">
        <v>219</v>
      </c>
      <c r="P17" s="228">
        <f t="shared" si="12"/>
        <v>0</v>
      </c>
      <c r="Q17" s="227">
        <v>1.8025454978891877E-2</v>
      </c>
      <c r="R17" s="228">
        <f t="shared" si="13"/>
        <v>0</v>
      </c>
      <c r="S17" s="227">
        <v>8.7671512934949555E-2</v>
      </c>
      <c r="T17" s="228">
        <f t="shared" si="14"/>
        <v>0</v>
      </c>
      <c r="U17" s="227">
        <v>0.64997329422521566</v>
      </c>
      <c r="V17" s="228">
        <f t="shared" si="15"/>
        <v>0</v>
      </c>
      <c r="W17" s="227">
        <v>0.22078659822746077</v>
      </c>
      <c r="X17" s="228">
        <f t="shared" si="16"/>
        <v>0</v>
      </c>
      <c r="Y17" s="227">
        <v>6.8178937743859939E-3</v>
      </c>
      <c r="Z17" s="228">
        <f t="shared" si="17"/>
        <v>0</v>
      </c>
      <c r="AA17" s="227">
        <v>4.1829617156876062E-3</v>
      </c>
      <c r="AB17" s="228">
        <f t="shared" si="18"/>
        <v>0</v>
      </c>
      <c r="AC17" s="227">
        <v>6.397315541553884E-3</v>
      </c>
      <c r="AD17" s="228">
        <f t="shared" si="19"/>
        <v>0</v>
      </c>
      <c r="AE17" s="227">
        <v>6.144968601854618E-3</v>
      </c>
      <c r="AF17" s="139">
        <f t="shared" si="11"/>
        <v>0</v>
      </c>
      <c r="AG17" s="227">
        <f t="shared" si="20"/>
        <v>1</v>
      </c>
      <c r="AH17" s="168"/>
    </row>
    <row r="18" spans="1:34" x14ac:dyDescent="0.2">
      <c r="A18" s="139">
        <v>10</v>
      </c>
      <c r="B18" s="168">
        <v>156</v>
      </c>
      <c r="C18" s="168">
        <v>12</v>
      </c>
      <c r="E18" s="139">
        <v>10</v>
      </c>
      <c r="F18" s="168">
        <v>157</v>
      </c>
      <c r="G18" s="168">
        <v>11</v>
      </c>
      <c r="O18" s="139" t="s">
        <v>220</v>
      </c>
      <c r="P18" s="228">
        <f t="shared" si="12"/>
        <v>0</v>
      </c>
      <c r="Q18" s="227">
        <v>2.6348294930420929E-2</v>
      </c>
      <c r="R18" s="228">
        <f t="shared" si="13"/>
        <v>0</v>
      </c>
      <c r="S18" s="227">
        <v>0.25469985546495394</v>
      </c>
      <c r="T18" s="228">
        <f t="shared" si="14"/>
        <v>0</v>
      </c>
      <c r="U18" s="227">
        <v>0.62709760801898196</v>
      </c>
      <c r="V18" s="228">
        <f t="shared" si="15"/>
        <v>0</v>
      </c>
      <c r="W18" s="227">
        <v>7.2177743576083156E-2</v>
      </c>
      <c r="X18" s="228">
        <f t="shared" si="16"/>
        <v>0</v>
      </c>
      <c r="Y18" s="227">
        <v>1.2870031916100613E-3</v>
      </c>
      <c r="Z18" s="228">
        <f t="shared" si="17"/>
        <v>0</v>
      </c>
      <c r="AA18" s="227">
        <v>3.5453016244160638E-3</v>
      </c>
      <c r="AB18" s="228">
        <f t="shared" si="18"/>
        <v>0</v>
      </c>
      <c r="AC18" s="227">
        <v>7.0032902687957223E-3</v>
      </c>
      <c r="AD18" s="228">
        <f t="shared" si="19"/>
        <v>0</v>
      </c>
      <c r="AE18" s="227">
        <v>7.8409029247381839E-3</v>
      </c>
      <c r="AF18" s="139">
        <f t="shared" si="11"/>
        <v>0</v>
      </c>
      <c r="AG18" s="227">
        <f t="shared" si="20"/>
        <v>1</v>
      </c>
      <c r="AH18" s="168"/>
    </row>
    <row r="19" spans="1:34" x14ac:dyDescent="0.2">
      <c r="A19" s="139">
        <v>11</v>
      </c>
      <c r="B19" s="168">
        <v>153</v>
      </c>
      <c r="C19" s="165"/>
      <c r="E19" s="139">
        <v>11</v>
      </c>
      <c r="F19" s="168">
        <v>115</v>
      </c>
      <c r="G19" s="165"/>
      <c r="O19" s="139" t="s">
        <v>221</v>
      </c>
      <c r="P19" s="228">
        <f t="shared" si="12"/>
        <v>0</v>
      </c>
      <c r="Q19" s="227">
        <v>5.742283113267601E-2</v>
      </c>
      <c r="R19" s="228">
        <f t="shared" si="13"/>
        <v>0</v>
      </c>
      <c r="S19" s="227">
        <v>0.50285288591189314</v>
      </c>
      <c r="T19" s="228">
        <f t="shared" si="14"/>
        <v>0</v>
      </c>
      <c r="U19" s="227">
        <v>0.39999177037377553</v>
      </c>
      <c r="V19" s="228">
        <f t="shared" si="15"/>
        <v>0</v>
      </c>
      <c r="W19" s="227">
        <v>1.9053887776763402E-2</v>
      </c>
      <c r="X19" s="228">
        <f t="shared" si="16"/>
        <v>0</v>
      </c>
      <c r="Y19" s="227">
        <v>3.3778316593106704E-4</v>
      </c>
      <c r="Z19" s="228">
        <f t="shared" si="17"/>
        <v>0</v>
      </c>
      <c r="AA19" s="227">
        <v>3.6004614732197829E-3</v>
      </c>
      <c r="AB19" s="228">
        <f t="shared" si="18"/>
        <v>0</v>
      </c>
      <c r="AC19" s="227">
        <v>8.4032774793514672E-3</v>
      </c>
      <c r="AD19" s="228">
        <f t="shared" si="19"/>
        <v>0</v>
      </c>
      <c r="AE19" s="227">
        <v>8.3371026863895189E-3</v>
      </c>
      <c r="AF19" s="139">
        <f t="shared" si="11"/>
        <v>0</v>
      </c>
      <c r="AG19" s="227">
        <f t="shared" si="20"/>
        <v>0.99999999999999989</v>
      </c>
      <c r="AH19" s="168"/>
    </row>
    <row r="20" spans="1:34" x14ac:dyDescent="0.2">
      <c r="O20" s="139" t="s">
        <v>222</v>
      </c>
      <c r="P20" s="228">
        <f t="shared" si="12"/>
        <v>155.31971309582397</v>
      </c>
      <c r="Q20" s="227">
        <v>0.17257745899535998</v>
      </c>
      <c r="R20" s="228">
        <f t="shared" si="13"/>
        <v>548.42252596931837</v>
      </c>
      <c r="S20" s="227">
        <v>0.60935836218813155</v>
      </c>
      <c r="T20" s="228">
        <f t="shared" si="14"/>
        <v>164.49727134110617</v>
      </c>
      <c r="U20" s="227">
        <v>0.18277474593456242</v>
      </c>
      <c r="V20" s="228">
        <f t="shared" si="15"/>
        <v>3.3301053589666245</v>
      </c>
      <c r="W20" s="227">
        <v>3.7001170655184719E-3</v>
      </c>
      <c r="X20" s="228">
        <f t="shared" si="16"/>
        <v>0.18247126762628976</v>
      </c>
      <c r="Y20" s="227">
        <v>2.0274585291809972E-4</v>
      </c>
      <c r="Z20" s="228">
        <f t="shared" si="17"/>
        <v>2.8988268165293452</v>
      </c>
      <c r="AA20" s="227">
        <v>3.2209186850326059E-3</v>
      </c>
      <c r="AB20" s="228">
        <f t="shared" si="18"/>
        <v>16.070096181540674</v>
      </c>
      <c r="AC20" s="227">
        <v>1.785566242393408E-2</v>
      </c>
      <c r="AD20" s="228">
        <f t="shared" si="19"/>
        <v>9.2789899690885544</v>
      </c>
      <c r="AE20" s="227">
        <v>1.0309988854542838E-2</v>
      </c>
      <c r="AF20" s="139">
        <f t="shared" si="11"/>
        <v>900</v>
      </c>
      <c r="AG20" s="227">
        <f t="shared" si="20"/>
        <v>1</v>
      </c>
      <c r="AH20" s="168">
        <v>60</v>
      </c>
    </row>
    <row r="21" spans="1:34" x14ac:dyDescent="0.2">
      <c r="A21" s="167" t="s">
        <v>173</v>
      </c>
      <c r="E21" s="167" t="s">
        <v>174</v>
      </c>
      <c r="O21" s="139" t="s">
        <v>223</v>
      </c>
      <c r="P21" s="228">
        <f t="shared" si="12"/>
        <v>988.11174989944755</v>
      </c>
      <c r="Q21" s="227">
        <v>0.36596731477757316</v>
      </c>
      <c r="R21" s="228">
        <f t="shared" si="13"/>
        <v>1342.8993245977006</v>
      </c>
      <c r="S21" s="227">
        <v>0.49737012022137062</v>
      </c>
      <c r="T21" s="228">
        <f t="shared" si="14"/>
        <v>228.07105151031604</v>
      </c>
      <c r="U21" s="228">
        <v>8.4470759818635568E-2</v>
      </c>
      <c r="V21" s="228">
        <f t="shared" si="15"/>
        <v>3.9816630483690214</v>
      </c>
      <c r="W21" s="227">
        <v>1.4746900179144523E-3</v>
      </c>
      <c r="X21" s="228">
        <f t="shared" si="16"/>
        <v>0.52525985503735062</v>
      </c>
      <c r="Y21" s="227">
        <v>1.9454068705087059E-4</v>
      </c>
      <c r="Z21" s="228">
        <f t="shared" si="17"/>
        <v>15.252515005293176</v>
      </c>
      <c r="AA21" s="227">
        <v>5.6490796315900654E-3</v>
      </c>
      <c r="AB21" s="228">
        <f t="shared" si="18"/>
        <v>77.538666453427794</v>
      </c>
      <c r="AC21" s="227">
        <v>2.8718024612380665E-2</v>
      </c>
      <c r="AD21" s="228">
        <f t="shared" si="19"/>
        <v>43.619769630408499</v>
      </c>
      <c r="AE21" s="227">
        <v>1.6155470233484629E-2</v>
      </c>
      <c r="AF21" s="139">
        <f t="shared" si="11"/>
        <v>2700</v>
      </c>
      <c r="AG21" s="227">
        <f t="shared" si="20"/>
        <v>1.0000000000000002</v>
      </c>
      <c r="AH21" s="168">
        <v>180</v>
      </c>
    </row>
    <row r="22" spans="1:34" x14ac:dyDescent="0.2">
      <c r="A22" s="139" t="s">
        <v>168</v>
      </c>
      <c r="B22" s="139" t="s">
        <v>47</v>
      </c>
      <c r="C22" s="139" t="s">
        <v>48</v>
      </c>
      <c r="E22" s="139" t="s">
        <v>168</v>
      </c>
      <c r="F22" s="139" t="s">
        <v>47</v>
      </c>
      <c r="G22" s="139" t="s">
        <v>48</v>
      </c>
      <c r="O22" s="139" t="s">
        <v>50</v>
      </c>
      <c r="P22" s="228">
        <f>SUM(P15:P21)</f>
        <v>1143.4314629952714</v>
      </c>
      <c r="Q22" s="139">
        <f>P22/AF22</f>
        <v>0.31761985083201982</v>
      </c>
      <c r="R22" s="139">
        <f>SUM(R15:R21)</f>
        <v>1891.3218505670188</v>
      </c>
      <c r="S22" s="139">
        <f>R22/AF22</f>
        <v>0.52536718071306077</v>
      </c>
      <c r="T22" s="228">
        <f>SUM(T15:T21)</f>
        <v>392.56832285142218</v>
      </c>
      <c r="U22" s="139">
        <f>T22/AF22</f>
        <v>0.10904675634761728</v>
      </c>
      <c r="V22" s="228">
        <f>SUM(V15:V21)</f>
        <v>7.3117684073356459</v>
      </c>
      <c r="W22" s="139">
        <f>V22/AF22</f>
        <v>2.0310467798154573E-3</v>
      </c>
      <c r="X22" s="228">
        <f>SUM(X15:X21)</f>
        <v>0.70773112266364036</v>
      </c>
      <c r="Y22" s="139">
        <f>X22/AF22</f>
        <v>1.9659197851767788E-4</v>
      </c>
      <c r="Z22" s="228">
        <f>SUM(Z15:Z21)</f>
        <v>18.15134182182252</v>
      </c>
      <c r="AA22" s="139">
        <f>Z22/AF22</f>
        <v>5.0420393949506996E-3</v>
      </c>
      <c r="AB22" s="228">
        <f>SUM(AB15:AB21)</f>
        <v>93.608762634968471</v>
      </c>
      <c r="AC22" s="139">
        <f>AB22/AF22</f>
        <v>2.6002434065269021E-2</v>
      </c>
      <c r="AD22" s="228">
        <f>SUM(AD15:AD21)</f>
        <v>52.898759599497055</v>
      </c>
      <c r="AE22" s="139">
        <f>AD22/AF22</f>
        <v>1.4694099888749182E-2</v>
      </c>
      <c r="AF22" s="139">
        <f>SUM(AF15:AF21)</f>
        <v>3600</v>
      </c>
      <c r="AG22" s="254">
        <f>Q22+S22+U22+W22+Y22+AA22+AC22+AE22</f>
        <v>0.99999999999999989</v>
      </c>
      <c r="AH22" s="139">
        <f t="shared" ref="AH22" si="21">AF22/15</f>
        <v>240</v>
      </c>
    </row>
    <row r="23" spans="1:34" x14ac:dyDescent="0.2">
      <c r="A23" s="139">
        <v>6</v>
      </c>
      <c r="B23" s="168">
        <v>270</v>
      </c>
      <c r="C23" s="165"/>
      <c r="E23" s="139">
        <v>6</v>
      </c>
      <c r="F23" s="168">
        <v>270</v>
      </c>
      <c r="G23" s="165"/>
    </row>
    <row r="24" spans="1:34" x14ac:dyDescent="0.2">
      <c r="A24" s="139">
        <v>7</v>
      </c>
      <c r="B24" s="168">
        <v>192</v>
      </c>
      <c r="C24" s="168">
        <v>22</v>
      </c>
      <c r="E24" s="139">
        <v>7</v>
      </c>
      <c r="F24" s="168">
        <v>196</v>
      </c>
      <c r="G24" s="168">
        <v>22</v>
      </c>
      <c r="N24" s="167" t="s">
        <v>190</v>
      </c>
      <c r="O24" s="124" t="s">
        <v>214</v>
      </c>
      <c r="P24" s="250" t="s">
        <v>68</v>
      </c>
      <c r="Q24" s="124" t="s">
        <v>100</v>
      </c>
      <c r="R24" s="124"/>
      <c r="S24" s="124" t="s">
        <v>101</v>
      </c>
      <c r="T24" s="250"/>
      <c r="U24" s="124" t="s">
        <v>102</v>
      </c>
      <c r="V24" s="250"/>
      <c r="W24" s="124" t="s">
        <v>103</v>
      </c>
      <c r="X24" s="250"/>
      <c r="Y24" s="124" t="s">
        <v>104</v>
      </c>
      <c r="Z24" s="250"/>
      <c r="AA24" s="124" t="s">
        <v>105</v>
      </c>
      <c r="AB24" s="250"/>
      <c r="AC24" s="124" t="s">
        <v>215</v>
      </c>
      <c r="AD24" s="250"/>
      <c r="AE24" s="124" t="s">
        <v>216</v>
      </c>
      <c r="AF24" s="124" t="s">
        <v>106</v>
      </c>
      <c r="AG24" s="124" t="s">
        <v>81</v>
      </c>
      <c r="AH24" s="124" t="s">
        <v>106</v>
      </c>
    </row>
    <row r="25" spans="1:34" x14ac:dyDescent="0.2">
      <c r="A25" s="139">
        <v>10</v>
      </c>
      <c r="B25" s="168">
        <v>160</v>
      </c>
      <c r="C25" s="168">
        <v>11</v>
      </c>
      <c r="E25" s="139">
        <v>10</v>
      </c>
      <c r="F25" s="168">
        <v>154</v>
      </c>
      <c r="G25" s="168">
        <v>11</v>
      </c>
      <c r="O25" s="127" t="s">
        <v>23</v>
      </c>
      <c r="P25" s="251" t="s">
        <v>100</v>
      </c>
      <c r="Q25" s="127" t="s">
        <v>111</v>
      </c>
      <c r="R25" s="127" t="s">
        <v>101</v>
      </c>
      <c r="S25" s="127" t="s">
        <v>111</v>
      </c>
      <c r="T25" s="251" t="s">
        <v>102</v>
      </c>
      <c r="U25" s="127" t="s">
        <v>111</v>
      </c>
      <c r="V25" s="251" t="s">
        <v>103</v>
      </c>
      <c r="W25" s="127" t="s">
        <v>111</v>
      </c>
      <c r="X25" s="251" t="s">
        <v>104</v>
      </c>
      <c r="Y25" s="127" t="s">
        <v>111</v>
      </c>
      <c r="Z25" s="251" t="s">
        <v>105</v>
      </c>
      <c r="AA25" s="127" t="s">
        <v>111</v>
      </c>
      <c r="AB25" s="251" t="s">
        <v>215</v>
      </c>
      <c r="AC25" s="127" t="s">
        <v>111</v>
      </c>
      <c r="AD25" s="251" t="s">
        <v>216</v>
      </c>
      <c r="AE25" s="127" t="s">
        <v>111</v>
      </c>
      <c r="AF25" s="127" t="s">
        <v>67</v>
      </c>
      <c r="AG25" s="127" t="s">
        <v>111</v>
      </c>
      <c r="AH25" s="127" t="s">
        <v>66</v>
      </c>
    </row>
    <row r="26" spans="1:34" x14ac:dyDescent="0.2">
      <c r="A26" s="139">
        <v>11</v>
      </c>
      <c r="B26" s="168">
        <v>126</v>
      </c>
      <c r="C26" s="165"/>
      <c r="E26" s="139">
        <v>11</v>
      </c>
      <c r="F26" s="168">
        <v>132</v>
      </c>
      <c r="G26" s="165"/>
      <c r="O26" s="139" t="s">
        <v>217</v>
      </c>
      <c r="P26" s="228">
        <f>AF26*Q26</f>
        <v>0</v>
      </c>
      <c r="Q26" s="227">
        <v>7.6637186369212518E-3</v>
      </c>
      <c r="R26" s="228">
        <f>AF26*S26</f>
        <v>0</v>
      </c>
      <c r="S26" s="227">
        <v>1.2894787427193143E-2</v>
      </c>
      <c r="T26" s="228">
        <f>AF26*U26</f>
        <v>0</v>
      </c>
      <c r="U26" s="227">
        <v>0.1325441367862282</v>
      </c>
      <c r="V26" s="228">
        <f>AF26*W26</f>
        <v>0</v>
      </c>
      <c r="W26" s="227">
        <v>0.59234214404505858</v>
      </c>
      <c r="X26" s="228">
        <f>AF26*Y26</f>
        <v>0</v>
      </c>
      <c r="Y26" s="227">
        <v>0.23185874775707016</v>
      </c>
      <c r="Z26" s="228">
        <f>AF26*AA26</f>
        <v>0</v>
      </c>
      <c r="AA26" s="227">
        <v>5.3230558270000372E-3</v>
      </c>
      <c r="AB26" s="228">
        <f>AF26*AC26</f>
        <v>0</v>
      </c>
      <c r="AC26" s="227">
        <v>6.9773179060056431E-3</v>
      </c>
      <c r="AD26" s="228">
        <f>AF26*AE26</f>
        <v>0</v>
      </c>
      <c r="AE26" s="227">
        <v>1.0396091614522953E-2</v>
      </c>
      <c r="AF26" s="139">
        <f>AH26*15</f>
        <v>0</v>
      </c>
      <c r="AG26" s="229">
        <f>SUM(Q26+S26+U26+W26+Y26+AA26+AC26+AE26)</f>
        <v>0.99999999999999989</v>
      </c>
      <c r="AH26" s="168"/>
    </row>
    <row r="27" spans="1:34" x14ac:dyDescent="0.2">
      <c r="A27" s="167" t="s">
        <v>175</v>
      </c>
      <c r="E27" s="167" t="s">
        <v>177</v>
      </c>
      <c r="I27" s="167" t="s">
        <v>178</v>
      </c>
      <c r="O27" s="139" t="s">
        <v>218</v>
      </c>
      <c r="P27" s="228">
        <f t="shared" ref="P27:P32" si="22">AF27*Q27</f>
        <v>0</v>
      </c>
      <c r="Q27" s="227">
        <v>1.7661923838691227E-2</v>
      </c>
      <c r="R27" s="228">
        <f t="shared" ref="R27:R32" si="23">AF27*S27</f>
        <v>0</v>
      </c>
      <c r="S27" s="227">
        <v>3.2802623957332765E-2</v>
      </c>
      <c r="T27" s="228">
        <f t="shared" ref="T27:T32" si="24">AF27*U27</f>
        <v>0</v>
      </c>
      <c r="U27" s="227">
        <v>0.4048792394312492</v>
      </c>
      <c r="V27" s="228">
        <f t="shared" ref="V27:V32" si="25">AF27*W27</f>
        <v>0</v>
      </c>
      <c r="W27" s="227">
        <v>0.49075956084416428</v>
      </c>
      <c r="X27" s="228">
        <f t="shared" ref="X27:X32" si="26">AF27*Y27</f>
        <v>0</v>
      </c>
      <c r="Y27" s="227">
        <v>3.3546653325059593E-2</v>
      </c>
      <c r="Z27" s="228">
        <f t="shared" ref="Z27:Z32" si="27">AF27*AA27</f>
        <v>0</v>
      </c>
      <c r="AA27" s="227">
        <v>4.5703099859257376E-3</v>
      </c>
      <c r="AB27" s="228">
        <f t="shared" ref="AB27:AB32" si="28">AF27*AC27</f>
        <v>0</v>
      </c>
      <c r="AC27" s="227">
        <v>7.0189158567995442E-3</v>
      </c>
      <c r="AD27" s="228">
        <f t="shared" ref="AD27:AD32" si="29">AF27*AE27</f>
        <v>0</v>
      </c>
      <c r="AE27" s="227">
        <v>8.760772760777618E-3</v>
      </c>
      <c r="AF27" s="139">
        <f>AH27*15</f>
        <v>0</v>
      </c>
      <c r="AG27" s="227">
        <f t="shared" ref="AG27:AG32" si="30">SUM(Q27+S27+U27+W27+Y27+AA27+AC27+AE27)</f>
        <v>1</v>
      </c>
      <c r="AH27" s="168"/>
    </row>
    <row r="28" spans="1:34" x14ac:dyDescent="0.2">
      <c r="A28" s="139" t="s">
        <v>168</v>
      </c>
      <c r="B28" s="139" t="s">
        <v>47</v>
      </c>
      <c r="C28" s="139" t="s">
        <v>48</v>
      </c>
      <c r="E28" s="139" t="s">
        <v>168</v>
      </c>
      <c r="F28" s="139" t="s">
        <v>47</v>
      </c>
      <c r="G28" s="139" t="s">
        <v>48</v>
      </c>
      <c r="I28" s="139" t="s">
        <v>168</v>
      </c>
      <c r="J28" s="139" t="s">
        <v>47</v>
      </c>
      <c r="K28" s="139" t="s">
        <v>48</v>
      </c>
      <c r="O28" s="139" t="s">
        <v>219</v>
      </c>
      <c r="P28" s="228">
        <f t="shared" si="22"/>
        <v>0</v>
      </c>
      <c r="Q28" s="227">
        <v>1.8025454978891877E-2</v>
      </c>
      <c r="R28" s="228">
        <f t="shared" si="23"/>
        <v>0</v>
      </c>
      <c r="S28" s="227">
        <v>8.7671512934949555E-2</v>
      </c>
      <c r="T28" s="228">
        <f t="shared" si="24"/>
        <v>0</v>
      </c>
      <c r="U28" s="227">
        <v>0.64997329422521566</v>
      </c>
      <c r="V28" s="228">
        <f t="shared" si="25"/>
        <v>0</v>
      </c>
      <c r="W28" s="227">
        <v>0.22078659822746077</v>
      </c>
      <c r="X28" s="228">
        <f t="shared" si="26"/>
        <v>0</v>
      </c>
      <c r="Y28" s="227">
        <v>6.8178937743859939E-3</v>
      </c>
      <c r="Z28" s="228">
        <f t="shared" si="27"/>
        <v>0</v>
      </c>
      <c r="AA28" s="227">
        <v>4.1829617156876062E-3</v>
      </c>
      <c r="AB28" s="228">
        <f t="shared" si="28"/>
        <v>0</v>
      </c>
      <c r="AC28" s="227">
        <v>6.397315541553884E-3</v>
      </c>
      <c r="AD28" s="228">
        <f t="shared" si="29"/>
        <v>0</v>
      </c>
      <c r="AE28" s="227">
        <v>6.144968601854618E-3</v>
      </c>
      <c r="AF28" s="139">
        <f t="shared" ref="AF28:AF32" si="31">AH28*15</f>
        <v>0</v>
      </c>
      <c r="AG28" s="227">
        <f t="shared" si="30"/>
        <v>1</v>
      </c>
      <c r="AH28" s="168"/>
    </row>
    <row r="29" spans="1:34" x14ac:dyDescent="0.2">
      <c r="A29" s="139">
        <v>6</v>
      </c>
      <c r="B29" s="168">
        <v>272</v>
      </c>
      <c r="C29" s="165"/>
      <c r="E29" s="139">
        <v>6</v>
      </c>
      <c r="F29" s="198">
        <f t="shared" ref="F29:G31" si="32">B10+F10+B16+F16+B23+F23+B29</f>
        <v>1878</v>
      </c>
      <c r="G29" s="199">
        <f t="shared" si="32"/>
        <v>0</v>
      </c>
      <c r="I29" s="139">
        <v>6</v>
      </c>
      <c r="J29" s="198">
        <f t="shared" ref="J29:K31" si="33">F29*15</f>
        <v>28170</v>
      </c>
      <c r="K29" s="199">
        <f t="shared" si="33"/>
        <v>0</v>
      </c>
      <c r="O29" s="139" t="s">
        <v>220</v>
      </c>
      <c r="P29" s="228">
        <f t="shared" si="22"/>
        <v>0</v>
      </c>
      <c r="Q29" s="227">
        <v>2.6348294930420929E-2</v>
      </c>
      <c r="R29" s="228">
        <f t="shared" si="23"/>
        <v>0</v>
      </c>
      <c r="S29" s="227">
        <v>0.25469985546495394</v>
      </c>
      <c r="T29" s="228">
        <f t="shared" si="24"/>
        <v>0</v>
      </c>
      <c r="U29" s="227">
        <v>0.62709760801898196</v>
      </c>
      <c r="V29" s="228">
        <f t="shared" si="25"/>
        <v>0</v>
      </c>
      <c r="W29" s="227">
        <v>7.2177743576083156E-2</v>
      </c>
      <c r="X29" s="228">
        <f t="shared" si="26"/>
        <v>0</v>
      </c>
      <c r="Y29" s="227">
        <v>1.2870031916100613E-3</v>
      </c>
      <c r="Z29" s="228">
        <f t="shared" si="27"/>
        <v>0</v>
      </c>
      <c r="AA29" s="227">
        <v>3.5453016244160638E-3</v>
      </c>
      <c r="AB29" s="228">
        <f t="shared" si="28"/>
        <v>0</v>
      </c>
      <c r="AC29" s="227">
        <v>7.0032902687957223E-3</v>
      </c>
      <c r="AD29" s="228">
        <f t="shared" si="29"/>
        <v>0</v>
      </c>
      <c r="AE29" s="227">
        <v>7.8409029247381839E-3</v>
      </c>
      <c r="AF29" s="139">
        <f t="shared" si="31"/>
        <v>0</v>
      </c>
      <c r="AG29" s="227">
        <f t="shared" si="30"/>
        <v>1</v>
      </c>
      <c r="AH29" s="168"/>
    </row>
    <row r="30" spans="1:34" x14ac:dyDescent="0.2">
      <c r="A30" s="139">
        <v>7</v>
      </c>
      <c r="B30" s="168">
        <v>194</v>
      </c>
      <c r="C30" s="168">
        <v>22</v>
      </c>
      <c r="E30" s="139">
        <v>7</v>
      </c>
      <c r="F30" s="198">
        <f t="shared" si="32"/>
        <v>1358</v>
      </c>
      <c r="G30" s="198">
        <f t="shared" si="32"/>
        <v>153</v>
      </c>
      <c r="I30" s="139">
        <v>7</v>
      </c>
      <c r="J30" s="198">
        <f t="shared" si="33"/>
        <v>20370</v>
      </c>
      <c r="K30" s="198">
        <f t="shared" si="33"/>
        <v>2295</v>
      </c>
      <c r="O30" s="139" t="s">
        <v>221</v>
      </c>
      <c r="P30" s="228">
        <f t="shared" si="22"/>
        <v>0</v>
      </c>
      <c r="Q30" s="227">
        <v>5.742283113267601E-2</v>
      </c>
      <c r="R30" s="228">
        <f t="shared" si="23"/>
        <v>0</v>
      </c>
      <c r="S30" s="227">
        <v>0.50285288591189314</v>
      </c>
      <c r="T30" s="228">
        <f t="shared" si="24"/>
        <v>0</v>
      </c>
      <c r="U30" s="227">
        <v>0.39999177037377553</v>
      </c>
      <c r="V30" s="228">
        <f t="shared" si="25"/>
        <v>0</v>
      </c>
      <c r="W30" s="227">
        <v>1.9053887776763402E-2</v>
      </c>
      <c r="X30" s="228">
        <f t="shared" si="26"/>
        <v>0</v>
      </c>
      <c r="Y30" s="227">
        <v>3.3778316593106704E-4</v>
      </c>
      <c r="Z30" s="228">
        <f t="shared" si="27"/>
        <v>0</v>
      </c>
      <c r="AA30" s="227">
        <v>3.6004614732197829E-3</v>
      </c>
      <c r="AB30" s="228">
        <f t="shared" si="28"/>
        <v>0</v>
      </c>
      <c r="AC30" s="227">
        <v>8.4032774793514672E-3</v>
      </c>
      <c r="AD30" s="228">
        <f t="shared" si="29"/>
        <v>0</v>
      </c>
      <c r="AE30" s="227">
        <v>8.3371026863895189E-3</v>
      </c>
      <c r="AF30" s="139">
        <f t="shared" si="31"/>
        <v>0</v>
      </c>
      <c r="AG30" s="227">
        <f t="shared" si="30"/>
        <v>0.99999999999999989</v>
      </c>
      <c r="AH30" s="168"/>
    </row>
    <row r="31" spans="1:34" x14ac:dyDescent="0.2">
      <c r="A31" s="139">
        <v>10</v>
      </c>
      <c r="B31" s="168">
        <v>152</v>
      </c>
      <c r="C31" s="168">
        <v>11</v>
      </c>
      <c r="E31" s="139">
        <v>10</v>
      </c>
      <c r="F31" s="198">
        <f t="shared" si="32"/>
        <v>1076</v>
      </c>
      <c r="G31" s="198">
        <f t="shared" si="32"/>
        <v>77</v>
      </c>
      <c r="I31" s="139">
        <v>10</v>
      </c>
      <c r="J31" s="198">
        <f t="shared" si="33"/>
        <v>16140</v>
      </c>
      <c r="K31" s="198">
        <f t="shared" si="33"/>
        <v>1155</v>
      </c>
      <c r="O31" s="139" t="s">
        <v>222</v>
      </c>
      <c r="P31" s="228">
        <f t="shared" si="22"/>
        <v>0</v>
      </c>
      <c r="Q31" s="227">
        <v>0.17257745899535998</v>
      </c>
      <c r="R31" s="228">
        <f t="shared" si="23"/>
        <v>0</v>
      </c>
      <c r="S31" s="227">
        <v>0.60935836218813155</v>
      </c>
      <c r="T31" s="228">
        <f t="shared" si="24"/>
        <v>0</v>
      </c>
      <c r="U31" s="227">
        <v>0.18277474593456242</v>
      </c>
      <c r="V31" s="228">
        <f t="shared" si="25"/>
        <v>0</v>
      </c>
      <c r="W31" s="227">
        <v>3.7001170655184719E-3</v>
      </c>
      <c r="X31" s="228">
        <f t="shared" si="26"/>
        <v>0</v>
      </c>
      <c r="Y31" s="227">
        <v>2.0274585291809972E-4</v>
      </c>
      <c r="Z31" s="228">
        <f t="shared" si="27"/>
        <v>0</v>
      </c>
      <c r="AA31" s="227">
        <v>3.2209186850326059E-3</v>
      </c>
      <c r="AB31" s="228">
        <f t="shared" si="28"/>
        <v>0</v>
      </c>
      <c r="AC31" s="227">
        <v>1.785566242393408E-2</v>
      </c>
      <c r="AD31" s="228">
        <f t="shared" si="29"/>
        <v>0</v>
      </c>
      <c r="AE31" s="227">
        <v>1.0309988854542838E-2</v>
      </c>
      <c r="AF31" s="139">
        <f t="shared" si="31"/>
        <v>0</v>
      </c>
      <c r="AG31" s="227">
        <f t="shared" si="30"/>
        <v>1</v>
      </c>
      <c r="AH31" s="168"/>
    </row>
    <row r="32" spans="1:34" x14ac:dyDescent="0.2">
      <c r="A32" s="139">
        <v>11</v>
      </c>
      <c r="B32" s="168">
        <v>129</v>
      </c>
      <c r="C32" s="165"/>
      <c r="E32" s="139">
        <v>11</v>
      </c>
      <c r="F32" s="198">
        <f t="shared" ref="F32:G32" si="34">B13+F13+B19+F19+B26+F26+B32</f>
        <v>870</v>
      </c>
      <c r="G32" s="199">
        <f t="shared" si="34"/>
        <v>0</v>
      </c>
      <c r="I32" s="139">
        <v>11</v>
      </c>
      <c r="J32" s="198">
        <f>F32*15</f>
        <v>13050</v>
      </c>
      <c r="K32" s="199">
        <f>G32*180/12</f>
        <v>0</v>
      </c>
      <c r="O32" s="139" t="s">
        <v>223</v>
      </c>
      <c r="P32" s="228">
        <f t="shared" si="22"/>
        <v>988.11174989944755</v>
      </c>
      <c r="Q32" s="227">
        <v>0.36596731477757316</v>
      </c>
      <c r="R32" s="228">
        <f t="shared" si="23"/>
        <v>1342.8993245977006</v>
      </c>
      <c r="S32" s="227">
        <v>0.49737012022137062</v>
      </c>
      <c r="T32" s="228">
        <f t="shared" si="24"/>
        <v>228.07105151031604</v>
      </c>
      <c r="U32" s="228">
        <v>8.4470759818635568E-2</v>
      </c>
      <c r="V32" s="228">
        <f t="shared" si="25"/>
        <v>3.9816630483690214</v>
      </c>
      <c r="W32" s="227">
        <v>1.4746900179144523E-3</v>
      </c>
      <c r="X32" s="228">
        <f t="shared" si="26"/>
        <v>0.52525985503735062</v>
      </c>
      <c r="Y32" s="227">
        <v>1.9454068705087059E-4</v>
      </c>
      <c r="Z32" s="228">
        <f t="shared" si="27"/>
        <v>15.252515005293176</v>
      </c>
      <c r="AA32" s="227">
        <v>5.6490796315900654E-3</v>
      </c>
      <c r="AB32" s="228">
        <f t="shared" si="28"/>
        <v>77.538666453427794</v>
      </c>
      <c r="AC32" s="227">
        <v>2.8718024612380665E-2</v>
      </c>
      <c r="AD32" s="228">
        <f t="shared" si="29"/>
        <v>43.619769630408499</v>
      </c>
      <c r="AE32" s="227">
        <v>1.6155470233484629E-2</v>
      </c>
      <c r="AF32" s="139">
        <f t="shared" si="31"/>
        <v>2700</v>
      </c>
      <c r="AG32" s="227">
        <f t="shared" si="30"/>
        <v>1.0000000000000002</v>
      </c>
      <c r="AH32" s="168">
        <v>180</v>
      </c>
    </row>
    <row r="33" spans="1:34" x14ac:dyDescent="0.2">
      <c r="O33" s="139" t="s">
        <v>50</v>
      </c>
      <c r="P33" s="228">
        <f>SUM(P26:P32)</f>
        <v>988.11174989944755</v>
      </c>
      <c r="Q33" s="139">
        <f>P33/AF33</f>
        <v>0.36596731477757316</v>
      </c>
      <c r="R33" s="139">
        <f>SUM(R26:R32)</f>
        <v>1342.8993245977006</v>
      </c>
      <c r="S33" s="139">
        <f>R33/AF33</f>
        <v>0.49737012022137056</v>
      </c>
      <c r="T33" s="228">
        <f>SUM(T26:T32)</f>
        <v>228.07105151031604</v>
      </c>
      <c r="U33" s="139">
        <f>T33/AF33</f>
        <v>8.4470759818635568E-2</v>
      </c>
      <c r="V33" s="228">
        <f>SUM(V26:V32)</f>
        <v>3.9816630483690214</v>
      </c>
      <c r="W33" s="139">
        <f>V33/AF33</f>
        <v>1.4746900179144523E-3</v>
      </c>
      <c r="X33" s="228">
        <f>SUM(X26:X32)</f>
        <v>0.52525985503735062</v>
      </c>
      <c r="Y33" s="139">
        <f>X33/AF33</f>
        <v>1.9454068705087061E-4</v>
      </c>
      <c r="Z33" s="228">
        <f>SUM(Z26:Z32)</f>
        <v>15.252515005293176</v>
      </c>
      <c r="AA33" s="139">
        <f>Z33/AF33</f>
        <v>5.6490796315900654E-3</v>
      </c>
      <c r="AB33" s="228">
        <f>SUM(AB26:AB32)</f>
        <v>77.538666453427794</v>
      </c>
      <c r="AC33" s="139">
        <f>AB33/AF33</f>
        <v>2.8718024612380665E-2</v>
      </c>
      <c r="AD33" s="228">
        <f>SUM(AD26:AD32)</f>
        <v>43.619769630408499</v>
      </c>
      <c r="AE33" s="139">
        <f>AD33/AF33</f>
        <v>1.6155470233484629E-2</v>
      </c>
      <c r="AF33" s="139">
        <f>SUM(AF26:AF32)</f>
        <v>2700</v>
      </c>
      <c r="AG33" s="254">
        <f>Q33+S33+U33+W33+Y33+AA33+AC33+AE33</f>
        <v>1.0000000000000002</v>
      </c>
      <c r="AH33" s="139">
        <f t="shared" ref="AH33" si="35">AF33/15</f>
        <v>180</v>
      </c>
    </row>
    <row r="34" spans="1:34" x14ac:dyDescent="0.2">
      <c r="A34" s="167"/>
      <c r="G34" s="167" t="s">
        <v>192</v>
      </c>
    </row>
    <row r="35" spans="1:34" x14ac:dyDescent="0.2">
      <c r="B35" s="166"/>
      <c r="C35" s="166"/>
      <c r="D35" s="166"/>
      <c r="E35" s="166"/>
      <c r="G35" s="263" t="s">
        <v>188</v>
      </c>
      <c r="H35" s="263"/>
      <c r="I35" s="219">
        <v>300</v>
      </c>
      <c r="N35" s="167" t="s">
        <v>195</v>
      </c>
      <c r="O35" s="124" t="s">
        <v>214</v>
      </c>
      <c r="P35" s="250" t="s">
        <v>68</v>
      </c>
      <c r="Q35" s="124" t="s">
        <v>100</v>
      </c>
      <c r="R35" s="124"/>
      <c r="S35" s="124" t="s">
        <v>101</v>
      </c>
      <c r="T35" s="250"/>
      <c r="U35" s="124" t="s">
        <v>102</v>
      </c>
      <c r="V35" s="250"/>
      <c r="W35" s="124" t="s">
        <v>103</v>
      </c>
      <c r="X35" s="250"/>
      <c r="Y35" s="124" t="s">
        <v>104</v>
      </c>
      <c r="Z35" s="250"/>
      <c r="AA35" s="124" t="s">
        <v>105</v>
      </c>
      <c r="AB35" s="250"/>
      <c r="AC35" s="124" t="s">
        <v>215</v>
      </c>
      <c r="AD35" s="250"/>
      <c r="AE35" s="124" t="s">
        <v>216</v>
      </c>
      <c r="AF35" s="124" t="s">
        <v>106</v>
      </c>
      <c r="AG35" s="124" t="s">
        <v>81</v>
      </c>
      <c r="AH35" s="124" t="s">
        <v>106</v>
      </c>
    </row>
    <row r="36" spans="1:34" x14ac:dyDescent="0.2">
      <c r="A36" s="166"/>
      <c r="B36" s="246"/>
      <c r="C36" s="246"/>
      <c r="D36" s="246"/>
      <c r="E36" s="246"/>
      <c r="G36" s="263" t="s">
        <v>189</v>
      </c>
      <c r="H36" s="263"/>
      <c r="I36" s="219">
        <v>240</v>
      </c>
      <c r="O36" s="127" t="s">
        <v>23</v>
      </c>
      <c r="P36" s="251" t="s">
        <v>100</v>
      </c>
      <c r="Q36" s="127" t="s">
        <v>111</v>
      </c>
      <c r="R36" s="127" t="s">
        <v>101</v>
      </c>
      <c r="S36" s="127" t="s">
        <v>111</v>
      </c>
      <c r="T36" s="251" t="s">
        <v>102</v>
      </c>
      <c r="U36" s="127" t="s">
        <v>111</v>
      </c>
      <c r="V36" s="251" t="s">
        <v>103</v>
      </c>
      <c r="W36" s="127" t="s">
        <v>111</v>
      </c>
      <c r="X36" s="251" t="s">
        <v>104</v>
      </c>
      <c r="Y36" s="127" t="s">
        <v>111</v>
      </c>
      <c r="Z36" s="251" t="s">
        <v>105</v>
      </c>
      <c r="AA36" s="127" t="s">
        <v>111</v>
      </c>
      <c r="AB36" s="251" t="s">
        <v>215</v>
      </c>
      <c r="AC36" s="127" t="s">
        <v>111</v>
      </c>
      <c r="AD36" s="251" t="s">
        <v>216</v>
      </c>
      <c r="AE36" s="127" t="s">
        <v>111</v>
      </c>
      <c r="AF36" s="127" t="s">
        <v>67</v>
      </c>
      <c r="AG36" s="127" t="s">
        <v>111</v>
      </c>
      <c r="AH36" s="127" t="s">
        <v>66</v>
      </c>
    </row>
    <row r="37" spans="1:34" x14ac:dyDescent="0.2">
      <c r="A37" s="166"/>
      <c r="B37" s="247"/>
      <c r="C37" s="246"/>
      <c r="D37" s="246"/>
      <c r="E37" s="246"/>
      <c r="G37" s="263" t="s">
        <v>190</v>
      </c>
      <c r="H37" s="263"/>
      <c r="I37" s="219">
        <v>180</v>
      </c>
      <c r="O37" s="139" t="s">
        <v>217</v>
      </c>
      <c r="P37" s="228">
        <f>AF37*Q37</f>
        <v>0</v>
      </c>
      <c r="Q37" s="227">
        <v>7.6637186369212518E-3</v>
      </c>
      <c r="R37" s="228">
        <f>AF37*S37</f>
        <v>0</v>
      </c>
      <c r="S37" s="227">
        <v>1.2894787427193143E-2</v>
      </c>
      <c r="T37" s="228">
        <f>AF37*U37</f>
        <v>0</v>
      </c>
      <c r="U37" s="227">
        <v>0.1325441367862282</v>
      </c>
      <c r="V37" s="228">
        <f>AF37*W37</f>
        <v>0</v>
      </c>
      <c r="W37" s="227">
        <v>0.59234214404505858</v>
      </c>
      <c r="X37" s="228">
        <f>AF37*Y37</f>
        <v>0</v>
      </c>
      <c r="Y37" s="227">
        <v>0.23185874775707016</v>
      </c>
      <c r="Z37" s="228">
        <f>AF37*AA37</f>
        <v>0</v>
      </c>
      <c r="AA37" s="227">
        <v>5.3230558270000372E-3</v>
      </c>
      <c r="AB37" s="228">
        <f>AF37*AC37</f>
        <v>0</v>
      </c>
      <c r="AC37" s="227">
        <v>6.9773179060056431E-3</v>
      </c>
      <c r="AD37" s="228">
        <f>AF37*AE37</f>
        <v>0</v>
      </c>
      <c r="AE37" s="227">
        <v>1.0396091614522953E-2</v>
      </c>
      <c r="AF37" s="139">
        <f t="shared" ref="AF37:AF43" si="36">(AH37*15)</f>
        <v>0</v>
      </c>
      <c r="AG37" s="229">
        <f>SUM(Q37+S37+U37+W37+Y37+AA37+AC37+AE37)</f>
        <v>0.99999999999999989</v>
      </c>
      <c r="AH37" s="168"/>
    </row>
    <row r="38" spans="1:34" x14ac:dyDescent="0.2">
      <c r="A38" s="166"/>
      <c r="B38" s="246"/>
      <c r="C38" s="246"/>
      <c r="D38" s="246"/>
      <c r="E38" s="246"/>
      <c r="G38" s="263" t="s">
        <v>195</v>
      </c>
      <c r="H38" s="263"/>
      <c r="I38" s="219">
        <v>180</v>
      </c>
      <c r="O38" s="139" t="s">
        <v>218</v>
      </c>
      <c r="P38" s="228">
        <f t="shared" ref="P38:P43" si="37">AF38*Q38</f>
        <v>0</v>
      </c>
      <c r="Q38" s="227">
        <v>1.7661923838691227E-2</v>
      </c>
      <c r="R38" s="228">
        <f t="shared" ref="R38:R43" si="38">AF38*S38</f>
        <v>0</v>
      </c>
      <c r="S38" s="227">
        <v>3.2802623957332765E-2</v>
      </c>
      <c r="T38" s="228">
        <f t="shared" ref="T38:T43" si="39">AF38*U38</f>
        <v>0</v>
      </c>
      <c r="U38" s="227">
        <v>0.4048792394312492</v>
      </c>
      <c r="V38" s="228">
        <f t="shared" ref="V38:V43" si="40">AF38*W38</f>
        <v>0</v>
      </c>
      <c r="W38" s="227">
        <v>0.49075956084416428</v>
      </c>
      <c r="X38" s="228">
        <f t="shared" ref="X38:X43" si="41">AF38*Y38</f>
        <v>0</v>
      </c>
      <c r="Y38" s="227">
        <v>3.3546653325059593E-2</v>
      </c>
      <c r="Z38" s="228">
        <f t="shared" ref="Z38:Z43" si="42">AF38*AA38</f>
        <v>0</v>
      </c>
      <c r="AA38" s="227">
        <v>4.5703099859257376E-3</v>
      </c>
      <c r="AB38" s="228">
        <f t="shared" ref="AB38:AB43" si="43">AF38*AC38</f>
        <v>0</v>
      </c>
      <c r="AC38" s="227">
        <v>7.0189158567995442E-3</v>
      </c>
      <c r="AD38" s="228">
        <f t="shared" ref="AD38:AD43" si="44">AF38*AE38</f>
        <v>0</v>
      </c>
      <c r="AE38" s="227">
        <v>8.760772760777618E-3</v>
      </c>
      <c r="AF38" s="139">
        <f t="shared" si="36"/>
        <v>0</v>
      </c>
      <c r="AG38" s="227">
        <f t="shared" ref="AG38:AG43" si="45">SUM(Q38+S38+U38+W38+Y38+AA38+AC38+AE38)</f>
        <v>1</v>
      </c>
      <c r="AH38" s="168"/>
    </row>
    <row r="39" spans="1:34" x14ac:dyDescent="0.2">
      <c r="A39" s="166"/>
      <c r="B39" s="246"/>
      <c r="C39" s="246"/>
      <c r="D39" s="246"/>
      <c r="E39" s="246"/>
      <c r="G39" s="263" t="s">
        <v>196</v>
      </c>
      <c r="H39" s="263"/>
      <c r="I39" s="219">
        <v>0</v>
      </c>
      <c r="O39" s="139" t="s">
        <v>219</v>
      </c>
      <c r="P39" s="228">
        <f t="shared" si="37"/>
        <v>0</v>
      </c>
      <c r="Q39" s="227">
        <v>1.8025454978891877E-2</v>
      </c>
      <c r="R39" s="228">
        <f t="shared" si="38"/>
        <v>0</v>
      </c>
      <c r="S39" s="227">
        <v>8.7671512934949555E-2</v>
      </c>
      <c r="T39" s="228">
        <f t="shared" si="39"/>
        <v>0</v>
      </c>
      <c r="U39" s="227">
        <v>0.64997329422521566</v>
      </c>
      <c r="V39" s="228">
        <f t="shared" si="40"/>
        <v>0</v>
      </c>
      <c r="W39" s="227">
        <v>0.22078659822746077</v>
      </c>
      <c r="X39" s="228">
        <f t="shared" si="41"/>
        <v>0</v>
      </c>
      <c r="Y39" s="227">
        <v>6.8178937743859939E-3</v>
      </c>
      <c r="Z39" s="228">
        <f t="shared" si="42"/>
        <v>0</v>
      </c>
      <c r="AA39" s="227">
        <v>4.1829617156876062E-3</v>
      </c>
      <c r="AB39" s="228">
        <f t="shared" si="43"/>
        <v>0</v>
      </c>
      <c r="AC39" s="227">
        <v>6.397315541553884E-3</v>
      </c>
      <c r="AD39" s="228">
        <f t="shared" si="44"/>
        <v>0</v>
      </c>
      <c r="AE39" s="227">
        <v>6.144968601854618E-3</v>
      </c>
      <c r="AF39" s="139">
        <f t="shared" si="36"/>
        <v>0</v>
      </c>
      <c r="AG39" s="227">
        <f t="shared" si="45"/>
        <v>1</v>
      </c>
      <c r="AH39" s="168"/>
    </row>
    <row r="40" spans="1:34" x14ac:dyDescent="0.2">
      <c r="A40" s="166"/>
      <c r="B40" s="246"/>
      <c r="C40" s="246"/>
      <c r="D40" s="246"/>
      <c r="E40" s="247"/>
      <c r="G40" s="263" t="s">
        <v>191</v>
      </c>
      <c r="H40" s="263"/>
      <c r="I40" s="219">
        <v>960</v>
      </c>
      <c r="O40" s="139" t="s">
        <v>220</v>
      </c>
      <c r="P40" s="228">
        <f t="shared" si="37"/>
        <v>0</v>
      </c>
      <c r="Q40" s="227">
        <v>2.6348294930420929E-2</v>
      </c>
      <c r="R40" s="228">
        <f t="shared" si="38"/>
        <v>0</v>
      </c>
      <c r="S40" s="227">
        <v>0.25469985546495394</v>
      </c>
      <c r="T40" s="228">
        <f t="shared" si="39"/>
        <v>0</v>
      </c>
      <c r="U40" s="227">
        <v>0.62709760801898196</v>
      </c>
      <c r="V40" s="228">
        <f t="shared" si="40"/>
        <v>0</v>
      </c>
      <c r="W40" s="227">
        <v>7.2177743576083156E-2</v>
      </c>
      <c r="X40" s="228">
        <f t="shared" si="41"/>
        <v>0</v>
      </c>
      <c r="Y40" s="227">
        <v>1.2870031916100613E-3</v>
      </c>
      <c r="Z40" s="228">
        <f t="shared" si="42"/>
        <v>0</v>
      </c>
      <c r="AA40" s="227">
        <v>3.5453016244160638E-3</v>
      </c>
      <c r="AB40" s="228">
        <f t="shared" si="43"/>
        <v>0</v>
      </c>
      <c r="AC40" s="227">
        <v>7.0032902687957223E-3</v>
      </c>
      <c r="AD40" s="228">
        <f t="shared" si="44"/>
        <v>0</v>
      </c>
      <c r="AE40" s="227">
        <v>7.8409029247381839E-3</v>
      </c>
      <c r="AF40" s="139">
        <f t="shared" si="36"/>
        <v>0</v>
      </c>
      <c r="AG40" s="227">
        <f t="shared" si="45"/>
        <v>1</v>
      </c>
      <c r="AH40" s="168"/>
    </row>
    <row r="41" spans="1:34" x14ac:dyDescent="0.2">
      <c r="A41" s="166"/>
      <c r="B41" s="246"/>
      <c r="C41" s="246"/>
      <c r="D41" s="246"/>
      <c r="E41" s="246"/>
      <c r="G41" s="263" t="s">
        <v>193</v>
      </c>
      <c r="H41" s="263"/>
      <c r="I41" s="219">
        <v>60</v>
      </c>
      <c r="O41" s="139" t="s">
        <v>221</v>
      </c>
      <c r="P41" s="228">
        <f t="shared" si="37"/>
        <v>0</v>
      </c>
      <c r="Q41" s="227">
        <v>5.742283113267601E-2</v>
      </c>
      <c r="R41" s="228">
        <f t="shared" si="38"/>
        <v>0</v>
      </c>
      <c r="S41" s="227">
        <v>0.50285288591189314</v>
      </c>
      <c r="T41" s="228">
        <f t="shared" si="39"/>
        <v>0</v>
      </c>
      <c r="U41" s="227">
        <v>0.39999177037377553</v>
      </c>
      <c r="V41" s="228">
        <f t="shared" si="40"/>
        <v>0</v>
      </c>
      <c r="W41" s="227">
        <v>1.9053887776763402E-2</v>
      </c>
      <c r="X41" s="228">
        <f t="shared" si="41"/>
        <v>0</v>
      </c>
      <c r="Y41" s="227">
        <v>3.3778316593106704E-4</v>
      </c>
      <c r="Z41" s="228">
        <f t="shared" si="42"/>
        <v>0</v>
      </c>
      <c r="AA41" s="227">
        <v>3.6004614732197829E-3</v>
      </c>
      <c r="AB41" s="228">
        <f t="shared" si="43"/>
        <v>0</v>
      </c>
      <c r="AC41" s="227">
        <v>8.4032774793514672E-3</v>
      </c>
      <c r="AD41" s="228">
        <f t="shared" si="44"/>
        <v>0</v>
      </c>
      <c r="AE41" s="227">
        <v>8.3371026863895189E-3</v>
      </c>
      <c r="AF41" s="139">
        <f t="shared" si="36"/>
        <v>0</v>
      </c>
      <c r="AG41" s="227">
        <f t="shared" si="45"/>
        <v>0.99999999999999989</v>
      </c>
      <c r="AH41" s="168"/>
    </row>
    <row r="42" spans="1:34" x14ac:dyDescent="0.2">
      <c r="A42" s="166"/>
      <c r="B42" s="246"/>
      <c r="C42" s="246"/>
      <c r="D42" s="246"/>
      <c r="E42" s="246"/>
      <c r="O42" s="139" t="s">
        <v>222</v>
      </c>
      <c r="P42" s="228">
        <f t="shared" si="37"/>
        <v>0</v>
      </c>
      <c r="Q42" s="227">
        <v>0.17257745899535998</v>
      </c>
      <c r="R42" s="228">
        <f t="shared" si="38"/>
        <v>0</v>
      </c>
      <c r="S42" s="227">
        <v>0.60935836218813155</v>
      </c>
      <c r="T42" s="228">
        <f t="shared" si="39"/>
        <v>0</v>
      </c>
      <c r="U42" s="227">
        <v>0.18277474593456242</v>
      </c>
      <c r="V42" s="228">
        <f t="shared" si="40"/>
        <v>0</v>
      </c>
      <c r="W42" s="227">
        <v>3.7001170655184719E-3</v>
      </c>
      <c r="X42" s="228">
        <f t="shared" si="41"/>
        <v>0</v>
      </c>
      <c r="Y42" s="227">
        <v>2.0274585291809972E-4</v>
      </c>
      <c r="Z42" s="228">
        <f t="shared" si="42"/>
        <v>0</v>
      </c>
      <c r="AA42" s="227">
        <v>3.2209186850326059E-3</v>
      </c>
      <c r="AB42" s="228">
        <f t="shared" si="43"/>
        <v>0</v>
      </c>
      <c r="AC42" s="227">
        <v>1.785566242393408E-2</v>
      </c>
      <c r="AD42" s="228">
        <f t="shared" si="44"/>
        <v>0</v>
      </c>
      <c r="AE42" s="227">
        <v>1.0309988854542838E-2</v>
      </c>
      <c r="AF42" s="139">
        <f t="shared" si="36"/>
        <v>0</v>
      </c>
      <c r="AG42" s="227">
        <f t="shared" si="45"/>
        <v>1</v>
      </c>
      <c r="AH42" s="168"/>
    </row>
    <row r="43" spans="1:34" x14ac:dyDescent="0.2">
      <c r="A43" s="166"/>
      <c r="B43" s="246"/>
      <c r="C43" s="246"/>
      <c r="D43" s="246"/>
      <c r="E43" s="246"/>
      <c r="I43" s="224"/>
      <c r="O43" s="139" t="s">
        <v>223</v>
      </c>
      <c r="P43" s="228">
        <f t="shared" si="37"/>
        <v>988.11174989944755</v>
      </c>
      <c r="Q43" s="227">
        <v>0.36596731477757316</v>
      </c>
      <c r="R43" s="228">
        <f t="shared" si="38"/>
        <v>1342.8993245977006</v>
      </c>
      <c r="S43" s="227">
        <v>0.49737012022137062</v>
      </c>
      <c r="T43" s="228">
        <f t="shared" si="39"/>
        <v>228.07105151031604</v>
      </c>
      <c r="U43" s="228">
        <v>8.4470759818635568E-2</v>
      </c>
      <c r="V43" s="228">
        <f t="shared" si="40"/>
        <v>3.9816630483690214</v>
      </c>
      <c r="W43" s="227">
        <v>1.4746900179144523E-3</v>
      </c>
      <c r="X43" s="228">
        <f t="shared" si="41"/>
        <v>0.52525985503735062</v>
      </c>
      <c r="Y43" s="227">
        <v>1.9454068705087059E-4</v>
      </c>
      <c r="Z43" s="228">
        <f t="shared" si="42"/>
        <v>15.252515005293176</v>
      </c>
      <c r="AA43" s="227">
        <v>5.6490796315900654E-3</v>
      </c>
      <c r="AB43" s="228">
        <f t="shared" si="43"/>
        <v>77.538666453427794</v>
      </c>
      <c r="AC43" s="227">
        <v>2.8718024612380665E-2</v>
      </c>
      <c r="AD43" s="228">
        <f t="shared" si="44"/>
        <v>43.619769630408499</v>
      </c>
      <c r="AE43" s="227">
        <v>1.6155470233484629E-2</v>
      </c>
      <c r="AF43" s="139">
        <f t="shared" si="36"/>
        <v>2700</v>
      </c>
      <c r="AG43" s="227">
        <f t="shared" si="45"/>
        <v>1.0000000000000002</v>
      </c>
      <c r="AH43" s="168">
        <v>180</v>
      </c>
    </row>
    <row r="44" spans="1:34" x14ac:dyDescent="0.2">
      <c r="A44" s="166"/>
      <c r="B44" s="248"/>
      <c r="C44" s="248"/>
      <c r="D44" s="248"/>
      <c r="E44" s="248"/>
      <c r="O44" s="139" t="s">
        <v>50</v>
      </c>
      <c r="P44" s="228">
        <f>SUM(P37:P43)</f>
        <v>988.11174989944755</v>
      </c>
      <c r="Q44" s="139">
        <f>P44/AF44</f>
        <v>0.36596731477757316</v>
      </c>
      <c r="R44" s="139">
        <f>SUM(R37:R43)</f>
        <v>1342.8993245977006</v>
      </c>
      <c r="S44" s="139">
        <f>R44/AF44</f>
        <v>0.49737012022137056</v>
      </c>
      <c r="T44" s="228">
        <f>SUM(T37:T43)</f>
        <v>228.07105151031604</v>
      </c>
      <c r="U44" s="139">
        <f>T44/AF44</f>
        <v>8.4470759818635568E-2</v>
      </c>
      <c r="V44" s="228">
        <f>SUM(V37:V43)</f>
        <v>3.9816630483690214</v>
      </c>
      <c r="W44" s="139">
        <f>V44/AF44</f>
        <v>1.4746900179144523E-3</v>
      </c>
      <c r="X44" s="228">
        <f>SUM(X37:X43)</f>
        <v>0.52525985503735062</v>
      </c>
      <c r="Y44" s="139">
        <f>X44/AF44</f>
        <v>1.9454068705087061E-4</v>
      </c>
      <c r="Z44" s="228">
        <f>SUM(Z37:Z43)</f>
        <v>15.252515005293176</v>
      </c>
      <c r="AA44" s="139">
        <f>Z44/AF44</f>
        <v>5.6490796315900654E-3</v>
      </c>
      <c r="AB44" s="228">
        <f>SUM(AB37:AB43)</f>
        <v>77.538666453427794</v>
      </c>
      <c r="AC44" s="139">
        <f>AB44/AF44</f>
        <v>2.8718024612380665E-2</v>
      </c>
      <c r="AD44" s="228">
        <f>SUM(AD37:AD43)</f>
        <v>43.619769630408499</v>
      </c>
      <c r="AE44" s="139">
        <f>AD44/AF44</f>
        <v>1.6155470233484629E-2</v>
      </c>
      <c r="AF44" s="139">
        <f>SUM(AF37:AF43)</f>
        <v>2700</v>
      </c>
      <c r="AG44" s="254">
        <f>Q44+S44+U44+W44+Y44+AA44+AC44+AE44</f>
        <v>1.0000000000000002</v>
      </c>
      <c r="AH44" s="139">
        <f t="shared" ref="AH44" si="46">AF44/15</f>
        <v>180</v>
      </c>
    </row>
    <row r="45" spans="1:34" x14ac:dyDescent="0.2">
      <c r="A45" s="166"/>
      <c r="B45" s="192"/>
      <c r="C45" s="192"/>
      <c r="D45" s="192"/>
      <c r="E45" s="192"/>
    </row>
    <row r="46" spans="1:34" x14ac:dyDescent="0.2">
      <c r="A46" s="166"/>
      <c r="B46" s="248"/>
      <c r="C46" s="248"/>
      <c r="D46" s="248"/>
      <c r="E46" s="248"/>
      <c r="N46" s="167" t="s">
        <v>196</v>
      </c>
      <c r="O46" s="124" t="s">
        <v>214</v>
      </c>
      <c r="P46" s="250" t="s">
        <v>68</v>
      </c>
      <c r="Q46" s="124" t="s">
        <v>100</v>
      </c>
      <c r="R46" s="124"/>
      <c r="S46" s="124" t="s">
        <v>101</v>
      </c>
      <c r="T46" s="250"/>
      <c r="U46" s="124" t="s">
        <v>102</v>
      </c>
      <c r="V46" s="250"/>
      <c r="W46" s="124" t="s">
        <v>103</v>
      </c>
      <c r="X46" s="250"/>
      <c r="Y46" s="124" t="s">
        <v>104</v>
      </c>
      <c r="Z46" s="250"/>
      <c r="AA46" s="124" t="s">
        <v>105</v>
      </c>
      <c r="AB46" s="250"/>
      <c r="AC46" s="124" t="s">
        <v>215</v>
      </c>
      <c r="AD46" s="250"/>
      <c r="AE46" s="124" t="s">
        <v>216</v>
      </c>
      <c r="AF46" s="124" t="s">
        <v>106</v>
      </c>
      <c r="AG46" s="124" t="s">
        <v>81</v>
      </c>
      <c r="AH46" s="124" t="s">
        <v>106</v>
      </c>
    </row>
    <row r="47" spans="1:34" x14ac:dyDescent="0.2">
      <c r="A47" s="166"/>
      <c r="B47" s="246"/>
      <c r="C47" s="246"/>
      <c r="D47" s="246"/>
      <c r="E47" s="246"/>
      <c r="O47" s="127" t="s">
        <v>23</v>
      </c>
      <c r="P47" s="251" t="s">
        <v>100</v>
      </c>
      <c r="Q47" s="127" t="s">
        <v>111</v>
      </c>
      <c r="R47" s="127" t="s">
        <v>101</v>
      </c>
      <c r="S47" s="127" t="s">
        <v>111</v>
      </c>
      <c r="T47" s="251" t="s">
        <v>102</v>
      </c>
      <c r="U47" s="127" t="s">
        <v>111</v>
      </c>
      <c r="V47" s="251" t="s">
        <v>103</v>
      </c>
      <c r="W47" s="127" t="s">
        <v>111</v>
      </c>
      <c r="X47" s="251" t="s">
        <v>104</v>
      </c>
      <c r="Y47" s="127" t="s">
        <v>111</v>
      </c>
      <c r="Z47" s="251" t="s">
        <v>105</v>
      </c>
      <c r="AA47" s="127" t="s">
        <v>111</v>
      </c>
      <c r="AB47" s="251" t="s">
        <v>215</v>
      </c>
      <c r="AC47" s="127" t="s">
        <v>111</v>
      </c>
      <c r="AD47" s="251" t="s">
        <v>216</v>
      </c>
      <c r="AE47" s="127" t="s">
        <v>111</v>
      </c>
      <c r="AF47" s="127" t="s">
        <v>67</v>
      </c>
      <c r="AG47" s="127" t="s">
        <v>111</v>
      </c>
      <c r="AH47" s="127" t="s">
        <v>66</v>
      </c>
    </row>
    <row r="48" spans="1:34" x14ac:dyDescent="0.2">
      <c r="A48" s="166"/>
      <c r="B48" s="246"/>
      <c r="C48" s="246"/>
      <c r="D48" s="246"/>
      <c r="E48" s="246"/>
      <c r="O48" s="139" t="s">
        <v>217</v>
      </c>
      <c r="P48" s="228">
        <f>AF48*Q48</f>
        <v>0</v>
      </c>
      <c r="Q48" s="227">
        <v>7.6637186369212518E-3</v>
      </c>
      <c r="R48" s="228">
        <f>AF48*S48</f>
        <v>0</v>
      </c>
      <c r="S48" s="227">
        <v>1.2894787427193143E-2</v>
      </c>
      <c r="T48" s="228">
        <f>AF48*U48</f>
        <v>0</v>
      </c>
      <c r="U48" s="227">
        <v>0.1325441367862282</v>
      </c>
      <c r="V48" s="228">
        <f>AF48*W48</f>
        <v>0</v>
      </c>
      <c r="W48" s="227">
        <v>0.59234214404505858</v>
      </c>
      <c r="X48" s="228">
        <f>AF48*Y48</f>
        <v>0</v>
      </c>
      <c r="Y48" s="227">
        <v>0.23185874775707016</v>
      </c>
      <c r="Z48" s="228">
        <f>AF48*AA48</f>
        <v>0</v>
      </c>
      <c r="AA48" s="227">
        <v>5.3230558270000372E-3</v>
      </c>
      <c r="AB48" s="228">
        <f>AF48*AC48</f>
        <v>0</v>
      </c>
      <c r="AC48" s="227">
        <v>6.9773179060056431E-3</v>
      </c>
      <c r="AD48" s="228">
        <f>AF48*AE48</f>
        <v>0</v>
      </c>
      <c r="AE48" s="227">
        <v>1.0396091614522953E-2</v>
      </c>
      <c r="AF48" s="139">
        <f t="shared" ref="AF48:AF54" si="47">(AH48*15)</f>
        <v>0</v>
      </c>
      <c r="AG48" s="229">
        <f>SUM(Q48+S48+U48+W48+Y48+AA48+AC48+AE48)</f>
        <v>0.99999999999999989</v>
      </c>
      <c r="AH48" s="168"/>
    </row>
    <row r="49" spans="1:34" x14ac:dyDescent="0.2">
      <c r="A49" s="166"/>
      <c r="B49" s="246"/>
      <c r="C49" s="246"/>
      <c r="D49" s="246"/>
      <c r="E49" s="246"/>
      <c r="O49" s="139" t="s">
        <v>218</v>
      </c>
      <c r="P49" s="228">
        <f t="shared" ref="P49:P54" si="48">AF49*Q49</f>
        <v>0</v>
      </c>
      <c r="Q49" s="227">
        <v>1.7661923838691227E-2</v>
      </c>
      <c r="R49" s="228">
        <f t="shared" ref="R49:R54" si="49">AF49*S49</f>
        <v>0</v>
      </c>
      <c r="S49" s="227">
        <v>3.2802623957332765E-2</v>
      </c>
      <c r="T49" s="228">
        <f t="shared" ref="T49:T54" si="50">AF49*U49</f>
        <v>0</v>
      </c>
      <c r="U49" s="227">
        <v>0.4048792394312492</v>
      </c>
      <c r="V49" s="228">
        <f t="shared" ref="V49:V54" si="51">AF49*W49</f>
        <v>0</v>
      </c>
      <c r="W49" s="227">
        <v>0.49075956084416428</v>
      </c>
      <c r="X49" s="228">
        <f t="shared" ref="X49:X54" si="52">AF49*Y49</f>
        <v>0</v>
      </c>
      <c r="Y49" s="227">
        <v>3.3546653325059593E-2</v>
      </c>
      <c r="Z49" s="228">
        <f t="shared" ref="Z49:Z54" si="53">AF49*AA49</f>
        <v>0</v>
      </c>
      <c r="AA49" s="227">
        <v>4.5703099859257376E-3</v>
      </c>
      <c r="AB49" s="228">
        <f t="shared" ref="AB49:AB54" si="54">AF49*AC49</f>
        <v>0</v>
      </c>
      <c r="AC49" s="227">
        <v>7.0189158567995442E-3</v>
      </c>
      <c r="AD49" s="228">
        <f t="shared" ref="AD49:AD54" si="55">AF49*AE49</f>
        <v>0</v>
      </c>
      <c r="AE49" s="227">
        <v>8.760772760777618E-3</v>
      </c>
      <c r="AF49" s="139">
        <f t="shared" si="47"/>
        <v>0</v>
      </c>
      <c r="AG49" s="227">
        <f t="shared" ref="AG49:AG54" si="56">SUM(Q49+S49+U49+W49+Y49+AA49+AC49+AE49)</f>
        <v>1</v>
      </c>
      <c r="AH49" s="168"/>
    </row>
    <row r="50" spans="1:34" x14ac:dyDescent="0.2">
      <c r="A50" s="166"/>
      <c r="B50" s="246"/>
      <c r="C50" s="246"/>
      <c r="D50" s="246"/>
      <c r="E50" s="246"/>
      <c r="O50" s="139" t="s">
        <v>219</v>
      </c>
      <c r="P50" s="228">
        <f t="shared" si="48"/>
        <v>0</v>
      </c>
      <c r="Q50" s="227">
        <v>1.8025454978891877E-2</v>
      </c>
      <c r="R50" s="228">
        <f t="shared" si="49"/>
        <v>0</v>
      </c>
      <c r="S50" s="227">
        <v>8.7671512934949555E-2</v>
      </c>
      <c r="T50" s="228">
        <f t="shared" si="50"/>
        <v>0</v>
      </c>
      <c r="U50" s="227">
        <v>0.64997329422521566</v>
      </c>
      <c r="V50" s="228">
        <f t="shared" si="51"/>
        <v>0</v>
      </c>
      <c r="W50" s="227">
        <v>0.22078659822746077</v>
      </c>
      <c r="X50" s="228">
        <f t="shared" si="52"/>
        <v>0</v>
      </c>
      <c r="Y50" s="227">
        <v>6.8178937743859939E-3</v>
      </c>
      <c r="Z50" s="228">
        <f t="shared" si="53"/>
        <v>0</v>
      </c>
      <c r="AA50" s="227">
        <v>4.1829617156876062E-3</v>
      </c>
      <c r="AB50" s="228">
        <f t="shared" si="54"/>
        <v>0</v>
      </c>
      <c r="AC50" s="227">
        <v>6.397315541553884E-3</v>
      </c>
      <c r="AD50" s="228">
        <f t="shared" si="55"/>
        <v>0</v>
      </c>
      <c r="AE50" s="227">
        <v>6.144968601854618E-3</v>
      </c>
      <c r="AF50" s="139">
        <f t="shared" si="47"/>
        <v>0</v>
      </c>
      <c r="AG50" s="227">
        <f t="shared" si="56"/>
        <v>1</v>
      </c>
      <c r="AH50" s="168"/>
    </row>
    <row r="51" spans="1:34" x14ac:dyDescent="0.2">
      <c r="A51" s="166"/>
      <c r="B51" s="246"/>
      <c r="C51" s="246"/>
      <c r="D51" s="246"/>
      <c r="E51" s="246"/>
      <c r="O51" s="139" t="s">
        <v>220</v>
      </c>
      <c r="P51" s="228">
        <f t="shared" si="48"/>
        <v>0</v>
      </c>
      <c r="Q51" s="227">
        <v>2.6348294930420929E-2</v>
      </c>
      <c r="R51" s="228">
        <f t="shared" si="49"/>
        <v>0</v>
      </c>
      <c r="S51" s="227">
        <v>0.25469985546495394</v>
      </c>
      <c r="T51" s="228">
        <f t="shared" si="50"/>
        <v>0</v>
      </c>
      <c r="U51" s="227">
        <v>0.62709760801898196</v>
      </c>
      <c r="V51" s="228">
        <f t="shared" si="51"/>
        <v>0</v>
      </c>
      <c r="W51" s="227">
        <v>7.2177743576083156E-2</v>
      </c>
      <c r="X51" s="228">
        <f t="shared" si="52"/>
        <v>0</v>
      </c>
      <c r="Y51" s="227">
        <v>1.2870031916100613E-3</v>
      </c>
      <c r="Z51" s="228">
        <f t="shared" si="53"/>
        <v>0</v>
      </c>
      <c r="AA51" s="227">
        <v>3.5453016244160638E-3</v>
      </c>
      <c r="AB51" s="228">
        <f t="shared" si="54"/>
        <v>0</v>
      </c>
      <c r="AC51" s="227">
        <v>7.0032902687957223E-3</v>
      </c>
      <c r="AD51" s="228">
        <f t="shared" si="55"/>
        <v>0</v>
      </c>
      <c r="AE51" s="227">
        <v>7.8409029247381839E-3</v>
      </c>
      <c r="AF51" s="139">
        <f t="shared" si="47"/>
        <v>0</v>
      </c>
      <c r="AG51" s="227">
        <f t="shared" si="56"/>
        <v>1</v>
      </c>
      <c r="AH51" s="168"/>
    </row>
    <row r="52" spans="1:34" x14ac:dyDescent="0.2">
      <c r="A52" s="166"/>
      <c r="B52" s="246"/>
      <c r="C52" s="246"/>
      <c r="D52" s="246"/>
      <c r="E52" s="246"/>
      <c r="O52" s="139" t="s">
        <v>221</v>
      </c>
      <c r="P52" s="228">
        <f t="shared" si="48"/>
        <v>0</v>
      </c>
      <c r="Q52" s="227">
        <v>5.742283113267601E-2</v>
      </c>
      <c r="R52" s="228">
        <f t="shared" si="49"/>
        <v>0</v>
      </c>
      <c r="S52" s="227">
        <v>0.50285288591189314</v>
      </c>
      <c r="T52" s="228">
        <f t="shared" si="50"/>
        <v>0</v>
      </c>
      <c r="U52" s="227">
        <v>0.39999177037377553</v>
      </c>
      <c r="V52" s="228">
        <f t="shared" si="51"/>
        <v>0</v>
      </c>
      <c r="W52" s="227">
        <v>1.9053887776763402E-2</v>
      </c>
      <c r="X52" s="228">
        <f t="shared" si="52"/>
        <v>0</v>
      </c>
      <c r="Y52" s="227">
        <v>3.3778316593106704E-4</v>
      </c>
      <c r="Z52" s="228">
        <f t="shared" si="53"/>
        <v>0</v>
      </c>
      <c r="AA52" s="227">
        <v>3.6004614732197829E-3</v>
      </c>
      <c r="AB52" s="228">
        <f t="shared" si="54"/>
        <v>0</v>
      </c>
      <c r="AC52" s="227">
        <v>8.4032774793514672E-3</v>
      </c>
      <c r="AD52" s="228">
        <f t="shared" si="55"/>
        <v>0</v>
      </c>
      <c r="AE52" s="227">
        <v>8.3371026863895189E-3</v>
      </c>
      <c r="AF52" s="139">
        <f t="shared" si="47"/>
        <v>0</v>
      </c>
      <c r="AG52" s="227">
        <f t="shared" si="56"/>
        <v>0.99999999999999989</v>
      </c>
      <c r="AH52" s="168"/>
    </row>
    <row r="53" spans="1:34" x14ac:dyDescent="0.2">
      <c r="O53" s="139" t="s">
        <v>222</v>
      </c>
      <c r="P53" s="228">
        <f t="shared" si="48"/>
        <v>0</v>
      </c>
      <c r="Q53" s="227">
        <v>0.17257745899535998</v>
      </c>
      <c r="R53" s="228">
        <f t="shared" si="49"/>
        <v>0</v>
      </c>
      <c r="S53" s="227">
        <v>0.60935836218813155</v>
      </c>
      <c r="T53" s="228">
        <f t="shared" si="50"/>
        <v>0</v>
      </c>
      <c r="U53" s="227">
        <v>0.18277474593456242</v>
      </c>
      <c r="V53" s="228">
        <f t="shared" si="51"/>
        <v>0</v>
      </c>
      <c r="W53" s="227">
        <v>3.7001170655184719E-3</v>
      </c>
      <c r="X53" s="228">
        <f t="shared" si="52"/>
        <v>0</v>
      </c>
      <c r="Y53" s="227">
        <v>2.0274585291809972E-4</v>
      </c>
      <c r="Z53" s="228">
        <f t="shared" si="53"/>
        <v>0</v>
      </c>
      <c r="AA53" s="227">
        <v>3.2209186850326059E-3</v>
      </c>
      <c r="AB53" s="228">
        <f t="shared" si="54"/>
        <v>0</v>
      </c>
      <c r="AC53" s="227">
        <v>1.785566242393408E-2</v>
      </c>
      <c r="AD53" s="228">
        <f t="shared" si="55"/>
        <v>0</v>
      </c>
      <c r="AE53" s="227">
        <v>1.0309988854542838E-2</v>
      </c>
      <c r="AF53" s="139">
        <f t="shared" si="47"/>
        <v>0</v>
      </c>
      <c r="AG53" s="227">
        <f t="shared" si="56"/>
        <v>1</v>
      </c>
      <c r="AH53" s="168"/>
    </row>
    <row r="54" spans="1:34" x14ac:dyDescent="0.2">
      <c r="O54" s="139" t="s">
        <v>223</v>
      </c>
      <c r="P54" s="228">
        <f t="shared" si="48"/>
        <v>0</v>
      </c>
      <c r="Q54" s="227">
        <v>0.36596731477757316</v>
      </c>
      <c r="R54" s="228">
        <f t="shared" si="49"/>
        <v>0</v>
      </c>
      <c r="S54" s="227">
        <v>0.49737012022137062</v>
      </c>
      <c r="T54" s="228">
        <f t="shared" si="50"/>
        <v>0</v>
      </c>
      <c r="U54" s="228">
        <v>8.4470759818635568E-2</v>
      </c>
      <c r="V54" s="228">
        <f t="shared" si="51"/>
        <v>0</v>
      </c>
      <c r="W54" s="227">
        <v>1.4746900179144523E-3</v>
      </c>
      <c r="X54" s="228">
        <f t="shared" si="52"/>
        <v>0</v>
      </c>
      <c r="Y54" s="227">
        <v>1.9454068705087059E-4</v>
      </c>
      <c r="Z54" s="228">
        <f t="shared" si="53"/>
        <v>0</v>
      </c>
      <c r="AA54" s="227">
        <v>5.6490796315900654E-3</v>
      </c>
      <c r="AB54" s="228">
        <f t="shared" si="54"/>
        <v>0</v>
      </c>
      <c r="AC54" s="227">
        <v>2.8718024612380665E-2</v>
      </c>
      <c r="AD54" s="228">
        <f t="shared" si="55"/>
        <v>0</v>
      </c>
      <c r="AE54" s="227">
        <v>1.6155470233484629E-2</v>
      </c>
      <c r="AF54" s="139">
        <f t="shared" si="47"/>
        <v>0</v>
      </c>
      <c r="AG54" s="227">
        <f t="shared" si="56"/>
        <v>1.0000000000000002</v>
      </c>
      <c r="AH54" s="168"/>
    </row>
    <row r="55" spans="1:34" x14ac:dyDescent="0.2">
      <c r="O55" s="139" t="s">
        <v>50</v>
      </c>
      <c r="P55" s="228">
        <f>SUM(P48:P54)</f>
        <v>0</v>
      </c>
      <c r="Q55" s="139" t="e">
        <f>P55/AF55</f>
        <v>#DIV/0!</v>
      </c>
      <c r="R55" s="139">
        <f>SUM(R48:R54)</f>
        <v>0</v>
      </c>
      <c r="S55" s="139" t="e">
        <f>R55/AF55</f>
        <v>#DIV/0!</v>
      </c>
      <c r="T55" s="228">
        <f>SUM(T48:T54)</f>
        <v>0</v>
      </c>
      <c r="U55" s="139" t="e">
        <f>T55/AF55</f>
        <v>#DIV/0!</v>
      </c>
      <c r="V55" s="228">
        <f>SUM(V48:V54)</f>
        <v>0</v>
      </c>
      <c r="W55" s="139" t="e">
        <f>V55/AF55</f>
        <v>#DIV/0!</v>
      </c>
      <c r="X55" s="228">
        <f>SUM(X48:X54)</f>
        <v>0</v>
      </c>
      <c r="Y55" s="139" t="e">
        <f>X55/AF55</f>
        <v>#DIV/0!</v>
      </c>
      <c r="Z55" s="228">
        <f>SUM(Z48:Z54)</f>
        <v>0</v>
      </c>
      <c r="AA55" s="139" t="e">
        <f>Z55/AF55</f>
        <v>#DIV/0!</v>
      </c>
      <c r="AB55" s="228">
        <f>SUM(AB48:AB54)</f>
        <v>0</v>
      </c>
      <c r="AC55" s="139" t="e">
        <f>AB55/AF55</f>
        <v>#DIV/0!</v>
      </c>
      <c r="AD55" s="228">
        <f>SUM(AD48:AD54)</f>
        <v>0</v>
      </c>
      <c r="AE55" s="139" t="e">
        <f>AD55/AF55</f>
        <v>#DIV/0!</v>
      </c>
      <c r="AF55" s="139">
        <f>SUM(AF48:AF54)</f>
        <v>0</v>
      </c>
      <c r="AG55" s="254" t="e">
        <f>Q55+S55+U55+W55+Y55+AA55+AC55+AE55</f>
        <v>#DIV/0!</v>
      </c>
      <c r="AH55" s="139">
        <f t="shared" ref="AH55" si="57">AF55/15</f>
        <v>0</v>
      </c>
    </row>
    <row r="58" spans="1:34" x14ac:dyDescent="0.2">
      <c r="N58" s="167" t="s">
        <v>191</v>
      </c>
      <c r="O58" s="124" t="s">
        <v>214</v>
      </c>
      <c r="P58" s="250" t="s">
        <v>68</v>
      </c>
      <c r="Q58" s="124" t="s">
        <v>100</v>
      </c>
      <c r="R58" s="124"/>
      <c r="S58" s="124" t="s">
        <v>101</v>
      </c>
      <c r="T58" s="250"/>
      <c r="U58" s="124" t="s">
        <v>102</v>
      </c>
      <c r="V58" s="250"/>
      <c r="W58" s="124" t="s">
        <v>103</v>
      </c>
      <c r="X58" s="250"/>
      <c r="Y58" s="124" t="s">
        <v>104</v>
      </c>
      <c r="Z58" s="250"/>
      <c r="AA58" s="124" t="s">
        <v>105</v>
      </c>
      <c r="AB58" s="250"/>
      <c r="AC58" s="124" t="s">
        <v>215</v>
      </c>
      <c r="AD58" s="250"/>
      <c r="AE58" s="124" t="s">
        <v>216</v>
      </c>
      <c r="AF58" s="124" t="s">
        <v>106</v>
      </c>
      <c r="AG58" s="124" t="s">
        <v>81</v>
      </c>
      <c r="AH58" s="124" t="s">
        <v>106</v>
      </c>
    </row>
    <row r="59" spans="1:34" x14ac:dyDescent="0.2">
      <c r="O59" s="127" t="s">
        <v>23</v>
      </c>
      <c r="P59" s="251" t="s">
        <v>100</v>
      </c>
      <c r="Q59" s="127" t="s">
        <v>111</v>
      </c>
      <c r="R59" s="127" t="s">
        <v>101</v>
      </c>
      <c r="S59" s="127" t="s">
        <v>111</v>
      </c>
      <c r="T59" s="251" t="s">
        <v>102</v>
      </c>
      <c r="U59" s="127" t="s">
        <v>111</v>
      </c>
      <c r="V59" s="251" t="s">
        <v>103</v>
      </c>
      <c r="W59" s="127" t="s">
        <v>111</v>
      </c>
      <c r="X59" s="251" t="s">
        <v>104</v>
      </c>
      <c r="Y59" s="127" t="s">
        <v>111</v>
      </c>
      <c r="Z59" s="251" t="s">
        <v>105</v>
      </c>
      <c r="AA59" s="127" t="s">
        <v>111</v>
      </c>
      <c r="AB59" s="251" t="s">
        <v>215</v>
      </c>
      <c r="AC59" s="127" t="s">
        <v>111</v>
      </c>
      <c r="AD59" s="251" t="s">
        <v>216</v>
      </c>
      <c r="AE59" s="127" t="s">
        <v>111</v>
      </c>
      <c r="AF59" s="127" t="s">
        <v>67</v>
      </c>
      <c r="AG59" s="127" t="s">
        <v>111</v>
      </c>
      <c r="AH59" s="127" t="s">
        <v>66</v>
      </c>
    </row>
    <row r="60" spans="1:34" x14ac:dyDescent="0.2">
      <c r="O60" s="139" t="s">
        <v>217</v>
      </c>
      <c r="P60" s="228">
        <f>AF60*Q60</f>
        <v>0</v>
      </c>
      <c r="Q60" s="227">
        <v>7.6637186369212518E-3</v>
      </c>
      <c r="R60" s="228">
        <f>AF60*S60</f>
        <v>0</v>
      </c>
      <c r="S60" s="227">
        <v>1.2894787427193143E-2</v>
      </c>
      <c r="T60" s="228">
        <f>AF60*U60</f>
        <v>0</v>
      </c>
      <c r="U60" s="227">
        <v>0.1325441367862282</v>
      </c>
      <c r="V60" s="228">
        <f>AF60*W60</f>
        <v>0</v>
      </c>
      <c r="W60" s="227">
        <v>0.59234214404505858</v>
      </c>
      <c r="X60" s="228">
        <f>AF60*Y60</f>
        <v>0</v>
      </c>
      <c r="Y60" s="227">
        <v>0.23185874775707016</v>
      </c>
      <c r="Z60" s="228">
        <f>AF60*AA60</f>
        <v>0</v>
      </c>
      <c r="AA60" s="227">
        <v>5.3230558270000372E-3</v>
      </c>
      <c r="AB60" s="228">
        <f>AF60*AC60</f>
        <v>0</v>
      </c>
      <c r="AC60" s="227">
        <v>6.9773179060056431E-3</v>
      </c>
      <c r="AD60" s="228">
        <f>AF60*AE60</f>
        <v>0</v>
      </c>
      <c r="AE60" s="227">
        <v>1.0396091614522953E-2</v>
      </c>
      <c r="AF60" s="139">
        <f t="shared" ref="AF60:AF66" si="58">(AH60*15)</f>
        <v>0</v>
      </c>
      <c r="AG60" s="229">
        <f>SUM(Q60+S60+U60+W60+Y60+AA60+AC60+AE60)</f>
        <v>0.99999999999999989</v>
      </c>
      <c r="AH60" s="168"/>
    </row>
    <row r="61" spans="1:34" x14ac:dyDescent="0.2">
      <c r="O61" s="139" t="s">
        <v>218</v>
      </c>
      <c r="P61" s="228">
        <f t="shared" ref="P61:P66" si="59">AF61*Q61</f>
        <v>0</v>
      </c>
      <c r="Q61" s="227">
        <v>1.7661923838691227E-2</v>
      </c>
      <c r="R61" s="228">
        <f t="shared" ref="R61:R66" si="60">AF61*S61</f>
        <v>0</v>
      </c>
      <c r="S61" s="227">
        <v>3.2802623957332765E-2</v>
      </c>
      <c r="T61" s="228">
        <f t="shared" ref="T61:T66" si="61">AF61*U61</f>
        <v>0</v>
      </c>
      <c r="U61" s="227">
        <v>0.4048792394312492</v>
      </c>
      <c r="V61" s="228">
        <f t="shared" ref="V61:V66" si="62">AF61*W61</f>
        <v>0</v>
      </c>
      <c r="W61" s="227">
        <v>0.49075956084416428</v>
      </c>
      <c r="X61" s="228">
        <f t="shared" ref="X61:X66" si="63">AF61*Y61</f>
        <v>0</v>
      </c>
      <c r="Y61" s="227">
        <v>3.3546653325059593E-2</v>
      </c>
      <c r="Z61" s="228">
        <f t="shared" ref="Z61:Z66" si="64">AF61*AA61</f>
        <v>0</v>
      </c>
      <c r="AA61" s="227">
        <v>4.5703099859257376E-3</v>
      </c>
      <c r="AB61" s="228">
        <f t="shared" ref="AB61:AB66" si="65">AF61*AC61</f>
        <v>0</v>
      </c>
      <c r="AC61" s="227">
        <v>7.0189158567995442E-3</v>
      </c>
      <c r="AD61" s="228">
        <f t="shared" ref="AD61:AD66" si="66">AF61*AE61</f>
        <v>0</v>
      </c>
      <c r="AE61" s="227">
        <v>8.760772760777618E-3</v>
      </c>
      <c r="AF61" s="139">
        <f t="shared" si="58"/>
        <v>0</v>
      </c>
      <c r="AG61" s="227">
        <f t="shared" ref="AG61:AG66" si="67">SUM(Q61+S61+U61+W61+Y61+AA61+AC61+AE61)</f>
        <v>1</v>
      </c>
      <c r="AH61" s="168"/>
    </row>
    <row r="62" spans="1:34" x14ac:dyDescent="0.2">
      <c r="O62" s="139" t="s">
        <v>219</v>
      </c>
      <c r="P62" s="228">
        <f t="shared" si="59"/>
        <v>146.00618532902419</v>
      </c>
      <c r="Q62" s="227">
        <v>1.8025454978891877E-2</v>
      </c>
      <c r="R62" s="228">
        <f t="shared" si="60"/>
        <v>710.13925477309135</v>
      </c>
      <c r="S62" s="227">
        <v>8.7671512934949555E-2</v>
      </c>
      <c r="T62" s="228">
        <f t="shared" si="61"/>
        <v>5264.7836832242465</v>
      </c>
      <c r="U62" s="227">
        <v>0.64997329422521566</v>
      </c>
      <c r="V62" s="228">
        <f t="shared" si="62"/>
        <v>1788.3714456424323</v>
      </c>
      <c r="W62" s="227">
        <v>0.22078659822746077</v>
      </c>
      <c r="X62" s="228">
        <f t="shared" si="63"/>
        <v>55.224939572526552</v>
      </c>
      <c r="Y62" s="227">
        <v>6.8178937743859939E-3</v>
      </c>
      <c r="Z62" s="228">
        <f t="shared" si="64"/>
        <v>33.881989897069609</v>
      </c>
      <c r="AA62" s="227">
        <v>4.1829617156876062E-3</v>
      </c>
      <c r="AB62" s="228">
        <f t="shared" si="65"/>
        <v>51.818255886586464</v>
      </c>
      <c r="AC62" s="227">
        <v>6.397315541553884E-3</v>
      </c>
      <c r="AD62" s="228">
        <f t="shared" si="66"/>
        <v>49.774245675022406</v>
      </c>
      <c r="AE62" s="227">
        <v>6.144968601854618E-3</v>
      </c>
      <c r="AF62" s="139">
        <f t="shared" si="58"/>
        <v>8100</v>
      </c>
      <c r="AG62" s="227">
        <f t="shared" si="67"/>
        <v>1</v>
      </c>
      <c r="AH62" s="168">
        <v>540</v>
      </c>
    </row>
    <row r="63" spans="1:34" x14ac:dyDescent="0.2">
      <c r="O63" s="139" t="s">
        <v>220</v>
      </c>
      <c r="P63" s="228">
        <f t="shared" si="59"/>
        <v>142.280792624273</v>
      </c>
      <c r="Q63" s="227">
        <v>2.6348294930420929E-2</v>
      </c>
      <c r="R63" s="228">
        <f t="shared" si="60"/>
        <v>1375.3792195107512</v>
      </c>
      <c r="S63" s="227">
        <v>0.25469985546495394</v>
      </c>
      <c r="T63" s="228">
        <f t="shared" si="61"/>
        <v>3386.3270833025026</v>
      </c>
      <c r="U63" s="227">
        <v>0.62709760801898196</v>
      </c>
      <c r="V63" s="228">
        <f t="shared" si="62"/>
        <v>389.75981531084904</v>
      </c>
      <c r="W63" s="227">
        <v>7.2177743576083156E-2</v>
      </c>
      <c r="X63" s="228">
        <f t="shared" si="63"/>
        <v>6.949817234694331</v>
      </c>
      <c r="Y63" s="227">
        <v>1.2870031916100613E-3</v>
      </c>
      <c r="Z63" s="228">
        <f t="shared" si="64"/>
        <v>19.144628771846744</v>
      </c>
      <c r="AA63" s="227">
        <v>3.5453016244160638E-3</v>
      </c>
      <c r="AB63" s="228">
        <f t="shared" si="65"/>
        <v>37.817767451496898</v>
      </c>
      <c r="AC63" s="227">
        <v>7.0032902687957223E-3</v>
      </c>
      <c r="AD63" s="228">
        <f t="shared" si="66"/>
        <v>42.340875793586193</v>
      </c>
      <c r="AE63" s="227">
        <v>7.8409029247381839E-3</v>
      </c>
      <c r="AF63" s="139">
        <f t="shared" si="58"/>
        <v>5400</v>
      </c>
      <c r="AG63" s="227">
        <f t="shared" si="67"/>
        <v>1</v>
      </c>
      <c r="AH63" s="168">
        <v>360</v>
      </c>
    </row>
    <row r="64" spans="1:34" x14ac:dyDescent="0.2">
      <c r="O64" s="139" t="s">
        <v>221</v>
      </c>
      <c r="P64" s="228">
        <f t="shared" si="59"/>
        <v>51.680548019408405</v>
      </c>
      <c r="Q64" s="227">
        <v>5.742283113267601E-2</v>
      </c>
      <c r="R64" s="228">
        <f t="shared" si="60"/>
        <v>452.56759732070384</v>
      </c>
      <c r="S64" s="227">
        <v>0.50285288591189314</v>
      </c>
      <c r="T64" s="228">
        <f t="shared" si="61"/>
        <v>359.99259333639799</v>
      </c>
      <c r="U64" s="227">
        <v>0.39999177037377553</v>
      </c>
      <c r="V64" s="228">
        <f t="shared" si="62"/>
        <v>17.14849899908706</v>
      </c>
      <c r="W64" s="227">
        <v>1.9053887776763402E-2</v>
      </c>
      <c r="X64" s="228">
        <f t="shared" si="63"/>
        <v>0.30400484933796035</v>
      </c>
      <c r="Y64" s="227">
        <v>3.3778316593106704E-4</v>
      </c>
      <c r="Z64" s="228">
        <f t="shared" si="64"/>
        <v>3.2404153258978048</v>
      </c>
      <c r="AA64" s="227">
        <v>3.6004614732197829E-3</v>
      </c>
      <c r="AB64" s="228">
        <f t="shared" si="65"/>
        <v>7.5629497314163201</v>
      </c>
      <c r="AC64" s="227">
        <v>8.4032774793514672E-3</v>
      </c>
      <c r="AD64" s="228">
        <f t="shared" si="66"/>
        <v>7.5033924177505673</v>
      </c>
      <c r="AE64" s="227">
        <v>8.3371026863895189E-3</v>
      </c>
      <c r="AF64" s="139">
        <f t="shared" si="58"/>
        <v>900</v>
      </c>
      <c r="AG64" s="227">
        <f t="shared" si="67"/>
        <v>0.99999999999999989</v>
      </c>
      <c r="AH64" s="168">
        <v>60</v>
      </c>
    </row>
    <row r="65" spans="14:34" x14ac:dyDescent="0.2">
      <c r="O65" s="139" t="s">
        <v>222</v>
      </c>
      <c r="P65" s="228">
        <f t="shared" si="59"/>
        <v>0</v>
      </c>
      <c r="Q65" s="227">
        <v>0.17257745899535998</v>
      </c>
      <c r="R65" s="228">
        <f t="shared" si="60"/>
        <v>0</v>
      </c>
      <c r="S65" s="227">
        <v>0.60935836218813155</v>
      </c>
      <c r="T65" s="228">
        <f t="shared" si="61"/>
        <v>0</v>
      </c>
      <c r="U65" s="227">
        <v>0.18277474593456242</v>
      </c>
      <c r="V65" s="228">
        <f t="shared" si="62"/>
        <v>0</v>
      </c>
      <c r="W65" s="227">
        <v>3.7001170655184719E-3</v>
      </c>
      <c r="X65" s="228">
        <f t="shared" si="63"/>
        <v>0</v>
      </c>
      <c r="Y65" s="227">
        <v>2.0274585291809972E-4</v>
      </c>
      <c r="Z65" s="228">
        <f t="shared" si="64"/>
        <v>0</v>
      </c>
      <c r="AA65" s="227">
        <v>3.2209186850326059E-3</v>
      </c>
      <c r="AB65" s="228">
        <f t="shared" si="65"/>
        <v>0</v>
      </c>
      <c r="AC65" s="227">
        <v>1.785566242393408E-2</v>
      </c>
      <c r="AD65" s="228">
        <f t="shared" si="66"/>
        <v>0</v>
      </c>
      <c r="AE65" s="227">
        <v>1.0309988854542838E-2</v>
      </c>
      <c r="AF65" s="139">
        <f t="shared" si="58"/>
        <v>0</v>
      </c>
      <c r="AG65" s="227">
        <f t="shared" si="67"/>
        <v>1</v>
      </c>
      <c r="AH65" s="168"/>
    </row>
    <row r="66" spans="14:34" x14ac:dyDescent="0.2">
      <c r="O66" s="139" t="s">
        <v>223</v>
      </c>
      <c r="P66" s="228">
        <f t="shared" si="59"/>
        <v>0</v>
      </c>
      <c r="Q66" s="227">
        <v>0.36596731477757316</v>
      </c>
      <c r="R66" s="228">
        <f t="shared" si="60"/>
        <v>0</v>
      </c>
      <c r="S66" s="227">
        <v>0.49737012022137062</v>
      </c>
      <c r="T66" s="228">
        <f t="shared" si="61"/>
        <v>0</v>
      </c>
      <c r="U66" s="228">
        <v>8.4470759818635568E-2</v>
      </c>
      <c r="V66" s="228">
        <f t="shared" si="62"/>
        <v>0</v>
      </c>
      <c r="W66" s="227">
        <v>1.4746900179144523E-3</v>
      </c>
      <c r="X66" s="228">
        <f t="shared" si="63"/>
        <v>0</v>
      </c>
      <c r="Y66" s="227">
        <v>1.9454068705087059E-4</v>
      </c>
      <c r="Z66" s="228">
        <f t="shared" si="64"/>
        <v>0</v>
      </c>
      <c r="AA66" s="227">
        <v>5.6490796315900654E-3</v>
      </c>
      <c r="AB66" s="228">
        <f t="shared" si="65"/>
        <v>0</v>
      </c>
      <c r="AC66" s="227">
        <v>2.8718024612380665E-2</v>
      </c>
      <c r="AD66" s="228">
        <f t="shared" si="66"/>
        <v>0</v>
      </c>
      <c r="AE66" s="227">
        <v>1.6155470233484629E-2</v>
      </c>
      <c r="AF66" s="139">
        <f t="shared" si="58"/>
        <v>0</v>
      </c>
      <c r="AG66" s="227">
        <f t="shared" si="67"/>
        <v>1.0000000000000002</v>
      </c>
      <c r="AH66" s="168"/>
    </row>
    <row r="67" spans="14:34" x14ac:dyDescent="0.2">
      <c r="O67" s="139" t="s">
        <v>50</v>
      </c>
      <c r="P67" s="228">
        <f>SUM(P60:P66)</f>
        <v>339.96752597270563</v>
      </c>
      <c r="Q67" s="139">
        <f>P67/AF67</f>
        <v>2.3608855970326779E-2</v>
      </c>
      <c r="R67" s="139">
        <f>SUM(R60:R66)</f>
        <v>2538.0860716045468</v>
      </c>
      <c r="S67" s="139">
        <f>R67/AF67</f>
        <v>0.17625597719476019</v>
      </c>
      <c r="T67" s="228">
        <f>SUM(T60:T66)</f>
        <v>9011.1033598631457</v>
      </c>
      <c r="U67" s="139">
        <f>T67/AF67</f>
        <v>0.62577106665716287</v>
      </c>
      <c r="V67" s="228">
        <f>SUM(V60:V66)</f>
        <v>2195.2797599523687</v>
      </c>
      <c r="W67" s="139">
        <f>V67/AF67</f>
        <v>0.1524499833300256</v>
      </c>
      <c r="X67" s="228">
        <f>SUM(X60:X66)</f>
        <v>62.478761656558838</v>
      </c>
      <c r="Y67" s="139">
        <f>X67/AF67</f>
        <v>4.3388028928165864E-3</v>
      </c>
      <c r="Z67" s="228">
        <f>SUM(Z60:Z66)</f>
        <v>56.267033994814163</v>
      </c>
      <c r="AA67" s="139">
        <f>Z67/AF67</f>
        <v>3.9074329163065391E-3</v>
      </c>
      <c r="AB67" s="228">
        <f>SUM(AB60:AB66)</f>
        <v>97.198973069499687</v>
      </c>
      <c r="AC67" s="139">
        <f>AB67/AF67</f>
        <v>6.7499286853819227E-3</v>
      </c>
      <c r="AD67" s="228">
        <f>SUM(AD60:AD66)</f>
        <v>99.618513886359167</v>
      </c>
      <c r="AE67" s="139">
        <f>AD67/AF67</f>
        <v>6.9179523532193867E-3</v>
      </c>
      <c r="AF67" s="139">
        <f>SUM(AF60:AF66)</f>
        <v>14400</v>
      </c>
      <c r="AG67" s="254">
        <f>Q67+S67+U67+W67+Y67+AA67+AC67+AE67</f>
        <v>0.99999999999999989</v>
      </c>
      <c r="AH67" s="139">
        <f t="shared" ref="AH67" si="68">AF67/15</f>
        <v>960</v>
      </c>
    </row>
    <row r="71" spans="14:34" x14ac:dyDescent="0.2">
      <c r="O71" s="259" t="s">
        <v>229</v>
      </c>
      <c r="P71" s="259"/>
      <c r="Q71" s="259"/>
      <c r="R71" s="259"/>
    </row>
    <row r="72" spans="14:34" x14ac:dyDescent="0.2">
      <c r="O72" s="127" t="s">
        <v>109</v>
      </c>
      <c r="P72" s="251" t="s">
        <v>101</v>
      </c>
      <c r="Q72" s="127" t="s">
        <v>102</v>
      </c>
      <c r="R72" s="127" t="s">
        <v>103</v>
      </c>
    </row>
    <row r="73" spans="14:34" x14ac:dyDescent="0.2">
      <c r="N73" s="249" t="s">
        <v>227</v>
      </c>
      <c r="O73" s="211"/>
      <c r="P73" s="252"/>
      <c r="Q73" s="211">
        <v>60</v>
      </c>
      <c r="R73" s="211"/>
    </row>
    <row r="74" spans="14:34" x14ac:dyDescent="0.2">
      <c r="N74" s="249" t="s">
        <v>228</v>
      </c>
      <c r="O74" s="211"/>
      <c r="P74" s="252"/>
      <c r="Q74" s="211"/>
      <c r="R74" s="211"/>
    </row>
    <row r="78" spans="14:34" x14ac:dyDescent="0.2">
      <c r="N78" s="167" t="s">
        <v>232</v>
      </c>
      <c r="O78" s="124" t="s">
        <v>214</v>
      </c>
      <c r="P78" s="250" t="s">
        <v>68</v>
      </c>
      <c r="Q78" s="124" t="s">
        <v>100</v>
      </c>
      <c r="R78" s="124"/>
      <c r="S78" s="124" t="s">
        <v>101</v>
      </c>
      <c r="T78" s="250"/>
      <c r="U78" s="124" t="s">
        <v>102</v>
      </c>
      <c r="V78" s="250"/>
      <c r="W78" s="124" t="s">
        <v>103</v>
      </c>
      <c r="X78" s="250"/>
      <c r="Y78" s="124" t="s">
        <v>104</v>
      </c>
      <c r="Z78" s="250"/>
      <c r="AA78" s="124" t="s">
        <v>105</v>
      </c>
      <c r="AB78" s="250"/>
      <c r="AC78" s="124" t="s">
        <v>215</v>
      </c>
      <c r="AD78" s="250"/>
      <c r="AE78" s="124" t="s">
        <v>216</v>
      </c>
      <c r="AF78" s="124" t="s">
        <v>106</v>
      </c>
      <c r="AG78" s="124" t="s">
        <v>81</v>
      </c>
      <c r="AH78" s="124" t="s">
        <v>106</v>
      </c>
    </row>
    <row r="79" spans="14:34" x14ac:dyDescent="0.2">
      <c r="O79" s="127" t="s">
        <v>23</v>
      </c>
      <c r="P79" s="251" t="s">
        <v>100</v>
      </c>
      <c r="Q79" s="127" t="s">
        <v>111</v>
      </c>
      <c r="R79" s="127" t="s">
        <v>101</v>
      </c>
      <c r="S79" s="127" t="s">
        <v>111</v>
      </c>
      <c r="T79" s="251" t="s">
        <v>102</v>
      </c>
      <c r="U79" s="127" t="s">
        <v>111</v>
      </c>
      <c r="V79" s="251" t="s">
        <v>103</v>
      </c>
      <c r="W79" s="127" t="s">
        <v>111</v>
      </c>
      <c r="X79" s="251" t="s">
        <v>104</v>
      </c>
      <c r="Y79" s="127" t="s">
        <v>111</v>
      </c>
      <c r="Z79" s="251" t="s">
        <v>105</v>
      </c>
      <c r="AA79" s="127" t="s">
        <v>111</v>
      </c>
      <c r="AB79" s="251" t="s">
        <v>215</v>
      </c>
      <c r="AC79" s="127" t="s">
        <v>111</v>
      </c>
      <c r="AD79" s="251" t="s">
        <v>216</v>
      </c>
      <c r="AE79" s="127" t="s">
        <v>111</v>
      </c>
      <c r="AF79" s="127" t="s">
        <v>67</v>
      </c>
      <c r="AG79" s="127" t="s">
        <v>111</v>
      </c>
      <c r="AH79" s="127" t="s">
        <v>66</v>
      </c>
    </row>
    <row r="80" spans="14:34" x14ac:dyDescent="0.2">
      <c r="O80" s="139" t="s">
        <v>47</v>
      </c>
      <c r="P80" s="243">
        <f>P22</f>
        <v>1143.4314629952714</v>
      </c>
      <c r="Q80" s="254">
        <f>P80/AF80</f>
        <v>0.31761985083201982</v>
      </c>
      <c r="R80" s="243">
        <f>R22</f>
        <v>1891.3218505670188</v>
      </c>
      <c r="S80" s="254">
        <f>R80/AF80</f>
        <v>0.52536718071306077</v>
      </c>
      <c r="T80" s="243">
        <f>T22</f>
        <v>392.56832285142218</v>
      </c>
      <c r="U80" s="254">
        <f>T80/AF80</f>
        <v>0.10904675634761728</v>
      </c>
      <c r="V80" s="243">
        <f>V22</f>
        <v>7.3117684073356459</v>
      </c>
      <c r="W80" s="254">
        <f>V80/AF80</f>
        <v>2.0310467798154573E-3</v>
      </c>
      <c r="X80" s="243">
        <f>X22</f>
        <v>0.70773112266364036</v>
      </c>
      <c r="Y80" s="254">
        <f>X80/AF80</f>
        <v>1.9659197851767788E-4</v>
      </c>
      <c r="Z80" s="243">
        <f>Z22</f>
        <v>18.15134182182252</v>
      </c>
      <c r="AA80" s="254">
        <f>Z80/AF80</f>
        <v>5.0420393949506996E-3</v>
      </c>
      <c r="AB80" s="243">
        <f>AB22</f>
        <v>93.608762634968471</v>
      </c>
      <c r="AC80" s="254">
        <f>AB80/AF80</f>
        <v>2.6002434065269021E-2</v>
      </c>
      <c r="AD80" s="243">
        <f>AD22</f>
        <v>52.898759599497055</v>
      </c>
      <c r="AE80" s="254">
        <f>AD80/AF80</f>
        <v>1.4694099888749182E-2</v>
      </c>
      <c r="AF80" s="139">
        <f t="shared" ref="AF80:AF81" si="69">(AH80*15)</f>
        <v>3600</v>
      </c>
      <c r="AG80" s="227">
        <f t="shared" ref="AG80:AG81" si="70">SUM(Q80+S80+U80+W80+Y80+AA80+AC80+AE80)</f>
        <v>0.99999999999999989</v>
      </c>
      <c r="AH80" s="139">
        <f>AH22</f>
        <v>240</v>
      </c>
    </row>
    <row r="81" spans="14:34" x14ac:dyDescent="0.2">
      <c r="O81" s="139" t="s">
        <v>48</v>
      </c>
      <c r="P81" s="243">
        <f>P33</f>
        <v>988.11174989944755</v>
      </c>
      <c r="Q81" s="254">
        <f>P81/AF81</f>
        <v>0.36596731477757316</v>
      </c>
      <c r="R81" s="243">
        <f>R33</f>
        <v>1342.8993245977006</v>
      </c>
      <c r="S81" s="254">
        <f>R81/AF81</f>
        <v>0.49737012022137056</v>
      </c>
      <c r="T81" s="243">
        <f>T33</f>
        <v>228.07105151031604</v>
      </c>
      <c r="U81" s="254">
        <f>T81/AF81</f>
        <v>8.4470759818635568E-2</v>
      </c>
      <c r="V81" s="243">
        <f>V33</f>
        <v>3.9816630483690214</v>
      </c>
      <c r="W81" s="254">
        <f>V81/AF81</f>
        <v>1.4746900179144523E-3</v>
      </c>
      <c r="X81" s="243">
        <f>X33</f>
        <v>0.52525985503735062</v>
      </c>
      <c r="Y81" s="254">
        <f>X81/AF81</f>
        <v>1.9454068705087061E-4</v>
      </c>
      <c r="Z81" s="243">
        <f>Z33</f>
        <v>15.252515005293176</v>
      </c>
      <c r="AA81" s="254">
        <f>Z81/AF81</f>
        <v>5.6490796315900654E-3</v>
      </c>
      <c r="AB81" s="243">
        <f>AB33</f>
        <v>77.538666453427794</v>
      </c>
      <c r="AC81" s="254">
        <f>AB81/AF81</f>
        <v>2.8718024612380665E-2</v>
      </c>
      <c r="AD81" s="243">
        <f>AD33</f>
        <v>43.619769630408499</v>
      </c>
      <c r="AE81" s="254">
        <f>AD81/AF81</f>
        <v>1.6155470233484629E-2</v>
      </c>
      <c r="AF81" s="139">
        <f t="shared" si="69"/>
        <v>2700</v>
      </c>
      <c r="AG81" s="227">
        <f t="shared" si="70"/>
        <v>1.0000000000000002</v>
      </c>
      <c r="AH81" s="139">
        <f>AH33</f>
        <v>180</v>
      </c>
    </row>
    <row r="82" spans="14:34" x14ac:dyDescent="0.2">
      <c r="O82" s="139" t="s">
        <v>50</v>
      </c>
      <c r="P82" s="228">
        <f>SUM(P80:P81)</f>
        <v>2131.5432128947191</v>
      </c>
      <c r="Q82" s="254">
        <f>P82/AF82</f>
        <v>0.33834019252297126</v>
      </c>
      <c r="R82" s="228">
        <f>SUM(R80:R81)</f>
        <v>3234.2211751647192</v>
      </c>
      <c r="S82" s="254">
        <f>R82/AF82</f>
        <v>0.51336844050233643</v>
      </c>
      <c r="T82" s="228">
        <f>SUM(T80:T81)</f>
        <v>620.63937436173819</v>
      </c>
      <c r="U82" s="254">
        <f>T82/AF82</f>
        <v>9.8514186406625112E-2</v>
      </c>
      <c r="V82" s="228">
        <f>SUM(V80:V81)</f>
        <v>11.293431455704667</v>
      </c>
      <c r="W82" s="254">
        <f>V82/AF82</f>
        <v>1.7926081675721693E-3</v>
      </c>
      <c r="X82" s="228">
        <f>SUM(X80:X81)</f>
        <v>1.2329909777009909</v>
      </c>
      <c r="Y82" s="254">
        <f>X82/AF82</f>
        <v>1.9571285360333188E-4</v>
      </c>
      <c r="Z82" s="228">
        <f>SUM(Z80:Z81)</f>
        <v>33.403856827115696</v>
      </c>
      <c r="AA82" s="254">
        <f>Z82/AF82</f>
        <v>5.3021994963675708E-3</v>
      </c>
      <c r="AB82" s="228">
        <f>SUM(AB80:AB81)</f>
        <v>171.14742908839628</v>
      </c>
      <c r="AC82" s="254">
        <f>AB82/AF82</f>
        <v>2.7166258585459728E-2</v>
      </c>
      <c r="AD82" s="228">
        <f>SUM(AD80:AD81)</f>
        <v>96.518529229905553</v>
      </c>
      <c r="AE82" s="254">
        <f>AD82/AF82</f>
        <v>1.5320401465064373E-2</v>
      </c>
      <c r="AF82" s="253">
        <f>SUM(AF80:AF81)</f>
        <v>6300</v>
      </c>
      <c r="AG82" s="254">
        <f>SUM(Q82+S82+U82+W82+Y82+AA82+AC82+AE82)</f>
        <v>1</v>
      </c>
      <c r="AH82" s="139">
        <f t="shared" ref="AH82" si="71">AF82/15</f>
        <v>420</v>
      </c>
    </row>
    <row r="85" spans="14:34" x14ac:dyDescent="0.2">
      <c r="N85" s="167" t="s">
        <v>233</v>
      </c>
      <c r="O85" s="124" t="s">
        <v>214</v>
      </c>
      <c r="P85" s="250" t="s">
        <v>68</v>
      </c>
      <c r="Q85" s="124" t="s">
        <v>100</v>
      </c>
      <c r="R85" s="124"/>
      <c r="S85" s="124" t="s">
        <v>101</v>
      </c>
      <c r="T85" s="250"/>
      <c r="U85" s="124" t="s">
        <v>102</v>
      </c>
      <c r="V85" s="250"/>
      <c r="W85" s="124" t="s">
        <v>103</v>
      </c>
      <c r="X85" s="250"/>
      <c r="Y85" s="124" t="s">
        <v>104</v>
      </c>
      <c r="Z85" s="250"/>
      <c r="AA85" s="124" t="s">
        <v>105</v>
      </c>
      <c r="AB85" s="250"/>
      <c r="AC85" s="124" t="s">
        <v>215</v>
      </c>
      <c r="AD85" s="250"/>
      <c r="AE85" s="124" t="s">
        <v>216</v>
      </c>
      <c r="AF85" s="124" t="s">
        <v>106</v>
      </c>
      <c r="AG85" s="124" t="s">
        <v>81</v>
      </c>
      <c r="AH85" s="124" t="s">
        <v>106</v>
      </c>
    </row>
    <row r="86" spans="14:34" x14ac:dyDescent="0.2">
      <c r="O86" s="127" t="s">
        <v>23</v>
      </c>
      <c r="P86" s="251" t="s">
        <v>100</v>
      </c>
      <c r="Q86" s="127" t="s">
        <v>111</v>
      </c>
      <c r="R86" s="127" t="s">
        <v>101</v>
      </c>
      <c r="S86" s="127" t="s">
        <v>111</v>
      </c>
      <c r="T86" s="251" t="s">
        <v>102</v>
      </c>
      <c r="U86" s="127" t="s">
        <v>111</v>
      </c>
      <c r="V86" s="251" t="s">
        <v>103</v>
      </c>
      <c r="W86" s="127" t="s">
        <v>111</v>
      </c>
      <c r="X86" s="251" t="s">
        <v>104</v>
      </c>
      <c r="Y86" s="127" t="s">
        <v>111</v>
      </c>
      <c r="Z86" s="251" t="s">
        <v>105</v>
      </c>
      <c r="AA86" s="127" t="s">
        <v>111</v>
      </c>
      <c r="AB86" s="251" t="s">
        <v>215</v>
      </c>
      <c r="AC86" s="127" t="s">
        <v>111</v>
      </c>
      <c r="AD86" s="251" t="s">
        <v>216</v>
      </c>
      <c r="AE86" s="127" t="s">
        <v>111</v>
      </c>
      <c r="AF86" s="127" t="s">
        <v>67</v>
      </c>
      <c r="AG86" s="127" t="s">
        <v>111</v>
      </c>
      <c r="AH86" s="127" t="s">
        <v>66</v>
      </c>
    </row>
    <row r="87" spans="14:34" x14ac:dyDescent="0.2">
      <c r="O87" s="139" t="s">
        <v>47</v>
      </c>
      <c r="P87" s="228">
        <f>P44</f>
        <v>988.11174989944755</v>
      </c>
      <c r="Q87" s="227">
        <f>P87/AF87</f>
        <v>0.36596731477757316</v>
      </c>
      <c r="R87" s="228">
        <f>R44</f>
        <v>1342.8993245977006</v>
      </c>
      <c r="S87" s="227">
        <f>R87/AF87</f>
        <v>0.49737012022137056</v>
      </c>
      <c r="T87" s="228">
        <f>T44</f>
        <v>228.07105151031604</v>
      </c>
      <c r="U87" s="227">
        <f>T87/AF87</f>
        <v>8.4470759818635568E-2</v>
      </c>
      <c r="V87" s="228">
        <f>V44</f>
        <v>3.9816630483690214</v>
      </c>
      <c r="W87" s="227">
        <f>V87/AF87</f>
        <v>1.4746900179144523E-3</v>
      </c>
      <c r="X87" s="228">
        <f>X44</f>
        <v>0.52525985503735062</v>
      </c>
      <c r="Y87" s="227">
        <f>X87/AF87</f>
        <v>1.9454068705087061E-4</v>
      </c>
      <c r="Z87" s="228">
        <f>Z44</f>
        <v>15.252515005293176</v>
      </c>
      <c r="AA87" s="227">
        <f>Z87/AF87</f>
        <v>5.6490796315900654E-3</v>
      </c>
      <c r="AB87" s="228">
        <f>AB44</f>
        <v>77.538666453427794</v>
      </c>
      <c r="AC87" s="227">
        <f>AB87/AF87</f>
        <v>2.8718024612380665E-2</v>
      </c>
      <c r="AD87" s="228">
        <f>AD44</f>
        <v>43.619769630408499</v>
      </c>
      <c r="AE87" s="227">
        <f>AD87/AF87</f>
        <v>1.6155470233484629E-2</v>
      </c>
      <c r="AF87" s="139">
        <f t="shared" ref="AF87:AF88" si="72">(AH87*15)</f>
        <v>2700</v>
      </c>
      <c r="AG87" s="227">
        <f t="shared" ref="AG87:AG88" si="73">SUM(Q87+S87+U87+W87+Y87+AA87+AC87+AE87)</f>
        <v>1.0000000000000002</v>
      </c>
      <c r="AH87" s="139">
        <f>AH44</f>
        <v>180</v>
      </c>
    </row>
    <row r="88" spans="14:34" x14ac:dyDescent="0.2">
      <c r="O88" s="139" t="s">
        <v>48</v>
      </c>
      <c r="P88" s="228">
        <f>P55</f>
        <v>0</v>
      </c>
      <c r="Q88" s="227" t="e">
        <f>P88/AF88</f>
        <v>#DIV/0!</v>
      </c>
      <c r="R88" s="228">
        <f>R55</f>
        <v>0</v>
      </c>
      <c r="S88" s="227" t="e">
        <f>R88/AF88</f>
        <v>#DIV/0!</v>
      </c>
      <c r="T88" s="228">
        <f>T55</f>
        <v>0</v>
      </c>
      <c r="U88" s="242" t="e">
        <f>T88/AF88</f>
        <v>#DIV/0!</v>
      </c>
      <c r="V88" s="228">
        <f>V55</f>
        <v>0</v>
      </c>
      <c r="W88" s="227" t="e">
        <f>V88/AF88</f>
        <v>#DIV/0!</v>
      </c>
      <c r="X88" s="228">
        <f>X55</f>
        <v>0</v>
      </c>
      <c r="Y88" s="227" t="e">
        <f>X88/AF88</f>
        <v>#DIV/0!</v>
      </c>
      <c r="Z88" s="228">
        <f>Z55</f>
        <v>0</v>
      </c>
      <c r="AA88" s="227" t="e">
        <f>Z88/AF88</f>
        <v>#DIV/0!</v>
      </c>
      <c r="AB88" s="228">
        <f>AB55</f>
        <v>0</v>
      </c>
      <c r="AC88" s="227" t="e">
        <f>AB88/AF88</f>
        <v>#DIV/0!</v>
      </c>
      <c r="AD88" s="228">
        <f>AD55</f>
        <v>0</v>
      </c>
      <c r="AE88" s="227" t="e">
        <f>AD88/AF88</f>
        <v>#DIV/0!</v>
      </c>
      <c r="AF88" s="139">
        <f t="shared" si="72"/>
        <v>0</v>
      </c>
      <c r="AG88" s="227" t="e">
        <f t="shared" si="73"/>
        <v>#DIV/0!</v>
      </c>
      <c r="AH88" s="139">
        <f>AH55</f>
        <v>0</v>
      </c>
    </row>
    <row r="89" spans="14:34" x14ac:dyDescent="0.2">
      <c r="O89" s="139" t="s">
        <v>50</v>
      </c>
      <c r="P89" s="228">
        <f>SUM(P87:P88)</f>
        <v>988.11174989944755</v>
      </c>
      <c r="Q89" s="254">
        <f>P89/AF89</f>
        <v>0.36596731477757316</v>
      </c>
      <c r="R89" s="228">
        <f>SUM(R87:R88)</f>
        <v>1342.8993245977006</v>
      </c>
      <c r="S89" s="254">
        <f>R89/AF89</f>
        <v>0.49737012022137056</v>
      </c>
      <c r="T89" s="228">
        <f>SUM(T87:T88)</f>
        <v>228.07105151031604</v>
      </c>
      <c r="U89" s="254">
        <f>T89/AF89</f>
        <v>8.4470759818635568E-2</v>
      </c>
      <c r="V89" s="228">
        <f>SUM(V87:V88)</f>
        <v>3.9816630483690214</v>
      </c>
      <c r="W89" s="254">
        <f>V89/AF89</f>
        <v>1.4746900179144523E-3</v>
      </c>
      <c r="X89" s="228">
        <f>SUM(X87:X88)</f>
        <v>0.52525985503735062</v>
      </c>
      <c r="Y89" s="254">
        <f>X89/AF89</f>
        <v>1.9454068705087061E-4</v>
      </c>
      <c r="Z89" s="228">
        <f>SUM(Z87:Z88)</f>
        <v>15.252515005293176</v>
      </c>
      <c r="AA89" s="254">
        <f>Z89/AF89</f>
        <v>5.6490796315900654E-3</v>
      </c>
      <c r="AB89" s="228">
        <f>SUM(AB87:AB88)</f>
        <v>77.538666453427794</v>
      </c>
      <c r="AC89" s="254">
        <f>AB89/AF89</f>
        <v>2.8718024612380665E-2</v>
      </c>
      <c r="AD89" s="228">
        <f>SUM(AD87:AD88)</f>
        <v>43.619769630408499</v>
      </c>
      <c r="AE89" s="254">
        <f>AD89/AF89</f>
        <v>1.6155470233484629E-2</v>
      </c>
      <c r="AF89" s="228">
        <f>SUM(AF87:AF88)</f>
        <v>2700</v>
      </c>
      <c r="AG89" s="254">
        <f>SUM(Q89+S89+U89+W89+Y89+AA89+AC89+AE89)</f>
        <v>1.0000000000000002</v>
      </c>
      <c r="AH89" s="139">
        <f t="shared" ref="AH89" si="74">AF89/15</f>
        <v>180</v>
      </c>
    </row>
  </sheetData>
  <mergeCells count="10">
    <mergeCell ref="O71:R71"/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scale="9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139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149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159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212</v>
      </c>
    </row>
    <row r="3" spans="1:2" x14ac:dyDescent="0.2">
      <c r="A3" s="4" t="s">
        <v>167</v>
      </c>
      <c r="B3" s="3" t="s">
        <v>209</v>
      </c>
    </row>
    <row r="4" spans="1:2" x14ac:dyDescent="0.2">
      <c r="A4" s="2" t="s">
        <v>208</v>
      </c>
      <c r="B4" s="3" t="s">
        <v>211</v>
      </c>
    </row>
    <row r="5" spans="1:2" x14ac:dyDescent="0.2">
      <c r="A5" s="4" t="s">
        <v>4</v>
      </c>
      <c r="B5" s="3" t="s">
        <v>210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18" t="s">
        <v>12</v>
      </c>
    </row>
    <row r="16" spans="1:2" x14ac:dyDescent="0.2">
      <c r="A16" s="187" t="s">
        <v>184</v>
      </c>
      <c r="B16" s="3" t="s">
        <v>13</v>
      </c>
    </row>
    <row r="17" spans="1:2" x14ac:dyDescent="0.2">
      <c r="A17" s="187" t="s">
        <v>185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8" ma:contentTypeDescription="Create a new document." ma:contentTypeScope="" ma:versionID="29036ead24c8c0678d8054a64566d315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058b70a3bed1bde67ba391043d7a4954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C85AD7-3AA5-4947-A0C7-462A97A19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2025-11-13T17:12:52Z</cp:lastPrinted>
  <dcterms:created xsi:type="dcterms:W3CDTF">2019-08-23T14:41:05Z</dcterms:created>
  <dcterms:modified xsi:type="dcterms:W3CDTF">2025-11-24T16:23:31Z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